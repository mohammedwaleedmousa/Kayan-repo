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00 · READ ME" sheetId="2" state="visible" r:id="rId4"/>
    <sheet name="01 · LINE ON A PAGE" sheetId="3" state="visible" r:id="rId5"/>
    <sheet name="02 · ECONOMICS &amp; REVENUE" sheetId="4" state="visible" r:id="rId6"/>
    <sheet name="03 · ACCOUNTING TREATMENT" sheetId="5" state="visible" r:id="rId7"/>
    <sheet name="04 · ROLES · JD &amp; KPIs" sheetId="6" state="visible" r:id="rId8"/>
    <sheet name="05 · PROCESS · GATES" sheetId="7" state="visible" r:id="rId9"/>
    <sheet name="06 · QA &amp; CONTROLS" sheetId="8" state="visible" r:id="rId10"/>
    <sheet name="07 · AUTOMATION MAP" sheetId="9" state="visible" r:id="rId11"/>
    <sheet name="08 · CROSS-DOMAIN NOTES" sheetId="10" state="visible" r:id="rId12"/>
    <sheet name="09 · PAIN POINTS &amp; IDEAS"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<sst xmlns="http://schemas.openxmlformats.org/spreadsheetml/2006/main" count="424" uniqueCount="367">
  <si>
    <t xml:space="preserve">KAYAN  ◆  LINE INTELLIGENCE &amp; OPERATING WORKBOOK</t>
  </si>
  <si>
    <t xml:space="preserve">Managed Delivery</t>
  </si>
  <si>
    <t xml:space="preserve">The revenue engine — reasoned end to end, and the template every other line follows</t>
  </si>
  <si>
    <t xml:space="preserve">Behind every success, a KAYAN</t>
  </si>
  <si>
    <t xml:space="preserve">Instrument</t>
  </si>
  <si>
    <t xml:space="preserve">KAY-MD-LINE-001  ·  Managed Delivery Line Intelligence &amp; Operating Workbook</t>
  </si>
  <si>
    <t xml:space="preserve">What it is</t>
  </si>
  <si>
    <t xml:space="preserve">The one place that reasons a business line all the way through: what it sells and to whom, how it earns, how each transaction is booked, who runs it, the processes and controls, and where it can be automated</t>
  </si>
  <si>
    <t xml:space="preserve">The accumulating idea</t>
  </si>
  <si>
    <t xml:space="preserve">As the firm is built, cross-domain notes land in tab 08. They accumulate here so that when the operating domains are built in depth, the thinking is already captured — not rediscovered</t>
  </si>
  <si>
    <t xml:space="preserve">Numbers</t>
  </si>
  <si>
    <t xml:space="preserve">Every contested figure is a placeholder token in a blue input cell. The logic is built now; the numbers are set in the finance session</t>
  </si>
  <si>
    <t xml:space="preserve">Status</t>
  </si>
  <si>
    <t xml:space="preserve">Living workbook — the first of one per business line and per domain</t>
  </si>
  <si>
    <t xml:space="preserve">WHAT IS INSIDE</t>
  </si>
  <si>
    <t xml:space="preserve">00 · READ ME</t>
  </si>
  <si>
    <t xml:space="preserve">How the workbook and the accumulating system work</t>
  </si>
  <si>
    <t xml:space="preserve">01 · LINE ON A PAGE</t>
  </si>
  <si>
    <t xml:space="preserve">What Managed Delivery is, the promise, and the value flow</t>
  </si>
  <si>
    <t xml:space="preserve">02 · ECONOMICS &amp; REVENUE</t>
  </si>
  <si>
    <t xml:space="preserve">The revenue lines, the fee model, unit economics, and pain points</t>
  </si>
  <si>
    <t xml:space="preserve">03 · ACCOUNTING TREATMENT</t>
  </si>
  <si>
    <t xml:space="preserve">How every transaction is coded — escrow as liability, the split, recognition</t>
  </si>
  <si>
    <t xml:space="preserve">04 · ROLES · JD &amp; KPIs</t>
  </si>
  <si>
    <t xml:space="preserve">Every position and intern that runs the line, with responsibilities and KPIs</t>
  </si>
  <si>
    <t xml:space="preserve">05 · PROCESS · GATES</t>
  </si>
  <si>
    <t xml:space="preserve">The G0–G9 delivery gates as workflows, with checklists and approvals</t>
  </si>
  <si>
    <t xml:space="preserve">06 · QA &amp; CONTROLS</t>
  </si>
  <si>
    <t xml:space="preserve">The three-layer quality model, holdback, and approval thresholds</t>
  </si>
  <si>
    <t xml:space="preserve">07 · AUTOMATION MAP</t>
  </si>
  <si>
    <t xml:space="preserve">What the platform automates, what stays human, and the triggers</t>
  </si>
  <si>
    <t xml:space="preserve">08 · CROSS-DOMAIN NOTES</t>
  </si>
  <si>
    <t xml:space="preserve">The accumulating ledger — notes for Finance, HR, Tech, Legal, Brand, Partnerships</t>
  </si>
  <si>
    <t xml:space="preserve">09 · PAIN POINTS &amp; IDEAS</t>
  </si>
  <si>
    <t xml:space="preserve">The running list of what hurts and what could earn more</t>
  </si>
  <si>
    <t xml:space="preserve">HOW THIS WORKBOOK WORKS</t>
  </si>
  <si>
    <t xml:space="preserve">What a line workbook is</t>
  </si>
  <si>
    <t xml:space="preserve">One workbook per business line (and per domain), where the line is reasoned all the way through with a businessman's eye: what it sells and to whom, how it earns, how each transaction is booked, who runs it, the processes and controls, and where it can be automated. Managed Delivery is the first; the Hub, the Forge, and each domain get their own, built to this same shape.</t>
  </si>
  <si>
    <t xml:space="preserve">The accumulating ledger</t>
  </si>
  <si>
    <t xml:space="preserve">Building one line surfaces requirements for every other domain — an account Finance must open, a role HR must hire, a rule the platform must enforce, a clause Legal must write. Those land in tab 08 as they arise. They accumulate, so that when the operating domains are built in depth, the thinking is already there.</t>
  </si>
  <si>
    <t xml:space="preserve">Numbers are placeholders</t>
  </si>
  <si>
    <t xml:space="preserve">Every contested figure sits in a blue input cell and is illustrative only, pending the finance session. The model computes so the logic is visible and testable — but no number here is decided. Change an input and the model re-reads it.</t>
  </si>
  <si>
    <t xml:space="preserve">The reader</t>
  </si>
  <si>
    <t xml:space="preserve">This is an internal instrument — candid about margins, pain points, and controls. External language (no 'escrow', no 'pod') is handled separately in the brand and external assets; here we use the true operating words.</t>
  </si>
  <si>
    <t xml:space="preserve">Build order</t>
  </si>
  <si>
    <t xml:space="preserve">This line is built before the website and the operating domains, because the business must be understood before its shopfront. Finance is tokenised until the numbers session; roles use position codes; the founding rule holds — no signed scope and funded account, no work.</t>
  </si>
  <si>
    <t xml:space="preserve">Managed Delivery — the line on a page</t>
  </si>
  <si>
    <t xml:space="preserve">A managed service: a client describes an outcome, Kayan writes the scope, assembles a verified team, holds the funds in a protected account, delivers through staged quality gates, and hands over accepted work with a funded warranty. Kayan carries the delivery risk; the client carries none of the talent-management burden.</t>
  </si>
  <si>
    <t xml:space="preserve">Who it is for</t>
  </si>
  <si>
    <t xml:space="preserve">Two buyers. Institutions and INGOs that need verified people, a written scope, protected funds, independent quality, and a donor-ready audit file. And local businesses and government that need work delivered reliably without hiring or managing freelancers themselves.</t>
  </si>
  <si>
    <t xml:space="preserve">The promise</t>
  </si>
  <si>
    <t xml:space="preserve">Verified people. A written scope. Funds protected until work is accepted. Independent quality on every delivery. One institution accountable for the outcome.</t>
  </si>
  <si>
    <t xml:space="preserve">What it sells</t>
  </si>
  <si>
    <t xml:space="preserve">Managed delivery of defined scopes across the service families — digital, creative, business and advisory, and technical — priced as a managed engagement, not a body-shop day rate.</t>
  </si>
  <si>
    <t xml:space="preserve">The value flow</t>
  </si>
  <si>
    <t xml:space="preserve">Client → signed scope → funds into the protected account → verified team assembled → staged delivery through the gates → independent quality → client acceptance → talent paid, net fee recognised, warranty runs. Money is only earned when work is accepted.</t>
  </si>
  <si>
    <t xml:space="preserve">Why it wins</t>
  </si>
  <si>
    <t xml:space="preserve">It rebuilds the three trusts that are broken in the market at once: the client trusts the work will land, the talent trusts they will be paid, and the funder trusts the money reached real outcomes. No freelancer marketplace sells trust; Kayan does.</t>
  </si>
  <si>
    <t xml:space="preserve">Where it sits</t>
  </si>
  <si>
    <t xml:space="preserve">The revenue engine and the cash anchor. It funds the Hub and the Forge, feeds the talent registry with track record, and is the first line to stand up in the H2 2026 Anchor phase.</t>
  </si>
  <si>
    <t xml:space="preserve">Economics &amp; revenue</t>
  </si>
  <si>
    <t xml:space="preserve">The fee logic and unit economics. Blue cells are illustrative placeholders — the model computes so the logic is visible, but every number is set in the finance session, not here.</t>
  </si>
  <si>
    <t xml:space="preserve">REVENUE LINES</t>
  </si>
  <si>
    <t xml:space="preserve">How it earns</t>
  </si>
  <si>
    <t xml:space="preserve">Managed engagement fee</t>
  </si>
  <si>
    <t xml:space="preserve">The core line: a net institutional fee on each managed scope, standard vs light-touch.</t>
  </si>
  <si>
    <t xml:space="preserve">Programme / retainer</t>
  </si>
  <si>
    <t xml:space="preserve">Recurring managed delivery for an institution or INGO across many scopes — the highest-quality revenue.</t>
  </si>
  <si>
    <t xml:space="preserve">Premium assurance tier</t>
  </si>
  <si>
    <t xml:space="preserve">An enhanced independent-quality and reporting tier for donor-funded work, priced above standard.</t>
  </si>
  <si>
    <t xml:space="preserve">Framework agreements</t>
  </si>
  <si>
    <t xml:space="preserve">Pre-agreed rate cards and terms with a repeat buyer — lower friction, steadier flow.</t>
  </si>
  <si>
    <t xml:space="preserve">Productised scopes</t>
  </si>
  <si>
    <t xml:space="preserve">Fixed-scope, fixed-price managed packages (shared with the Products line) for fast, repeatable delivery.</t>
  </si>
  <si>
    <t xml:space="preserve">UNIT ECONOMICS  (illustrative placeholders)</t>
  </si>
  <si>
    <t xml:space="preserve">Value</t>
  </si>
  <si>
    <t xml:space="preserve">Unit</t>
  </si>
  <si>
    <t xml:space="preserve">Average scope value (into protected account)</t>
  </si>
  <si>
    <t xml:space="preserve">USD</t>
  </si>
  <si>
    <t xml:space="preserve">Placeholder — average managed engagement size</t>
  </si>
  <si>
    <t xml:space="preserve">Talent pass-through share</t>
  </si>
  <si>
    <t xml:space="preserve">%</t>
  </si>
  <si>
    <t xml:space="preserve">Placeholder — share paid to the delivery team</t>
  </si>
  <si>
    <t xml:space="preserve">Net fee — standard</t>
  </si>
  <si>
    <t xml:space="preserve">Placeholder — institutional fee on a standard scope</t>
  </si>
  <si>
    <t xml:space="preserve">Net fee — light-touch</t>
  </si>
  <si>
    <t xml:space="preserve">Placeholder — fee on a lighter managed scope</t>
  </si>
  <si>
    <t xml:space="preserve">Quality holdback</t>
  </si>
  <si>
    <t xml:space="preserve">Placeholder — retained 30 days against defects</t>
  </si>
  <si>
    <t xml:space="preserve">Scopes delivered per month</t>
  </si>
  <si>
    <t xml:space="preserve">count</t>
  </si>
  <si>
    <t xml:space="preserve">Placeholder — monthly managed engagements</t>
  </si>
  <si>
    <t xml:space="preserve">Line operating cost per month</t>
  </si>
  <si>
    <t xml:space="preserve">Placeholder — share of OPEX carried by the line</t>
  </si>
  <si>
    <t xml:space="preserve">Talent paid per scope</t>
  </si>
  <si>
    <t xml:space="preserve">Value × talent share</t>
  </si>
  <si>
    <t xml:space="preserve">Net fee per standard scope</t>
  </si>
  <si>
    <t xml:space="preserve">The only part recognised as income</t>
  </si>
  <si>
    <t xml:space="preserve">Holdback held per scope</t>
  </si>
  <si>
    <t xml:space="preserve">A liability until released</t>
  </si>
  <si>
    <t xml:space="preserve">Monthly net fee income (standard)</t>
  </si>
  <si>
    <t xml:space="preserve">Fee × scopes per month</t>
  </si>
  <si>
    <t xml:space="preserve">Monthly contribution vs line cost</t>
  </si>
  <si>
    <t xml:space="preserve">Net fee income less line operating cost</t>
  </si>
  <si>
    <t xml:space="preserve">Scopes needed to cover line cost</t>
  </si>
  <si>
    <t xml:space="preserve">Break-even scopes per month at standard fee</t>
  </si>
  <si>
    <t xml:space="preserve">Reading the model: gross funds into the protected account are never revenue — only the net fee is. The talent share and the holdback are money Kayan holds for others. This is the one architectural rule carried through every finance instrument.</t>
  </si>
  <si>
    <t xml:space="preserve">Accounting treatment</t>
  </si>
  <si>
    <t xml:space="preserve">How each transaction is coded. The principle: protected funds are a liability, not income; only the net fee is revenue. Account codes are placeholders for the finance session.</t>
  </si>
  <si>
    <t xml:space="preserve">Event in the delivery flow</t>
  </si>
  <si>
    <t xml:space="preserve">Debit</t>
  </si>
  <si>
    <t xml:space="preserve">Credit</t>
  </si>
  <si>
    <t xml:space="preserve">Why / account note</t>
  </si>
  <si>
    <t xml:space="preserve">Client funds a scope into the protected account</t>
  </si>
  <si>
    <t xml:space="preserve">Bank — protected account (asset)</t>
  </si>
  <si>
    <t xml:space="preserve">Client funds held (liability)</t>
  </si>
  <si>
    <t xml:space="preserve">Gross inflow is money held for the client, never revenue. «COA: 1xxx / 2xxx»</t>
  </si>
  <si>
    <t xml:space="preserve">Scope in delivery through the gates</t>
  </si>
  <si>
    <t xml:space="preserve">—</t>
  </si>
  <si>
    <t xml:space="preserve">No entry to income yet — nothing is earned until acceptance.</t>
  </si>
  <si>
    <t xml:space="preserve">Client accepts the delivery at the final gate — fee earned</t>
  </si>
  <si>
    <t xml:space="preserve">Managed Delivery fee income (revenue)</t>
  </si>
  <si>
    <t xml:space="preserve">Only the net institutional fee is recognised. «COA: 4xxx»</t>
  </si>
  <si>
    <t xml:space="preserve">… talent share becomes payable</t>
  </si>
  <si>
    <t xml:space="preserve">Talent payable (liability)</t>
  </si>
  <si>
    <t xml:space="preserve">The team's share moves from held-funds to a payable. «COA: 2xxx»</t>
  </si>
  <si>
    <t xml:space="preserve">… holdback retained</t>
  </si>
  <si>
    <t xml:space="preserve">Quality holdback reserve (liability)</t>
  </si>
  <si>
    <t xml:space="preserve">Retained against defects for the warranty period. «COA: 2xxx»</t>
  </si>
  <si>
    <t xml:space="preserve">Pay the delivery team</t>
  </si>
  <si>
    <t xml:space="preserve">Bank (asset)</t>
  </si>
  <si>
    <t xml:space="preserve">Clears the payable when the team is paid.</t>
  </si>
  <si>
    <t xml:space="preserve">Release holdback after the warranty period (no defects)</t>
  </si>
  <si>
    <t xml:space="preserve">Bank / Talent payable</t>
  </si>
  <si>
    <t xml:space="preserve">Released to the team if work stands; retained to fee only if a defect was remedied at cost.</t>
  </si>
  <si>
    <t xml:space="preserve">Cancellation or refund before acceptance</t>
  </si>
  <si>
    <t xml:space="preserve">Protected funds return to the client; no income arises.</t>
  </si>
  <si>
    <t xml:space="preserve">Independent quality reviewer cost</t>
  </si>
  <si>
    <t xml:space="preserve">Quality assurance cost (expense)</t>
  </si>
  <si>
    <t xml:space="preserve">Bank / Payable</t>
  </si>
  <si>
    <t xml:space="preserve">The third-layer reviewer is funded from the fee — an expense of the line. «COA: 5xxx»</t>
  </si>
  <si>
    <t xml:space="preserve">FX on settlement</t>
  </si>
  <si>
    <t xml:space="preserve">FX gain/loss</t>
  </si>
  <si>
    <t xml:space="preserve">Bank</t>
  </si>
  <si>
    <t xml:space="preserve">Currency movement on cross-border payout. «FX rate = placeholder»</t>
  </si>
  <si>
    <t xml:space="preserve">Roles · JD &amp; KPIs</t>
  </si>
  <si>
    <t xml:space="preserve">Every position and intern that runs the line, in position codes (names live only in the cap table, contracts, and payroll). The rule that protects quality: the independent reviewer never reports to delivery.</t>
  </si>
  <si>
    <t xml:space="preserve">Code</t>
  </si>
  <si>
    <t xml:space="preserve">Role</t>
  </si>
  <si>
    <t xml:space="preserve">Purpose</t>
  </si>
  <si>
    <t xml:space="preserve">Key responsibilities</t>
  </si>
  <si>
    <t xml:space="preserve">KPIs</t>
  </si>
  <si>
    <t xml:space="preserve">Reports to</t>
  </si>
  <si>
    <t xml:space="preserve">MD-LEAD</t>
  </si>
  <si>
    <t xml:space="preserve">Delivery Lead</t>
  </si>
  <si>
    <t xml:space="preserve">Own the line's throughput, margin, and client outcomes</t>
  </si>
  <si>
    <t xml:space="preserve">Approve scopes and pricing; assign pods; clear blockers; hold the gate reviews; own the P&amp;L of the line</t>
  </si>
  <si>
    <t xml:space="preserve">On-time delivery rate; net-fee margin vs target; client acceptance first-pass rate; active scopes in flight</t>
  </si>
  <si>
    <t xml:space="preserve">Chief Executive</t>
  </si>
  <si>
    <t xml:space="preserve">MD-ACCT</t>
  </si>
  <si>
    <t xml:space="preserve">Account / Client Lead</t>
  </si>
  <si>
    <t xml:space="preserve">Own the client relationship and the written scope</t>
  </si>
  <si>
    <t xml:space="preserve">Qualify enquiries; write the scope and terms; manage expectations; run acceptance; grow the account</t>
  </si>
  <si>
    <t xml:space="preserve">Scope-to-signature conversion; client satisfaction; repeat / retainer revenue; disputes per 10 scopes</t>
  </si>
  <si>
    <t xml:space="preserve">MD-POD</t>
  </si>
  <si>
    <t xml:space="preserve">Pod Lead</t>
  </si>
  <si>
    <t xml:space="preserve">Deliver the scope to standard, on time</t>
  </si>
  <si>
    <t xml:space="preserve">Assemble and lead the verified team; run the build; first-line quality; keep the evidence file current</t>
  </si>
  <si>
    <t xml:space="preserve">Milestones hit on time; rework rate; pod utilisation; evidence completeness</t>
  </si>
  <si>
    <t xml:space="preserve">MD-QA</t>
  </si>
  <si>
    <t xml:space="preserve">Independent Quality Reviewer</t>
  </si>
  <si>
    <t xml:space="preserve">Assure quality independently of delivery</t>
  </si>
  <si>
    <t xml:space="preserve">Third-layer review against acceptance criteria; sign or reject; log defects; confirm before payout</t>
  </si>
  <si>
    <t xml:space="preserve">Defects caught before client; review turnaround (target 5 days); post-acceptance defect rate</t>
  </si>
  <si>
    <t xml:space="preserve">Chief Executive (not MD-LEAD)</t>
  </si>
  <si>
    <t xml:space="preserve">MD-COORD</t>
  </si>
  <si>
    <t xml:space="preserve">Delivery Coordinator</t>
  </si>
  <si>
    <t xml:space="preserve">Keep the machine moving</t>
  </si>
  <si>
    <t xml:space="preserve">Track gates and deadlines; maintain the tracker and evidence vault; schedule reviews; chase approvals</t>
  </si>
  <si>
    <t xml:space="preserve">Tracker accuracy; gate-cycle time; overdue items; audit-file readiness</t>
  </si>
  <si>
    <t xml:space="preserve">MD-INT</t>
  </si>
  <si>
    <t xml:space="preserve">Delivery Intern</t>
  </si>
  <si>
    <t xml:space="preserve">Learn the system while supporting delivery</t>
  </si>
  <si>
    <t xml:space="preserve">Assist coordination and documentation; prepare evidence packs; draft scopes under supervision</t>
  </si>
  <si>
    <t xml:space="preserve">Tasks completed on time; documentation quality; readiness to progress</t>
  </si>
  <si>
    <t xml:space="preserve">Process · the delivery gates</t>
  </si>
  <si>
    <t xml:space="preserve">The G0–G9 gates as a workflow. Each gate has an owner, a checklist, and a review/approval point, and a note on what the platform automates. Nothing passes a gate without the checklist met and the approval given.</t>
  </si>
  <si>
    <t xml:space="preserve">Gate</t>
  </si>
  <si>
    <t xml:space="preserve">Name</t>
  </si>
  <si>
    <t xml:space="preserve">What happens</t>
  </si>
  <si>
    <t xml:space="preserve">Owner</t>
  </si>
  <si>
    <t xml:space="preserve">Checklist (key items)</t>
  </si>
  <si>
    <t xml:space="preserve">Review / approval</t>
  </si>
  <si>
    <t xml:space="preserve">Automated by platform</t>
  </si>
  <si>
    <t xml:space="preserve">G0</t>
  </si>
  <si>
    <t xml:space="preserve">Intake &amp; qualify</t>
  </si>
  <si>
    <t xml:space="preserve">Enquiry captured; fit, legality, and sanctions screen; decide to proceed</t>
  </si>
  <si>
    <t xml:space="preserve">Enquiry form complete; buyer identified; sanctions/OFAC screen; fit confirmed</t>
  </si>
  <si>
    <t xml:space="preserve">MD-ACCT logs; MD-LEAD notes</t>
  </si>
  <si>
    <t xml:space="preserve">Intake form; auto sanctions screen; CRM record</t>
  </si>
  <si>
    <t xml:space="preserve">G1</t>
  </si>
  <si>
    <t xml:space="preserve">Scope &amp; terms</t>
  </si>
  <si>
    <t xml:space="preserve">Written scope, deliverables, timeline, price, and acceptance criteria drafted and agreed</t>
  </si>
  <si>
    <t xml:space="preserve">Scope written; deliverables and dates set; acceptance criteria defined; price agreed</t>
  </si>
  <si>
    <t xml:space="preserve">MD-LEAD approves scope &amp; price</t>
  </si>
  <si>
    <t xml:space="preserve">Scope from template; e-signature; versioning</t>
  </si>
  <si>
    <t xml:space="preserve">G2</t>
  </si>
  <si>
    <t xml:space="preserve">Fund &amp; protect</t>
  </si>
  <si>
    <t xml:space="preserve">Funds placed into the protected account before any work begins</t>
  </si>
  <si>
    <t xml:space="preserve">Signed scope on file; funds received in full; ledger entry as liability</t>
  </si>
  <si>
    <t xml:space="preserve">MD-LEAD confirms funded</t>
  </si>
  <si>
    <t xml:space="preserve">Payment status; auto-ledger (funds held = liability)</t>
  </si>
  <si>
    <t xml:space="preserve">G3</t>
  </si>
  <si>
    <t xml:space="preserve">Assemble team</t>
  </si>
  <si>
    <t xml:space="preserve">Verified team selected and briefed; conflicts checked</t>
  </si>
  <si>
    <t xml:space="preserve">Verified talent selected; availability confirmed; conflict check; brief issued</t>
  </si>
  <si>
    <t xml:space="preserve">MD-LEAD confirms assignment</t>
  </si>
  <si>
    <t xml:space="preserve">Registry match; verification status; assignment record</t>
  </si>
  <si>
    <t xml:space="preserve">G4</t>
  </si>
  <si>
    <t xml:space="preserve">Kickoff</t>
  </si>
  <si>
    <t xml:space="preserve">Team, plan, and milestones confirmed; evidence file opened</t>
  </si>
  <si>
    <t xml:space="preserve">Plan agreed; milestones scheduled; evidence vault opened; roles clear</t>
  </si>
  <si>
    <t xml:space="preserve">MD-POD sign-off</t>
  </si>
  <si>
    <t xml:space="preserve">Project workspace; milestone schedule; vault opened</t>
  </si>
  <si>
    <t xml:space="preserve">G5</t>
  </si>
  <si>
    <t xml:space="preserve">Build &amp; milestones</t>
  </si>
  <si>
    <t xml:space="preserve">Work delivered against milestones; evidence captured at each step</t>
  </si>
  <si>
    <t xml:space="preserve">Each milestone met; evidence logged; client updated at agreed points</t>
  </si>
  <si>
    <t xml:space="preserve">MD-POD per milestone</t>
  </si>
  <si>
    <t xml:space="preserve">Milestone tracking; reminders; evidence uploads</t>
  </si>
  <si>
    <t xml:space="preserve">G6</t>
  </si>
  <si>
    <t xml:space="preserve">Quality layers 1–2</t>
  </si>
  <si>
    <t xml:space="preserve">Self-check then pod-lead review against acceptance criteria</t>
  </si>
  <si>
    <t xml:space="preserve">Self-check done; pod-lead review passed; issues fixed before submission</t>
  </si>
  <si>
    <t xml:space="preserve">Checklist enforced; issue log</t>
  </si>
  <si>
    <t xml:space="preserve">G7</t>
  </si>
  <si>
    <t xml:space="preserve">Independent quality</t>
  </si>
  <si>
    <t xml:space="preserve">Third-layer review by the independent reviewer; sign or reject</t>
  </si>
  <si>
    <t xml:space="preserve">Independent review against criteria; defects logged; pass recorded</t>
  </si>
  <si>
    <t xml:space="preserve">MD-QA signs (independent)</t>
  </si>
  <si>
    <t xml:space="preserve">Review queue; sign/reject record; defect log</t>
  </si>
  <si>
    <t xml:space="preserve">G8</t>
  </si>
  <si>
    <t xml:space="preserve">Client acceptance</t>
  </si>
  <si>
    <t xml:space="preserve">Client reviews and formally accepts the delivery</t>
  </si>
  <si>
    <t xml:space="preserve">Delivery presented; acceptance obtained in writing; any snag list closed</t>
  </si>
  <si>
    <t xml:space="preserve">Client accepts; MD-ACCT confirms</t>
  </si>
  <si>
    <t xml:space="preserve">Acceptance capture; e-signature; timestamp</t>
  </si>
  <si>
    <t xml:space="preserve">G9</t>
  </si>
  <si>
    <t xml:space="preserve">Payout &amp; warranty</t>
  </si>
  <si>
    <t xml:space="preserve">Talent paid; net fee recognised; holdback held; warranty period runs</t>
  </si>
  <si>
    <t xml:space="preserve">Acceptance on file; talent paid; fee recognised (net only); holdback retained; warranty opens</t>
  </si>
  <si>
    <t xml:space="preserve">Dual approval for payout ≥ «threshold»</t>
  </si>
  <si>
    <t xml:space="preserve">Payout queue; auto-recognition of net fee; holdback timer</t>
  </si>
  <si>
    <t xml:space="preserve">Quality assurance &amp; controls</t>
  </si>
  <si>
    <t xml:space="preserve">Three-layer quality</t>
  </si>
  <si>
    <t xml:space="preserve">Every delivery passes three checks: the maker's self-check, the pod lead's review, and an independent reviewer who does not report to delivery. The third layer is funded from the fee, so quality is never traded away to protect margin.</t>
  </si>
  <si>
    <t xml:space="preserve">Acceptance criteria</t>
  </si>
  <si>
    <t xml:space="preserve">Defined in writing at G1, before work starts. Nothing is 'done' until it meets them and the client accepts in writing. This removes the argument that ends most freelance jobs badly.</t>
  </si>
  <si>
    <t xml:space="preserve">A «2%» holdback is retained for «30 days» after acceptance. If the work stands, it is released to the team; if a defect appears, it is remedied first. It aligns everyone to work that lasts.</t>
  </si>
  <si>
    <t xml:space="preserve">Dual approval</t>
  </si>
  <si>
    <t xml:space="preserve">Any payout at or above «threshold» needs two approvers — delivery and finance. No single person can move client funds. This is enforced in the payout queue, not left to trust.</t>
  </si>
  <si>
    <t xml:space="preserve">Protected funds</t>
  </si>
  <si>
    <t xml:space="preserve">Client funds sit in a protected account and are treated as a liability until the fee is earned. They are never spent as working capital and never counted as revenue.</t>
  </si>
  <si>
    <t xml:space="preserve">Dispute route</t>
  </si>
  <si>
    <t xml:space="preserve">A clear, written path: raise → review against the scope and evidence → independent decision → remedy or partial release. Because scope, evidence, and acceptance are all on file, disputes are rare and fast.</t>
  </si>
  <si>
    <t xml:space="preserve">The evidence file</t>
  </si>
  <si>
    <t xml:space="preserve">Every scope carries an auditable file — scope, approvals, milestones, quality sign-offs, acceptance, payment. It is what makes the work defensible to a client, a funder, or an auditor.</t>
  </si>
  <si>
    <t xml:space="preserve">Automation map</t>
  </si>
  <si>
    <t xml:space="preserve">What the platform does automatically, what stays a human judgement, and the trigger for each. The rule: automate the record-keeping and the enforcement; keep the judgement with a named owner.</t>
  </si>
  <si>
    <t xml:space="preserve">Process step</t>
  </si>
  <si>
    <t xml:space="preserve">Automated by the platform</t>
  </si>
  <si>
    <t xml:space="preserve">Trigger</t>
  </si>
  <si>
    <t xml:space="preserve">Human check (owner)</t>
  </si>
  <si>
    <t xml:space="preserve">Enquiry intake</t>
  </si>
  <si>
    <t xml:space="preserve">Form capture, CRM record, auto sanctions/OFAC screen</t>
  </si>
  <si>
    <t xml:space="preserve">Enquiry submitted</t>
  </si>
  <si>
    <t xml:space="preserve">Fit &amp; legality call (MD-ACCT)</t>
  </si>
  <si>
    <t xml:space="preserve">Scope &amp; signature</t>
  </si>
  <si>
    <t xml:space="preserve">Scope from template, versioning, e-signature</t>
  </si>
  <si>
    <t xml:space="preserve">Scope drafted</t>
  </si>
  <si>
    <t xml:space="preserve">Scope &amp; price approval (MD-LEAD)</t>
  </si>
  <si>
    <t xml:space="preserve">Funds protection</t>
  </si>
  <si>
    <t xml:space="preserve">Payment status, auto-ledger as liability</t>
  </si>
  <si>
    <t xml:space="preserve">Funds received</t>
  </si>
  <si>
    <t xml:space="preserve">Confirm funded before work (MD-LEAD)</t>
  </si>
  <si>
    <t xml:space="preserve">Team assembly</t>
  </si>
  <si>
    <t xml:space="preserve">Registry match, verification-status check, assignment record</t>
  </si>
  <si>
    <t xml:space="preserve">Scope funded</t>
  </si>
  <si>
    <t xml:space="preserve">Final assignment &amp; conflict check (MD-POD)</t>
  </si>
  <si>
    <t xml:space="preserve">Milestone tracking</t>
  </si>
  <si>
    <t xml:space="preserve">Schedule, reminders, evidence uploads</t>
  </si>
  <si>
    <t xml:space="preserve">Kickoff done</t>
  </si>
  <si>
    <t xml:space="preserve">Milestone sign-off (MD-POD)</t>
  </si>
  <si>
    <t xml:space="preserve">Quality review</t>
  </si>
  <si>
    <t xml:space="preserve">Review queue, checklist enforcement, sign/reject log</t>
  </si>
  <si>
    <t xml:space="preserve">Work submitted</t>
  </si>
  <si>
    <t xml:space="preserve">Independent pass/fail (MD-QA)</t>
  </si>
  <si>
    <t xml:space="preserve">Acceptance capture, timestamp, e-signature</t>
  </si>
  <si>
    <t xml:space="preserve">Review passed</t>
  </si>
  <si>
    <t xml:space="preserve">Confirm acceptance (MD-ACCT)</t>
  </si>
  <si>
    <t xml:space="preserve">Payout &amp; recognition</t>
  </si>
  <si>
    <t xml:space="preserve">Payout queue, auto-recognition of net fee, holdback timer</t>
  </si>
  <si>
    <t xml:space="preserve">Acceptance on file</t>
  </si>
  <si>
    <t xml:space="preserve">Dual approval ≥ «threshold» (MD-LEAD + Finance)</t>
  </si>
  <si>
    <t xml:space="preserve">Reporting &amp; audit file</t>
  </si>
  <si>
    <t xml:space="preserve">Auto-compiled evidence file and line dashboard</t>
  </si>
  <si>
    <t xml:space="preserve">Continuous</t>
  </si>
  <si>
    <t xml:space="preserve">Review before funder/audit (MD-COORD)</t>
  </si>
  <si>
    <t xml:space="preserve">Cross-domain notes — the accumulating ledger</t>
  </si>
  <si>
    <t xml:space="preserve">Requirements this line places on other domains, captured as they arise. When each domain is built in depth, this is where its Managed-Delivery inputs already wait. Add to it every session.</t>
  </si>
  <si>
    <t xml:space="preserve">Domain</t>
  </si>
  <si>
    <t xml:space="preserve">Note / requirement surfaced while building this line</t>
  </si>
  <si>
    <t xml:space="preserve">Action for that domain</t>
  </si>
  <si>
    <t xml:space="preserve">Finance</t>
  </si>
  <si>
    <t xml:space="preserve">Chart of accounts needs distinct lines: protected-funds-held (liability), talent payable (liability), quality-holdback reserve (liability), Managed-Delivery fee income (revenue, net only), QA cost (expense), FX gain/loss.</t>
  </si>
  <si>
    <t xml:space="preserve">Open these accounts; set the net-fee recognition rule; set FX policy.</t>
  </si>
  <si>
    <t xml:space="preserve">STANDING</t>
  </si>
  <si>
    <t xml:space="preserve">Break-even is «scopes per month» at the standard net fee; light-touch scopes carry a thinner margin.</t>
  </si>
  <si>
    <t xml:space="preserve">Set the real fee %, OPEX share, and light-touch floor in the numbers session.</t>
  </si>
  <si>
    <t xml:space="preserve">OPEN</t>
  </si>
  <si>
    <t xml:space="preserve">People / HR</t>
  </si>
  <si>
    <t xml:space="preserve">Six roles run the line (MD-LEAD, MD-ACCT, MD-POD, MD-QA, MD-COORD, MD-INT). The independent reviewer must not report to delivery.</t>
  </si>
  <si>
    <t xml:space="preserve">Write these JDs and KPIs into the People OS; set the reporting lines accordingly.</t>
  </si>
  <si>
    <t xml:space="preserve">Technology</t>
  </si>
  <si>
    <t xml:space="preserve">The platform must enforce the gates, hold an event-sourced protected-funds ledger, run a dual-approval payout queue, and auto-recognise only the net fee.</t>
  </si>
  <si>
    <t xml:space="preserve">Reflect in the platform build; the gate and ledger logic is non-negotiable.</t>
  </si>
  <si>
    <t xml:space="preserve">Legal</t>
  </si>
  <si>
    <t xml:space="preserve">Founding rule holds: no signed scope and funded account, no work. Needs a 30-day funded-warranty clause and a written dispute route tied to scope and evidence.</t>
  </si>
  <si>
    <t xml:space="preserve">Draft the scope terms, warranty clause, and dispute route into the legal suite.</t>
  </si>
  <si>
    <t xml:space="preserve">Brand / external</t>
  </si>
  <si>
    <t xml:space="preserve">External copy must not say 'escrow' or 'pod'. Use 'protected funds' and 'verified team'; lead with the five assurances for institutional buyers.</t>
  </si>
  <si>
    <t xml:space="preserve">Keep external language aligned; the UN/INGO one-pager already models it.</t>
  </si>
  <si>
    <t xml:space="preserve">Partnerships</t>
  </si>
  <si>
    <t xml:space="preserve">INGO buyers need all five assurances plus a donor-ready audit file; ≥40% female participation is a selling point.</t>
  </si>
  <si>
    <t xml:space="preserve">Lead partnership outreach with the assurance set and the audit file.</t>
  </si>
  <si>
    <t xml:space="preserve">Products</t>
  </si>
  <si>
    <t xml:space="preserve">Productised fixed-scope packages overlap with this line's fast-delivery revenue.</t>
  </si>
  <si>
    <t xml:space="preserve">De-duplicate against the products catalogue; agree which scopes are productised.</t>
  </si>
  <si>
    <t xml:space="preserve">Pain points &amp; ideas</t>
  </si>
  <si>
    <t xml:space="preserve">The running list — what hurts, and what could earn more. Kept candid because this is internal. Ideas graduate into the economics and the roadmap when they earn their place.</t>
  </si>
  <si>
    <t xml:space="preserve">Type</t>
  </si>
  <si>
    <t xml:space="preserve">Item</t>
  </si>
  <si>
    <t xml:space="preserve">So what — the response</t>
  </si>
  <si>
    <t xml:space="preserve">Priority</t>
  </si>
  <si>
    <t xml:space="preserve">Pain</t>
  </si>
  <si>
    <t xml:space="preserve">Trust deficit in the market — clients burned by freelancers, talent burned by non-payment</t>
  </si>
  <si>
    <t xml:space="preserve">This is the whole reason the line exists: protected funds, independent quality, and one accountable institution answer it directly.</t>
  </si>
  <si>
    <t xml:space="preserve">HIGH</t>
  </si>
  <si>
    <t xml:space="preserve">Talent reliability — verified people can still under-deliver</t>
  </si>
  <si>
    <t xml:space="preserve">The three-layer quality model plus the holdback catch it before the client does; repeat under-performers drop in the registry.</t>
  </si>
  <si>
    <t xml:space="preserve">Cash-flow timing — the fee is only earned at acceptance, but costs run during delivery</t>
  </si>
  <si>
    <t xml:space="preserve">Retainers and staged programmes smooth it; the line's own OPEX is kept lean until throughput builds.</t>
  </si>
  <si>
    <t xml:space="preserve">Dispute risk — disagreements at handover</t>
  </si>
  <si>
    <t xml:space="preserve">Written scope, acceptance criteria, and a full evidence file make disputes rare and quick to settle.</t>
  </si>
  <si>
    <t xml:space="preserve">MED</t>
  </si>
  <si>
    <t xml:space="preserve">Thin margin on light-touch scopes</t>
  </si>
  <si>
    <t xml:space="preserve">Set a light-touch floor and steer small jobs into productised packages where delivery is fast and repeatable.</t>
  </si>
  <si>
    <t xml:space="preserve">Idea</t>
  </si>
  <si>
    <t xml:space="preserve">Institutional retainers / managed programmes</t>
  </si>
  <si>
    <t xml:space="preserve">The highest-quality revenue — recurring, predictable, and it deepens the relationship. Lead here with INGOs.</t>
  </si>
  <si>
    <t xml:space="preserve">IDEA</t>
  </si>
  <si>
    <t xml:space="preserve">Premium assurance tier for donor-funded work</t>
  </si>
  <si>
    <t xml:space="preserve">Charge above standard for enhanced independent quality and donor-ready reporting — buyers will pay for defensibility.</t>
  </si>
  <si>
    <t xml:space="preserve">Framework agreements with repeat buyers</t>
  </si>
  <si>
    <t xml:space="preserve">Pre-agreed rates and terms cut friction and steady the flow; a natural next step after a first successful scope.</t>
  </si>
  <si>
    <t xml:space="preserve">Productised fixed-scope packages</t>
  </si>
  <si>
    <t xml:space="preserve">Fast, repeatable, predictable margin — turns one-off delivery into a catalogue the client can simply pick from.</t>
  </si>
</sst>
</file>

<file path=xl/styles.xml><?xml version="1.0" encoding="utf-8"?>
<styleSheet xmlns="http://schemas.openxmlformats.org/spreadsheetml/2006/main">
  <numFmts count="3">
    <numFmt numFmtId="164" formatCode="General"/>
    <numFmt numFmtId="165" formatCode="\$#,##0"/>
    <numFmt numFmtId="166" formatCode="0.0"/>
  </numFmts>
  <fonts count="17">
    <font>
      <sz val="11"/>
      <color theme="1"/>
      <name val="Calibri"/>
      <family val="2"/>
      <charset val="1"/>
    </font>
    <font>
      <sz val="10"/>
      <name val="Arial"/>
      <family val="0"/>
    </font>
    <font>
      <sz val="10"/>
      <name val="Arial"/>
      <family val="0"/>
    </font>
    <font>
      <sz val="10"/>
      <name val="Arial"/>
      <family val="0"/>
    </font>
    <font>
      <b val="true"/>
      <sz val="9"/>
      <color rgb="FFD4B574"/>
      <name val="Arial"/>
      <family val="0"/>
      <charset val="1"/>
    </font>
    <font>
      <b val="true"/>
      <sz val="26"/>
      <color rgb="FFF4F1EA"/>
      <name val="Arial"/>
      <family val="0"/>
      <charset val="1"/>
    </font>
    <font>
      <sz val="11"/>
      <color rgb="FFD4B574"/>
      <name val="Arial"/>
      <family val="0"/>
      <charset val="1"/>
    </font>
    <font>
      <i val="true"/>
      <sz val="10"/>
      <color rgb="FFD4B574"/>
      <name val="Arial"/>
      <family val="0"/>
      <charset val="1"/>
    </font>
    <font>
      <b val="true"/>
      <sz val="9"/>
      <color rgb="FF7A5A25"/>
      <name val="Arial"/>
      <family val="0"/>
      <charset val="1"/>
    </font>
    <font>
      <sz val="9"/>
      <color rgb="FF1A1A1A"/>
      <name val="Arial"/>
      <family val="0"/>
      <charset val="1"/>
    </font>
    <font>
      <b val="true"/>
      <sz val="10"/>
      <color rgb="FF0B3A33"/>
      <name val="Arial"/>
      <family val="0"/>
      <charset val="1"/>
    </font>
    <font>
      <b val="true"/>
      <sz val="9"/>
      <color rgb="FF1A1A1A"/>
      <name val="Arial"/>
      <family val="0"/>
      <charset val="1"/>
    </font>
    <font>
      <b val="true"/>
      <sz val="15"/>
      <color rgb="FF0B3A33"/>
      <name val="Arial"/>
      <family val="0"/>
      <charset val="1"/>
    </font>
    <font>
      <sz val="8"/>
      <color rgb="FF6E8E7B"/>
      <name val="Arial"/>
      <family val="0"/>
      <charset val="1"/>
    </font>
    <font>
      <b val="true"/>
      <sz val="9"/>
      <color rgb="FFF4F1EA"/>
      <name val="Arial"/>
      <family val="0"/>
      <charset val="1"/>
    </font>
    <font>
      <b val="true"/>
      <sz val="9"/>
      <color rgb="FF0000CC"/>
      <name val="Arial"/>
      <family val="0"/>
      <charset val="1"/>
    </font>
    <font>
      <i val="true"/>
      <sz val="9"/>
      <color rgb="FF7A5A25"/>
      <name val="Arial"/>
      <family val="0"/>
      <charset val="1"/>
    </font>
  </fonts>
  <fills count="9">
    <fill>
      <patternFill patternType="none"/>
    </fill>
    <fill>
      <patternFill patternType="gray125"/>
    </fill>
    <fill>
      <patternFill patternType="solid">
        <fgColor rgb="FF0B3A33"/>
        <bgColor rgb="FF003300"/>
      </patternFill>
    </fill>
    <fill>
      <patternFill patternType="solid">
        <fgColor rgb="FFFFF3C4"/>
        <bgColor rgb="FFF0E6CE"/>
      </patternFill>
    </fill>
    <fill>
      <patternFill patternType="solid">
        <fgColor rgb="FFE7EDE7"/>
        <bgColor rgb="FFE3E9EE"/>
      </patternFill>
    </fill>
    <fill>
      <patternFill patternType="solid">
        <fgColor rgb="FFE3E9EE"/>
        <bgColor rgb="FFE7EDE7"/>
      </patternFill>
    </fill>
    <fill>
      <patternFill patternType="solid">
        <fgColor rgb="FFF0E6CE"/>
        <bgColor rgb="FFF5E4DE"/>
      </patternFill>
    </fill>
    <fill>
      <patternFill patternType="solid">
        <fgColor rgb="FFF5E4DE"/>
        <bgColor rgb="FFF0E6CE"/>
      </patternFill>
    </fill>
    <fill>
      <patternFill patternType="solid">
        <fgColor rgb="FFE0EBE1"/>
        <bgColor rgb="FFE7EDE7"/>
      </patternFill>
    </fill>
  </fills>
  <borders count="2">
    <border diagonalUp="false" diagonalDown="false">
      <left/>
      <right/>
      <top/>
      <bottom/>
      <diagonal/>
    </border>
    <border diagonalUp="false" diagonalDown="false">
      <left style="thin">
        <color rgb="FFD8D0BE"/>
      </left>
      <right style="thin">
        <color rgb="FFD8D0BE"/>
      </right>
      <top style="thin">
        <color rgb="FFD8D0BE"/>
      </top>
      <bottom style="thin">
        <color rgb="FFD8D0B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center" vertical="bottom" textRotation="0" wrapText="false" indent="0" shrinkToFit="false"/>
      <protection locked="true" hidden="false"/>
    </xf>
    <xf numFmtId="164" fontId="7" fillId="2"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5" fontId="11" fillId="0" borderId="1" xfId="0" applyFont="true" applyBorder="true" applyAlignment="true" applyProtection="false">
      <alignment horizontal="center" vertical="center" textRotation="0" wrapText="true" indent="0" shrinkToFit="false"/>
      <protection locked="true" hidden="false"/>
    </xf>
    <xf numFmtId="166" fontId="11" fillId="0"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4F1EA"/>
      <rgbColor rgb="FFFF0000"/>
      <rgbColor rgb="FF00FF00"/>
      <rgbColor rgb="FF0000CC"/>
      <rgbColor rgb="FFFFFF00"/>
      <rgbColor rgb="FFFF00FF"/>
      <rgbColor rgb="FF00FFFF"/>
      <rgbColor rgb="FF800000"/>
      <rgbColor rgb="FF008000"/>
      <rgbColor rgb="FF000080"/>
      <rgbColor rgb="FF7A5A25"/>
      <rgbColor rgb="FF800080"/>
      <rgbColor rgb="FF008080"/>
      <rgbColor rgb="FFD8D0BE"/>
      <rgbColor rgb="FF6E8E7B"/>
      <rgbColor rgb="FF9999FF"/>
      <rgbColor rgb="FF993366"/>
      <rgbColor rgb="FFFFF3C4"/>
      <rgbColor rgb="FFE7EDE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3E9EE"/>
      <rgbColor rgb="FFE0EBE1"/>
      <rgbColor rgb="FFF0E6CE"/>
      <rgbColor rgb="FF99CCFF"/>
      <rgbColor rgb="FFFF99CC"/>
      <rgbColor rgb="FFCC99FF"/>
      <rgbColor rgb="FFF5E4DE"/>
      <rgbColor rgb="FF3366FF"/>
      <rgbColor rgb="FF33CCCC"/>
      <rgbColor rgb="FF99CC00"/>
      <rgbColor rgb="FFFFCC00"/>
      <rgbColor rgb="FFFF9900"/>
      <rgbColor rgb="FFFF6600"/>
      <rgbColor rgb="FF666699"/>
      <rgbColor rgb="FFD4B574"/>
      <rgbColor rgb="FF0B3A33"/>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6" min="3" style="1" width="18"/>
    <col collapsed="false" customWidth="true" hidden="false" outlineLevel="0" max="7" min="7" style="1" width="20"/>
    <col collapsed="false" customWidth="true" hidden="false" outlineLevel="0" max="8" min="8" style="1" width="3"/>
  </cols>
  <sheetData>
    <row r="2" customFormat="false" ht="15" hidden="false" customHeight="true" outlineLevel="0" collapsed="false">
      <c r="B2" s="2"/>
      <c r="C2" s="2"/>
      <c r="D2" s="2"/>
      <c r="E2" s="2"/>
      <c r="F2" s="2"/>
      <c r="G2" s="2"/>
    </row>
    <row r="3" customFormat="false" ht="15" hidden="false" customHeight="true" outlineLevel="0" collapsed="false">
      <c r="B3" s="3" t="s">
        <v>0</v>
      </c>
      <c r="C3" s="3"/>
      <c r="D3" s="3"/>
      <c r="E3" s="3"/>
      <c r="F3" s="3"/>
      <c r="G3" s="3"/>
    </row>
    <row r="4" customFormat="false" ht="15" hidden="false" customHeight="true" outlineLevel="0" collapsed="false">
      <c r="B4" s="2"/>
      <c r="C4" s="2"/>
      <c r="D4" s="2"/>
      <c r="E4" s="2"/>
      <c r="F4" s="2"/>
      <c r="G4" s="2"/>
    </row>
    <row r="5" customFormat="false" ht="15" hidden="false" customHeight="true" outlineLevel="0" collapsed="false">
      <c r="B5" s="4" t="s">
        <v>1</v>
      </c>
      <c r="C5" s="4"/>
      <c r="D5" s="4"/>
      <c r="E5" s="4"/>
      <c r="F5" s="4"/>
      <c r="G5" s="4"/>
    </row>
    <row r="6" customFormat="false" ht="15" hidden="false" customHeight="true" outlineLevel="0" collapsed="false">
      <c r="B6" s="4"/>
      <c r="C6" s="4"/>
      <c r="D6" s="4"/>
      <c r="E6" s="4"/>
      <c r="F6" s="4"/>
      <c r="G6" s="4"/>
    </row>
    <row r="7" customFormat="false" ht="15" hidden="false" customHeight="true" outlineLevel="0" collapsed="false">
      <c r="B7" s="5" t="s">
        <v>2</v>
      </c>
      <c r="C7" s="5"/>
      <c r="D7" s="5"/>
      <c r="E7" s="5"/>
      <c r="F7" s="5"/>
      <c r="G7" s="5"/>
    </row>
    <row r="8" customFormat="false" ht="15" hidden="false" customHeight="true" outlineLevel="0" collapsed="false">
      <c r="B8" s="2"/>
      <c r="C8" s="2"/>
      <c r="D8" s="2"/>
      <c r="E8" s="2"/>
      <c r="F8" s="2"/>
      <c r="G8" s="2"/>
    </row>
    <row r="9" customFormat="false" ht="15" hidden="false" customHeight="true" outlineLevel="0" collapsed="false">
      <c r="B9" s="6" t="s">
        <v>3</v>
      </c>
      <c r="C9" s="6"/>
      <c r="D9" s="6"/>
      <c r="E9" s="6"/>
      <c r="F9" s="6"/>
      <c r="G9" s="6"/>
    </row>
    <row r="10" customFormat="false" ht="15" hidden="false" customHeight="true" outlineLevel="0" collapsed="false">
      <c r="B10" s="2"/>
      <c r="C10" s="2"/>
      <c r="D10" s="2"/>
      <c r="E10" s="2"/>
      <c r="F10" s="2"/>
      <c r="G10" s="2"/>
    </row>
    <row r="11" customFormat="false" ht="15" hidden="false" customHeight="true" outlineLevel="0" collapsed="false">
      <c r="B11" s="2"/>
      <c r="C11" s="2"/>
      <c r="D11" s="2"/>
      <c r="E11" s="2"/>
      <c r="F11" s="2"/>
      <c r="G11" s="2"/>
    </row>
    <row r="13" customFormat="false" ht="42" hidden="false" customHeight="true" outlineLevel="0" collapsed="false">
      <c r="B13" s="7" t="s">
        <v>4</v>
      </c>
      <c r="C13" s="7"/>
      <c r="D13" s="8" t="s">
        <v>5</v>
      </c>
      <c r="E13" s="8"/>
      <c r="F13" s="8"/>
      <c r="G13" s="8"/>
    </row>
    <row r="14" customFormat="false" ht="42" hidden="false" customHeight="true" outlineLevel="0" collapsed="false">
      <c r="B14" s="7" t="s">
        <v>6</v>
      </c>
      <c r="C14" s="7"/>
      <c r="D14" s="8" t="s">
        <v>7</v>
      </c>
      <c r="E14" s="8"/>
      <c r="F14" s="8"/>
      <c r="G14" s="8"/>
    </row>
    <row r="15" customFormat="false" ht="42" hidden="false" customHeight="true" outlineLevel="0" collapsed="false">
      <c r="B15" s="7" t="s">
        <v>8</v>
      </c>
      <c r="C15" s="7"/>
      <c r="D15" s="8" t="s">
        <v>9</v>
      </c>
      <c r="E15" s="8"/>
      <c r="F15" s="8"/>
      <c r="G15" s="8"/>
    </row>
    <row r="16" customFormat="false" ht="42" hidden="false" customHeight="true" outlineLevel="0" collapsed="false">
      <c r="B16" s="7" t="s">
        <v>10</v>
      </c>
      <c r="C16" s="7"/>
      <c r="D16" s="8" t="s">
        <v>11</v>
      </c>
      <c r="E16" s="8"/>
      <c r="F16" s="8"/>
      <c r="G16" s="8"/>
    </row>
    <row r="17" customFormat="false" ht="42" hidden="false" customHeight="true" outlineLevel="0" collapsed="false">
      <c r="B17" s="7" t="s">
        <v>12</v>
      </c>
      <c r="C17" s="7"/>
      <c r="D17" s="8" t="s">
        <v>13</v>
      </c>
      <c r="E17" s="8"/>
      <c r="F17" s="8"/>
      <c r="G17" s="8"/>
    </row>
    <row r="19" customFormat="false" ht="15" hidden="false" customHeight="true" outlineLevel="0" collapsed="false">
      <c r="B19" s="9" t="s">
        <v>14</v>
      </c>
      <c r="C19" s="9"/>
      <c r="D19" s="9"/>
      <c r="E19" s="9"/>
      <c r="F19" s="9"/>
      <c r="G19" s="9"/>
    </row>
    <row r="20" customFormat="false" ht="21.75" hidden="false" customHeight="true" outlineLevel="0" collapsed="false">
      <c r="B20" s="10" t="s">
        <v>15</v>
      </c>
      <c r="C20" s="10"/>
      <c r="D20" s="8" t="s">
        <v>16</v>
      </c>
      <c r="E20" s="8"/>
      <c r="F20" s="8"/>
      <c r="G20" s="8"/>
    </row>
    <row r="21" customFormat="false" ht="21.75" hidden="false" customHeight="true" outlineLevel="0" collapsed="false">
      <c r="B21" s="10" t="s">
        <v>17</v>
      </c>
      <c r="C21" s="10"/>
      <c r="D21" s="8" t="s">
        <v>18</v>
      </c>
      <c r="E21" s="8"/>
      <c r="F21" s="8"/>
      <c r="G21" s="8"/>
    </row>
    <row r="22" customFormat="false" ht="21.75" hidden="false" customHeight="true" outlineLevel="0" collapsed="false">
      <c r="B22" s="10" t="s">
        <v>19</v>
      </c>
      <c r="C22" s="10"/>
      <c r="D22" s="8" t="s">
        <v>20</v>
      </c>
      <c r="E22" s="8"/>
      <c r="F22" s="8"/>
      <c r="G22" s="8"/>
    </row>
    <row r="23" customFormat="false" ht="21.75" hidden="false" customHeight="true" outlineLevel="0" collapsed="false">
      <c r="B23" s="10" t="s">
        <v>21</v>
      </c>
      <c r="C23" s="10"/>
      <c r="D23" s="8" t="s">
        <v>22</v>
      </c>
      <c r="E23" s="8"/>
      <c r="F23" s="8"/>
      <c r="G23" s="8"/>
    </row>
    <row r="24" customFormat="false" ht="21.75" hidden="false" customHeight="true" outlineLevel="0" collapsed="false">
      <c r="B24" s="10" t="s">
        <v>23</v>
      </c>
      <c r="C24" s="10"/>
      <c r="D24" s="8" t="s">
        <v>24</v>
      </c>
      <c r="E24" s="8"/>
      <c r="F24" s="8"/>
      <c r="G24" s="8"/>
    </row>
    <row r="25" customFormat="false" ht="21.75" hidden="false" customHeight="true" outlineLevel="0" collapsed="false">
      <c r="B25" s="10" t="s">
        <v>25</v>
      </c>
      <c r="C25" s="10"/>
      <c r="D25" s="8" t="s">
        <v>26</v>
      </c>
      <c r="E25" s="8"/>
      <c r="F25" s="8"/>
      <c r="G25" s="8"/>
    </row>
    <row r="26" customFormat="false" ht="21.75" hidden="false" customHeight="true" outlineLevel="0" collapsed="false">
      <c r="B26" s="10" t="s">
        <v>27</v>
      </c>
      <c r="C26" s="10"/>
      <c r="D26" s="8" t="s">
        <v>28</v>
      </c>
      <c r="E26" s="8"/>
      <c r="F26" s="8"/>
      <c r="G26" s="8"/>
    </row>
    <row r="27" customFormat="false" ht="21.75" hidden="false" customHeight="true" outlineLevel="0" collapsed="false">
      <c r="B27" s="10" t="s">
        <v>29</v>
      </c>
      <c r="C27" s="10"/>
      <c r="D27" s="8" t="s">
        <v>30</v>
      </c>
      <c r="E27" s="8"/>
      <c r="F27" s="8"/>
      <c r="G27" s="8"/>
    </row>
    <row r="28" customFormat="false" ht="21.75" hidden="false" customHeight="true" outlineLevel="0" collapsed="false">
      <c r="B28" s="10" t="s">
        <v>31</v>
      </c>
      <c r="C28" s="10"/>
      <c r="D28" s="8" t="s">
        <v>32</v>
      </c>
      <c r="E28" s="8"/>
      <c r="F28" s="8"/>
      <c r="G28" s="8"/>
    </row>
    <row r="29" customFormat="false" ht="21.75" hidden="false" customHeight="true" outlineLevel="0" collapsed="false">
      <c r="B29" s="10" t="s">
        <v>33</v>
      </c>
      <c r="C29" s="10"/>
      <c r="D29" s="8" t="s">
        <v>34</v>
      </c>
      <c r="E29" s="8"/>
      <c r="F29" s="8"/>
      <c r="G29" s="8"/>
    </row>
  </sheetData>
  <mergeCells count="35">
    <mergeCell ref="B3:G3"/>
    <mergeCell ref="B5:G6"/>
    <mergeCell ref="B7:G7"/>
    <mergeCell ref="B9:G9"/>
    <mergeCell ref="B13:C13"/>
    <mergeCell ref="D13:G13"/>
    <mergeCell ref="B14:C14"/>
    <mergeCell ref="D14:G14"/>
    <mergeCell ref="B15:C15"/>
    <mergeCell ref="D15:G15"/>
    <mergeCell ref="B16:C16"/>
    <mergeCell ref="D16:G16"/>
    <mergeCell ref="B17:C17"/>
    <mergeCell ref="D17:G17"/>
    <mergeCell ref="B19:G19"/>
    <mergeCell ref="B20:C20"/>
    <mergeCell ref="D20:G20"/>
    <mergeCell ref="B21:C21"/>
    <mergeCell ref="D21:G21"/>
    <mergeCell ref="B22:C22"/>
    <mergeCell ref="D22:G22"/>
    <mergeCell ref="B23:C23"/>
    <mergeCell ref="D23:G23"/>
    <mergeCell ref="B24:C24"/>
    <mergeCell ref="D24:G24"/>
    <mergeCell ref="B25:C25"/>
    <mergeCell ref="D25:G25"/>
    <mergeCell ref="B26:C26"/>
    <mergeCell ref="D26:G26"/>
    <mergeCell ref="B27:C27"/>
    <mergeCell ref="D27:G27"/>
    <mergeCell ref="B28:C28"/>
    <mergeCell ref="D28:G28"/>
    <mergeCell ref="B29:C29"/>
    <mergeCell ref="D29:G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3" min="3" style="1" width="98"/>
  </cols>
  <sheetData>
    <row r="2" customFormat="false" ht="25.5" hidden="false" customHeight="true" outlineLevel="0" collapsed="false">
      <c r="B2" s="11" t="s">
        <v>35</v>
      </c>
      <c r="C2" s="11"/>
    </row>
    <row r="4" customFormat="false" ht="79.5" hidden="false" customHeight="true" outlineLevel="0" collapsed="false">
      <c r="B4" s="12" t="s">
        <v>36</v>
      </c>
      <c r="C4" s="13" t="s">
        <v>37</v>
      </c>
    </row>
    <row r="5" customFormat="false" ht="63.75" hidden="false" customHeight="true" outlineLevel="0" collapsed="false">
      <c r="B5" s="12" t="s">
        <v>38</v>
      </c>
      <c r="C5" s="13" t="s">
        <v>39</v>
      </c>
    </row>
    <row r="6" customFormat="false" ht="48" hidden="false" customHeight="true" outlineLevel="0" collapsed="false">
      <c r="B6" s="12" t="s">
        <v>40</v>
      </c>
      <c r="C6" s="13" t="s">
        <v>41</v>
      </c>
    </row>
    <row r="7" customFormat="false" ht="48" hidden="false" customHeight="true" outlineLevel="0" collapsed="false">
      <c r="B7" s="12" t="s">
        <v>42</v>
      </c>
      <c r="C7" s="13" t="s">
        <v>43</v>
      </c>
    </row>
    <row r="8" customFormat="false" ht="48" hidden="false" customHeight="true" outlineLevel="0" collapsed="false">
      <c r="B8" s="12" t="s">
        <v>44</v>
      </c>
      <c r="C8" s="13" t="s">
        <v>45</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00"/>
  </cols>
  <sheetData>
    <row r="2" customFormat="false" ht="25.5" hidden="false" customHeight="true" outlineLevel="0" collapsed="false">
      <c r="B2" s="14" t="s">
        <v>46</v>
      </c>
    </row>
    <row r="4" customFormat="false" ht="63.75" hidden="false" customHeight="true" outlineLevel="0" collapsed="false">
      <c r="B4" s="15" t="s">
        <v>6</v>
      </c>
      <c r="C4" s="13" t="s">
        <v>47</v>
      </c>
    </row>
    <row r="5" customFormat="false" ht="48" hidden="false" customHeight="true" outlineLevel="0" collapsed="false">
      <c r="B5" s="15" t="s">
        <v>48</v>
      </c>
      <c r="C5" s="13" t="s">
        <v>49</v>
      </c>
    </row>
    <row r="6" customFormat="false" ht="31.5" hidden="false" customHeight="true" outlineLevel="0" collapsed="false">
      <c r="B6" s="15" t="s">
        <v>50</v>
      </c>
      <c r="C6" s="13" t="s">
        <v>51</v>
      </c>
    </row>
    <row r="7" customFormat="false" ht="31.5" hidden="false" customHeight="true" outlineLevel="0" collapsed="false">
      <c r="B7" s="15" t="s">
        <v>52</v>
      </c>
      <c r="C7" s="13" t="s">
        <v>53</v>
      </c>
    </row>
    <row r="8" customFormat="false" ht="48" hidden="false" customHeight="true" outlineLevel="0" collapsed="false">
      <c r="B8" s="15" t="s">
        <v>54</v>
      </c>
      <c r="C8" s="13" t="s">
        <v>55</v>
      </c>
    </row>
    <row r="9" customFormat="false" ht="48" hidden="false" customHeight="true" outlineLevel="0" collapsed="false">
      <c r="B9" s="15" t="s">
        <v>56</v>
      </c>
      <c r="C9" s="13" t="s">
        <v>57</v>
      </c>
    </row>
    <row r="10" customFormat="false" ht="31.5" hidden="false" customHeight="true" outlineLevel="0" collapsed="false">
      <c r="B10" s="15" t="s">
        <v>58</v>
      </c>
      <c r="C10" s="13" t="s">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8"/>
    <col collapsed="false" customWidth="true" hidden="false" outlineLevel="0" max="4" min="3" style="1" width="16"/>
    <col collapsed="false" customWidth="true" hidden="false" outlineLevel="0" max="5" min="5" style="1" width="44"/>
  </cols>
  <sheetData>
    <row r="2" customFormat="false" ht="18" hidden="false" customHeight="true" outlineLevel="0" collapsed="false">
      <c r="B2" s="14" t="s">
        <v>60</v>
      </c>
    </row>
    <row r="3" customFormat="false" ht="15" hidden="false" customHeight="true" outlineLevel="0" collapsed="false">
      <c r="B3" s="16" t="s">
        <v>61</v>
      </c>
    </row>
    <row r="5" customFormat="false" ht="15" hidden="false" customHeight="true" outlineLevel="0" collapsed="false">
      <c r="B5" s="17" t="s">
        <v>62</v>
      </c>
      <c r="C5" s="17"/>
      <c r="D5" s="17"/>
      <c r="E5" s="17" t="s">
        <v>63</v>
      </c>
    </row>
    <row r="6" customFormat="false" ht="30" hidden="false" customHeight="true" outlineLevel="0" collapsed="false">
      <c r="B6" s="18" t="s">
        <v>64</v>
      </c>
      <c r="C6" s="13"/>
      <c r="D6" s="13"/>
      <c r="E6" s="13" t="s">
        <v>65</v>
      </c>
    </row>
    <row r="7" customFormat="false" ht="30" hidden="false" customHeight="true" outlineLevel="0" collapsed="false">
      <c r="B7" s="18" t="s">
        <v>66</v>
      </c>
      <c r="C7" s="13"/>
      <c r="D7" s="13"/>
      <c r="E7" s="13" t="s">
        <v>67</v>
      </c>
    </row>
    <row r="8" customFormat="false" ht="30" hidden="false" customHeight="true" outlineLevel="0" collapsed="false">
      <c r="B8" s="18" t="s">
        <v>68</v>
      </c>
      <c r="C8" s="13"/>
      <c r="D8" s="13"/>
      <c r="E8" s="13" t="s">
        <v>69</v>
      </c>
    </row>
    <row r="9" customFormat="false" ht="30" hidden="false" customHeight="true" outlineLevel="0" collapsed="false">
      <c r="B9" s="18" t="s">
        <v>70</v>
      </c>
      <c r="C9" s="13"/>
      <c r="D9" s="13"/>
      <c r="E9" s="13" t="s">
        <v>71</v>
      </c>
    </row>
    <row r="10" customFormat="false" ht="30" hidden="false" customHeight="true" outlineLevel="0" collapsed="false">
      <c r="B10" s="18" t="s">
        <v>72</v>
      </c>
      <c r="C10" s="13"/>
      <c r="D10" s="13"/>
      <c r="E10" s="13" t="s">
        <v>73</v>
      </c>
    </row>
    <row r="12" customFormat="false" ht="15" hidden="false" customHeight="true" outlineLevel="0" collapsed="false">
      <c r="B12" s="17" t="s">
        <v>74</v>
      </c>
      <c r="C12" s="17" t="s">
        <v>75</v>
      </c>
      <c r="D12" s="17" t="s">
        <v>76</v>
      </c>
      <c r="E12" s="17"/>
    </row>
    <row r="13" customFormat="false" ht="15" hidden="false" customHeight="true" outlineLevel="0" collapsed="false">
      <c r="B13" s="13" t="s">
        <v>77</v>
      </c>
      <c r="C13" s="19" t="n">
        <v>5000</v>
      </c>
      <c r="D13" s="20" t="s">
        <v>78</v>
      </c>
      <c r="E13" s="21" t="s">
        <v>79</v>
      </c>
    </row>
    <row r="14" customFormat="false" ht="15" hidden="false" customHeight="true" outlineLevel="0" collapsed="false">
      <c r="B14" s="13" t="s">
        <v>80</v>
      </c>
      <c r="C14" s="19" t="n">
        <v>0.8</v>
      </c>
      <c r="D14" s="20" t="s">
        <v>81</v>
      </c>
      <c r="E14" s="21" t="s">
        <v>82</v>
      </c>
    </row>
    <row r="15" customFormat="false" ht="15" hidden="false" customHeight="true" outlineLevel="0" collapsed="false">
      <c r="B15" s="13" t="s">
        <v>83</v>
      </c>
      <c r="C15" s="19" t="n">
        <v>0.2</v>
      </c>
      <c r="D15" s="20" t="s">
        <v>81</v>
      </c>
      <c r="E15" s="21" t="s">
        <v>84</v>
      </c>
    </row>
    <row r="16" customFormat="false" ht="15" hidden="false" customHeight="true" outlineLevel="0" collapsed="false">
      <c r="B16" s="13" t="s">
        <v>85</v>
      </c>
      <c r="C16" s="19" t="n">
        <v>0.15</v>
      </c>
      <c r="D16" s="20" t="s">
        <v>81</v>
      </c>
      <c r="E16" s="21" t="s">
        <v>86</v>
      </c>
    </row>
    <row r="17" customFormat="false" ht="15" hidden="false" customHeight="true" outlineLevel="0" collapsed="false">
      <c r="B17" s="13" t="s">
        <v>87</v>
      </c>
      <c r="C17" s="19" t="n">
        <v>0.02</v>
      </c>
      <c r="D17" s="20" t="s">
        <v>81</v>
      </c>
      <c r="E17" s="21" t="s">
        <v>88</v>
      </c>
    </row>
    <row r="18" customFormat="false" ht="15" hidden="false" customHeight="true" outlineLevel="0" collapsed="false">
      <c r="B18" s="13" t="s">
        <v>89</v>
      </c>
      <c r="C18" s="19" t="n">
        <v>4</v>
      </c>
      <c r="D18" s="20" t="s">
        <v>90</v>
      </c>
      <c r="E18" s="21" t="s">
        <v>91</v>
      </c>
    </row>
    <row r="19" customFormat="false" ht="15" hidden="false" customHeight="true" outlineLevel="0" collapsed="false">
      <c r="B19" s="13" t="s">
        <v>92</v>
      </c>
      <c r="C19" s="19" t="n">
        <v>2250</v>
      </c>
      <c r="D19" s="20" t="s">
        <v>78</v>
      </c>
      <c r="E19" s="21" t="s">
        <v>93</v>
      </c>
    </row>
    <row r="20" customFormat="false" ht="15" hidden="false" customHeight="true" outlineLevel="0" collapsed="false">
      <c r="B20" s="18" t="s">
        <v>94</v>
      </c>
      <c r="C20" s="22" t="n">
        <f aca="false">C13*C14</f>
        <v>4000</v>
      </c>
      <c r="D20" s="20" t="s">
        <v>78</v>
      </c>
      <c r="E20" s="21" t="s">
        <v>95</v>
      </c>
    </row>
    <row r="21" customFormat="false" ht="15" hidden="false" customHeight="true" outlineLevel="0" collapsed="false">
      <c r="B21" s="18" t="s">
        <v>96</v>
      </c>
      <c r="C21" s="22" t="n">
        <f aca="false">C13*C15</f>
        <v>1000</v>
      </c>
      <c r="D21" s="20" t="s">
        <v>78</v>
      </c>
      <c r="E21" s="21" t="s">
        <v>97</v>
      </c>
    </row>
    <row r="22" customFormat="false" ht="15" hidden="false" customHeight="true" outlineLevel="0" collapsed="false">
      <c r="B22" s="18" t="s">
        <v>98</v>
      </c>
      <c r="C22" s="22" t="n">
        <f aca="false">C13*C17</f>
        <v>100</v>
      </c>
      <c r="D22" s="20" t="s">
        <v>78</v>
      </c>
      <c r="E22" s="21" t="s">
        <v>99</v>
      </c>
    </row>
    <row r="23" customFormat="false" ht="15" hidden="false" customHeight="true" outlineLevel="0" collapsed="false">
      <c r="B23" s="18" t="s">
        <v>100</v>
      </c>
      <c r="C23" s="22" t="n">
        <f aca="false">C13*C15*C18</f>
        <v>4000</v>
      </c>
      <c r="D23" s="20" t="s">
        <v>78</v>
      </c>
      <c r="E23" s="21" t="s">
        <v>101</v>
      </c>
    </row>
    <row r="24" customFormat="false" ht="15" hidden="false" customHeight="true" outlineLevel="0" collapsed="false">
      <c r="B24" s="18" t="s">
        <v>102</v>
      </c>
      <c r="C24" s="22" t="n">
        <f aca="false">(C13*C15*C18)-C19</f>
        <v>1750</v>
      </c>
      <c r="D24" s="20" t="s">
        <v>78</v>
      </c>
      <c r="E24" s="21" t="s">
        <v>103</v>
      </c>
    </row>
    <row r="25" customFormat="false" ht="15" hidden="false" customHeight="true" outlineLevel="0" collapsed="false">
      <c r="B25" s="18" t="s">
        <v>104</v>
      </c>
      <c r="C25" s="23" t="n">
        <f aca="false">C19/(C13*C15)</f>
        <v>2.25</v>
      </c>
      <c r="D25" s="20" t="s">
        <v>90</v>
      </c>
      <c r="E25" s="21" t="s">
        <v>105</v>
      </c>
    </row>
    <row r="27" customFormat="false" ht="43.5" hidden="false" customHeight="true" outlineLevel="0" collapsed="false">
      <c r="B27" s="24" t="s">
        <v>106</v>
      </c>
      <c r="C27" s="24"/>
      <c r="D27" s="24"/>
      <c r="E27" s="24"/>
    </row>
  </sheetData>
  <mergeCells count="1">
    <mergeCell ref="B27:E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3" min="2" style="1" width="24"/>
    <col collapsed="false" customWidth="true" hidden="false" outlineLevel="0" max="4" min="4" style="1" width="40"/>
  </cols>
  <sheetData>
    <row r="1" customFormat="false" ht="18" hidden="false" customHeight="true" outlineLevel="0" collapsed="false">
      <c r="A1" s="11" t="s">
        <v>107</v>
      </c>
      <c r="B1" s="11"/>
    </row>
    <row r="2" customFormat="false" ht="15" hidden="false" customHeight="true" outlineLevel="0" collapsed="false">
      <c r="A2" s="16" t="s">
        <v>108</v>
      </c>
    </row>
    <row r="4" customFormat="false" ht="25.5" hidden="false" customHeight="true" outlineLevel="0" collapsed="false">
      <c r="A4" s="25" t="s">
        <v>109</v>
      </c>
      <c r="B4" s="25" t="s">
        <v>110</v>
      </c>
      <c r="C4" s="25" t="s">
        <v>111</v>
      </c>
      <c r="D4" s="25" t="s">
        <v>112</v>
      </c>
    </row>
    <row r="5" customFormat="false" ht="39.75" hidden="false" customHeight="true" outlineLevel="0" collapsed="false">
      <c r="A5" s="18" t="s">
        <v>113</v>
      </c>
      <c r="B5" s="13" t="s">
        <v>114</v>
      </c>
      <c r="C5" s="13" t="s">
        <v>115</v>
      </c>
      <c r="D5" s="13" t="s">
        <v>116</v>
      </c>
    </row>
    <row r="6" customFormat="false" ht="39.75" hidden="false" customHeight="true" outlineLevel="0" collapsed="false">
      <c r="A6" s="18" t="s">
        <v>117</v>
      </c>
      <c r="B6" s="13" t="s">
        <v>118</v>
      </c>
      <c r="C6" s="13" t="s">
        <v>118</v>
      </c>
      <c r="D6" s="13" t="s">
        <v>119</v>
      </c>
    </row>
    <row r="7" customFormat="false" ht="39.75" hidden="false" customHeight="true" outlineLevel="0" collapsed="false">
      <c r="A7" s="18" t="s">
        <v>120</v>
      </c>
      <c r="B7" s="13" t="s">
        <v>115</v>
      </c>
      <c r="C7" s="13" t="s">
        <v>121</v>
      </c>
      <c r="D7" s="13" t="s">
        <v>122</v>
      </c>
    </row>
    <row r="8" customFormat="false" ht="39.75" hidden="false" customHeight="true" outlineLevel="0" collapsed="false">
      <c r="A8" s="18" t="s">
        <v>123</v>
      </c>
      <c r="B8" s="13" t="s">
        <v>115</v>
      </c>
      <c r="C8" s="13" t="s">
        <v>124</v>
      </c>
      <c r="D8" s="13" t="s">
        <v>125</v>
      </c>
    </row>
    <row r="9" customFormat="false" ht="39.75" hidden="false" customHeight="true" outlineLevel="0" collapsed="false">
      <c r="A9" s="18" t="s">
        <v>126</v>
      </c>
      <c r="B9" s="13" t="s">
        <v>115</v>
      </c>
      <c r="C9" s="13" t="s">
        <v>127</v>
      </c>
      <c r="D9" s="13" t="s">
        <v>128</v>
      </c>
    </row>
    <row r="10" customFormat="false" ht="39.75" hidden="false" customHeight="true" outlineLevel="0" collapsed="false">
      <c r="A10" s="18" t="s">
        <v>129</v>
      </c>
      <c r="B10" s="13" t="s">
        <v>124</v>
      </c>
      <c r="C10" s="13" t="s">
        <v>130</v>
      </c>
      <c r="D10" s="13" t="s">
        <v>131</v>
      </c>
    </row>
    <row r="11" customFormat="false" ht="39.75" hidden="false" customHeight="true" outlineLevel="0" collapsed="false">
      <c r="A11" s="18" t="s">
        <v>132</v>
      </c>
      <c r="B11" s="13" t="s">
        <v>127</v>
      </c>
      <c r="C11" s="13" t="s">
        <v>133</v>
      </c>
      <c r="D11" s="13" t="s">
        <v>134</v>
      </c>
    </row>
    <row r="12" customFormat="false" ht="39.75" hidden="false" customHeight="true" outlineLevel="0" collapsed="false">
      <c r="A12" s="18" t="s">
        <v>135</v>
      </c>
      <c r="B12" s="13" t="s">
        <v>115</v>
      </c>
      <c r="C12" s="13" t="s">
        <v>130</v>
      </c>
      <c r="D12" s="13" t="s">
        <v>136</v>
      </c>
    </row>
    <row r="13" customFormat="false" ht="39.75" hidden="false" customHeight="true" outlineLevel="0" collapsed="false">
      <c r="A13" s="18" t="s">
        <v>137</v>
      </c>
      <c r="B13" s="13" t="s">
        <v>138</v>
      </c>
      <c r="C13" s="13" t="s">
        <v>139</v>
      </c>
      <c r="D13" s="13" t="s">
        <v>140</v>
      </c>
    </row>
    <row r="14" customFormat="false" ht="39.75" hidden="false" customHeight="true" outlineLevel="0" collapsed="false">
      <c r="A14" s="18" t="s">
        <v>141</v>
      </c>
      <c r="B14" s="13" t="s">
        <v>142</v>
      </c>
      <c r="C14" s="13" t="s">
        <v>143</v>
      </c>
      <c r="D14" s="13" t="s">
        <v>144</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26"/>
    <col collapsed="false" customWidth="true" hidden="false" outlineLevel="0" max="4" min="4" style="1" width="40"/>
    <col collapsed="false" customWidth="true" hidden="false" outlineLevel="0" max="5" min="5" style="1" width="34"/>
    <col collapsed="false" customWidth="true" hidden="false" outlineLevel="0" max="6" min="6" style="1" width="16"/>
  </cols>
  <sheetData>
    <row r="1" customFormat="false" ht="18" hidden="false" customHeight="true" outlineLevel="0" collapsed="false">
      <c r="A1" s="11" t="s">
        <v>145</v>
      </c>
      <c r="B1" s="11"/>
    </row>
    <row r="2" customFormat="false" ht="15" hidden="false" customHeight="true" outlineLevel="0" collapsed="false">
      <c r="A2" s="16" t="s">
        <v>146</v>
      </c>
    </row>
    <row r="4" customFormat="false" ht="25.5" hidden="false" customHeight="true" outlineLevel="0" collapsed="false">
      <c r="A4" s="25" t="s">
        <v>147</v>
      </c>
      <c r="B4" s="25" t="s">
        <v>148</v>
      </c>
      <c r="C4" s="25" t="s">
        <v>149</v>
      </c>
      <c r="D4" s="25" t="s">
        <v>150</v>
      </c>
      <c r="E4" s="25" t="s">
        <v>151</v>
      </c>
      <c r="F4" s="25" t="s">
        <v>152</v>
      </c>
    </row>
    <row r="5" customFormat="false" ht="61.5" hidden="false" customHeight="true" outlineLevel="0" collapsed="false">
      <c r="A5" s="26" t="s">
        <v>153</v>
      </c>
      <c r="B5" s="18" t="s">
        <v>154</v>
      </c>
      <c r="C5" s="13" t="s">
        <v>155</v>
      </c>
      <c r="D5" s="13" t="s">
        <v>156</v>
      </c>
      <c r="E5" s="13" t="s">
        <v>157</v>
      </c>
      <c r="F5" s="13" t="s">
        <v>158</v>
      </c>
    </row>
    <row r="6" customFormat="false" ht="61.5" hidden="false" customHeight="true" outlineLevel="0" collapsed="false">
      <c r="A6" s="26" t="s">
        <v>159</v>
      </c>
      <c r="B6" s="18" t="s">
        <v>160</v>
      </c>
      <c r="C6" s="13" t="s">
        <v>161</v>
      </c>
      <c r="D6" s="13" t="s">
        <v>162</v>
      </c>
      <c r="E6" s="13" t="s">
        <v>163</v>
      </c>
      <c r="F6" s="13" t="s">
        <v>153</v>
      </c>
    </row>
    <row r="7" customFormat="false" ht="61.5" hidden="false" customHeight="true" outlineLevel="0" collapsed="false">
      <c r="A7" s="26" t="s">
        <v>164</v>
      </c>
      <c r="B7" s="18" t="s">
        <v>165</v>
      </c>
      <c r="C7" s="13" t="s">
        <v>166</v>
      </c>
      <c r="D7" s="13" t="s">
        <v>167</v>
      </c>
      <c r="E7" s="13" t="s">
        <v>168</v>
      </c>
      <c r="F7" s="13" t="s">
        <v>153</v>
      </c>
    </row>
    <row r="8" customFormat="false" ht="61.5" hidden="false" customHeight="true" outlineLevel="0" collapsed="false">
      <c r="A8" s="26" t="s">
        <v>169</v>
      </c>
      <c r="B8" s="18" t="s">
        <v>170</v>
      </c>
      <c r="C8" s="13" t="s">
        <v>171</v>
      </c>
      <c r="D8" s="13" t="s">
        <v>172</v>
      </c>
      <c r="E8" s="13" t="s">
        <v>173</v>
      </c>
      <c r="F8" s="13" t="s">
        <v>174</v>
      </c>
    </row>
    <row r="9" customFormat="false" ht="61.5" hidden="false" customHeight="true" outlineLevel="0" collapsed="false">
      <c r="A9" s="26" t="s">
        <v>175</v>
      </c>
      <c r="B9" s="18" t="s">
        <v>176</v>
      </c>
      <c r="C9" s="13" t="s">
        <v>177</v>
      </c>
      <c r="D9" s="13" t="s">
        <v>178</v>
      </c>
      <c r="E9" s="13" t="s">
        <v>179</v>
      </c>
      <c r="F9" s="13" t="s">
        <v>153</v>
      </c>
    </row>
    <row r="10" customFormat="false" ht="61.5" hidden="false" customHeight="true" outlineLevel="0" collapsed="false">
      <c r="A10" s="26" t="s">
        <v>180</v>
      </c>
      <c r="B10" s="18" t="s">
        <v>181</v>
      </c>
      <c r="C10" s="13" t="s">
        <v>182</v>
      </c>
      <c r="D10" s="13" t="s">
        <v>183</v>
      </c>
      <c r="E10" s="13" t="s">
        <v>184</v>
      </c>
      <c r="F10" s="13" t="s">
        <v>175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8"/>
    <col collapsed="false" customWidth="true" hidden="false" outlineLevel="0" max="3" min="3" style="1" width="30"/>
    <col collapsed="false" customWidth="true" hidden="false" outlineLevel="0" max="4" min="4" style="1" width="10"/>
    <col collapsed="false" customWidth="true" hidden="false" outlineLevel="0" max="5" min="5" style="1" width="34"/>
    <col collapsed="false" customWidth="true" hidden="false" outlineLevel="0" max="6" min="6" style="1" width="24"/>
    <col collapsed="false" customWidth="true" hidden="false" outlineLevel="0" max="7" min="7" style="1" width="26"/>
  </cols>
  <sheetData>
    <row r="1" customFormat="false" ht="18" hidden="false" customHeight="true" outlineLevel="0" collapsed="false">
      <c r="A1" s="11" t="s">
        <v>185</v>
      </c>
      <c r="B1" s="11"/>
    </row>
    <row r="2" customFormat="false" ht="15" hidden="false" customHeight="true" outlineLevel="0" collapsed="false">
      <c r="A2" s="16" t="s">
        <v>186</v>
      </c>
    </row>
    <row r="4" customFormat="false" ht="25.5" hidden="false" customHeight="true" outlineLevel="0" collapsed="false">
      <c r="A4" s="25" t="s">
        <v>187</v>
      </c>
      <c r="B4" s="25" t="s">
        <v>188</v>
      </c>
      <c r="C4" s="25" t="s">
        <v>189</v>
      </c>
      <c r="D4" s="25" t="s">
        <v>190</v>
      </c>
      <c r="E4" s="25" t="s">
        <v>191</v>
      </c>
      <c r="F4" s="25" t="s">
        <v>192</v>
      </c>
      <c r="G4" s="25" t="s">
        <v>193</v>
      </c>
    </row>
    <row r="5" customFormat="false" ht="51.75" hidden="false" customHeight="true" outlineLevel="0" collapsed="false">
      <c r="A5" s="26" t="s">
        <v>194</v>
      </c>
      <c r="B5" s="18" t="s">
        <v>195</v>
      </c>
      <c r="C5" s="13" t="s">
        <v>196</v>
      </c>
      <c r="D5" s="27" t="s">
        <v>159</v>
      </c>
      <c r="E5" s="13" t="s">
        <v>197</v>
      </c>
      <c r="F5" s="13" t="s">
        <v>198</v>
      </c>
      <c r="G5" s="13" t="s">
        <v>199</v>
      </c>
    </row>
    <row r="6" customFormat="false" ht="51.75" hidden="false" customHeight="true" outlineLevel="0" collapsed="false">
      <c r="A6" s="26" t="s">
        <v>200</v>
      </c>
      <c r="B6" s="18" t="s">
        <v>201</v>
      </c>
      <c r="C6" s="13" t="s">
        <v>202</v>
      </c>
      <c r="D6" s="27" t="s">
        <v>159</v>
      </c>
      <c r="E6" s="13" t="s">
        <v>203</v>
      </c>
      <c r="F6" s="13" t="s">
        <v>204</v>
      </c>
      <c r="G6" s="13" t="s">
        <v>205</v>
      </c>
    </row>
    <row r="7" customFormat="false" ht="51.75" hidden="false" customHeight="true" outlineLevel="0" collapsed="false">
      <c r="A7" s="26" t="s">
        <v>206</v>
      </c>
      <c r="B7" s="18" t="s">
        <v>207</v>
      </c>
      <c r="C7" s="13" t="s">
        <v>208</v>
      </c>
      <c r="D7" s="27" t="s">
        <v>159</v>
      </c>
      <c r="E7" s="13" t="s">
        <v>209</v>
      </c>
      <c r="F7" s="13" t="s">
        <v>210</v>
      </c>
      <c r="G7" s="13" t="s">
        <v>211</v>
      </c>
    </row>
    <row r="8" customFormat="false" ht="51.75" hidden="false" customHeight="true" outlineLevel="0" collapsed="false">
      <c r="A8" s="26" t="s">
        <v>212</v>
      </c>
      <c r="B8" s="18" t="s">
        <v>213</v>
      </c>
      <c r="C8" s="13" t="s">
        <v>214</v>
      </c>
      <c r="D8" s="27" t="s">
        <v>164</v>
      </c>
      <c r="E8" s="13" t="s">
        <v>215</v>
      </c>
      <c r="F8" s="13" t="s">
        <v>216</v>
      </c>
      <c r="G8" s="13" t="s">
        <v>217</v>
      </c>
    </row>
    <row r="9" customFormat="false" ht="51.75" hidden="false" customHeight="true" outlineLevel="0" collapsed="false">
      <c r="A9" s="26" t="s">
        <v>218</v>
      </c>
      <c r="B9" s="18" t="s">
        <v>219</v>
      </c>
      <c r="C9" s="13" t="s">
        <v>220</v>
      </c>
      <c r="D9" s="27" t="s">
        <v>164</v>
      </c>
      <c r="E9" s="13" t="s">
        <v>221</v>
      </c>
      <c r="F9" s="13" t="s">
        <v>222</v>
      </c>
      <c r="G9" s="13" t="s">
        <v>223</v>
      </c>
    </row>
    <row r="10" customFormat="false" ht="51.75" hidden="false" customHeight="true" outlineLevel="0" collapsed="false">
      <c r="A10" s="26" t="s">
        <v>224</v>
      </c>
      <c r="B10" s="18" t="s">
        <v>225</v>
      </c>
      <c r="C10" s="13" t="s">
        <v>226</v>
      </c>
      <c r="D10" s="27" t="s">
        <v>164</v>
      </c>
      <c r="E10" s="13" t="s">
        <v>227</v>
      </c>
      <c r="F10" s="13" t="s">
        <v>228</v>
      </c>
      <c r="G10" s="13" t="s">
        <v>229</v>
      </c>
    </row>
    <row r="11" customFormat="false" ht="51.75" hidden="false" customHeight="true" outlineLevel="0" collapsed="false">
      <c r="A11" s="26" t="s">
        <v>230</v>
      </c>
      <c r="B11" s="18" t="s">
        <v>231</v>
      </c>
      <c r="C11" s="13" t="s">
        <v>232</v>
      </c>
      <c r="D11" s="27" t="s">
        <v>164</v>
      </c>
      <c r="E11" s="13" t="s">
        <v>233</v>
      </c>
      <c r="F11" s="13" t="s">
        <v>222</v>
      </c>
      <c r="G11" s="13" t="s">
        <v>234</v>
      </c>
    </row>
    <row r="12" customFormat="false" ht="51.75" hidden="false" customHeight="true" outlineLevel="0" collapsed="false">
      <c r="A12" s="26" t="s">
        <v>235</v>
      </c>
      <c r="B12" s="18" t="s">
        <v>236</v>
      </c>
      <c r="C12" s="13" t="s">
        <v>237</v>
      </c>
      <c r="D12" s="27" t="s">
        <v>169</v>
      </c>
      <c r="E12" s="13" t="s">
        <v>238</v>
      </c>
      <c r="F12" s="13" t="s">
        <v>239</v>
      </c>
      <c r="G12" s="13" t="s">
        <v>240</v>
      </c>
    </row>
    <row r="13" customFormat="false" ht="51.75" hidden="false" customHeight="true" outlineLevel="0" collapsed="false">
      <c r="A13" s="26" t="s">
        <v>241</v>
      </c>
      <c r="B13" s="18" t="s">
        <v>242</v>
      </c>
      <c r="C13" s="13" t="s">
        <v>243</v>
      </c>
      <c r="D13" s="27" t="s">
        <v>159</v>
      </c>
      <c r="E13" s="13" t="s">
        <v>244</v>
      </c>
      <c r="F13" s="13" t="s">
        <v>245</v>
      </c>
      <c r="G13" s="13" t="s">
        <v>246</v>
      </c>
    </row>
    <row r="14" customFormat="false" ht="51.75" hidden="false" customHeight="true" outlineLevel="0" collapsed="false">
      <c r="A14" s="26" t="s">
        <v>247</v>
      </c>
      <c r="B14" s="18" t="s">
        <v>248</v>
      </c>
      <c r="C14" s="13" t="s">
        <v>249</v>
      </c>
      <c r="D14" s="27" t="s">
        <v>153</v>
      </c>
      <c r="E14" s="13" t="s">
        <v>250</v>
      </c>
      <c r="F14" s="13" t="s">
        <v>251</v>
      </c>
      <c r="G14" s="13" t="s">
        <v>252</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94"/>
  </cols>
  <sheetData>
    <row r="2" customFormat="false" ht="24" hidden="false" customHeight="true" outlineLevel="0" collapsed="false">
      <c r="B2" s="14" t="s">
        <v>253</v>
      </c>
    </row>
    <row r="4" customFormat="false" ht="48" hidden="false" customHeight="true" outlineLevel="0" collapsed="false">
      <c r="B4" s="15" t="s">
        <v>254</v>
      </c>
      <c r="C4" s="13" t="s">
        <v>255</v>
      </c>
    </row>
    <row r="5" customFormat="false" ht="48" hidden="false" customHeight="true" outlineLevel="0" collapsed="false">
      <c r="B5" s="15" t="s">
        <v>256</v>
      </c>
      <c r="C5" s="13" t="s">
        <v>257</v>
      </c>
    </row>
    <row r="6" customFormat="false" ht="48" hidden="false" customHeight="true" outlineLevel="0" collapsed="false">
      <c r="B6" s="15" t="s">
        <v>87</v>
      </c>
      <c r="C6" s="13" t="s">
        <v>258</v>
      </c>
    </row>
    <row r="7" customFormat="false" ht="31.5" hidden="false" customHeight="true" outlineLevel="0" collapsed="false">
      <c r="B7" s="15" t="s">
        <v>259</v>
      </c>
      <c r="C7" s="13" t="s">
        <v>260</v>
      </c>
    </row>
    <row r="8" customFormat="false" ht="31.5" hidden="false" customHeight="true" outlineLevel="0" collapsed="false">
      <c r="B8" s="15" t="s">
        <v>261</v>
      </c>
      <c r="C8" s="13" t="s">
        <v>262</v>
      </c>
    </row>
    <row r="9" customFormat="false" ht="48" hidden="false" customHeight="true" outlineLevel="0" collapsed="false">
      <c r="B9" s="15" t="s">
        <v>263</v>
      </c>
      <c r="C9" s="13" t="s">
        <v>264</v>
      </c>
    </row>
    <row r="10" customFormat="false" ht="48" hidden="false" customHeight="true" outlineLevel="0" collapsed="false">
      <c r="B10" s="15" t="s">
        <v>265</v>
      </c>
      <c r="C10" s="13" t="s">
        <v>266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34"/>
    <col collapsed="false" customWidth="true" hidden="false" outlineLevel="0" max="3" min="3" style="1" width="24"/>
    <col collapsed="false" customWidth="true" hidden="false" outlineLevel="0" max="4" min="4" style="1" width="28"/>
  </cols>
  <sheetData>
    <row r="1" customFormat="false" ht="18" hidden="false" customHeight="true" outlineLevel="0" collapsed="false">
      <c r="A1" s="11" t="s">
        <v>267</v>
      </c>
      <c r="B1" s="11"/>
    </row>
    <row r="2" customFormat="false" ht="15" hidden="false" customHeight="true" outlineLevel="0" collapsed="false">
      <c r="A2" s="16" t="s">
        <v>268</v>
      </c>
    </row>
    <row r="4" customFormat="false" ht="25.5" hidden="false" customHeight="true" outlineLevel="0" collapsed="false">
      <c r="A4" s="25" t="s">
        <v>269</v>
      </c>
      <c r="B4" s="25" t="s">
        <v>270</v>
      </c>
      <c r="C4" s="25" t="s">
        <v>271</v>
      </c>
      <c r="D4" s="25" t="s">
        <v>272</v>
      </c>
    </row>
    <row r="5" customFormat="false" ht="33.75" hidden="false" customHeight="true" outlineLevel="0" collapsed="false">
      <c r="A5" s="18" t="s">
        <v>273</v>
      </c>
      <c r="B5" s="13" t="s">
        <v>274</v>
      </c>
      <c r="C5" s="13" t="s">
        <v>275</v>
      </c>
      <c r="D5" s="13" t="s">
        <v>276</v>
      </c>
    </row>
    <row r="6" customFormat="false" ht="33.75" hidden="false" customHeight="true" outlineLevel="0" collapsed="false">
      <c r="A6" s="18" t="s">
        <v>277</v>
      </c>
      <c r="B6" s="13" t="s">
        <v>278</v>
      </c>
      <c r="C6" s="13" t="s">
        <v>279</v>
      </c>
      <c r="D6" s="13" t="s">
        <v>280</v>
      </c>
    </row>
    <row r="7" customFormat="false" ht="33.75" hidden="false" customHeight="true" outlineLevel="0" collapsed="false">
      <c r="A7" s="18" t="s">
        <v>281</v>
      </c>
      <c r="B7" s="13" t="s">
        <v>282</v>
      </c>
      <c r="C7" s="13" t="s">
        <v>283</v>
      </c>
      <c r="D7" s="13" t="s">
        <v>284</v>
      </c>
    </row>
    <row r="8" customFormat="false" ht="33.75" hidden="false" customHeight="true" outlineLevel="0" collapsed="false">
      <c r="A8" s="18" t="s">
        <v>285</v>
      </c>
      <c r="B8" s="13" t="s">
        <v>286</v>
      </c>
      <c r="C8" s="13" t="s">
        <v>287</v>
      </c>
      <c r="D8" s="13" t="s">
        <v>288</v>
      </c>
    </row>
    <row r="9" customFormat="false" ht="33.75" hidden="false" customHeight="true" outlineLevel="0" collapsed="false">
      <c r="A9" s="18" t="s">
        <v>289</v>
      </c>
      <c r="B9" s="13" t="s">
        <v>290</v>
      </c>
      <c r="C9" s="13" t="s">
        <v>291</v>
      </c>
      <c r="D9" s="13" t="s">
        <v>292</v>
      </c>
    </row>
    <row r="10" customFormat="false" ht="33.75" hidden="false" customHeight="true" outlineLevel="0" collapsed="false">
      <c r="A10" s="18" t="s">
        <v>293</v>
      </c>
      <c r="B10" s="13" t="s">
        <v>294</v>
      </c>
      <c r="C10" s="13" t="s">
        <v>295</v>
      </c>
      <c r="D10" s="13" t="s">
        <v>296</v>
      </c>
    </row>
    <row r="11" customFormat="false" ht="33.75" hidden="false" customHeight="true" outlineLevel="0" collapsed="false">
      <c r="A11" s="18" t="s">
        <v>242</v>
      </c>
      <c r="B11" s="13" t="s">
        <v>297</v>
      </c>
      <c r="C11" s="13" t="s">
        <v>298</v>
      </c>
      <c r="D11" s="13" t="s">
        <v>299</v>
      </c>
    </row>
    <row r="12" customFormat="false" ht="33.75" hidden="false" customHeight="true" outlineLevel="0" collapsed="false">
      <c r="A12" s="18" t="s">
        <v>300</v>
      </c>
      <c r="B12" s="13" t="s">
        <v>301</v>
      </c>
      <c r="C12" s="13" t="s">
        <v>302</v>
      </c>
      <c r="D12" s="13" t="s">
        <v>303</v>
      </c>
    </row>
    <row r="13" customFormat="false" ht="33.75" hidden="false" customHeight="true" outlineLevel="0" collapsed="false">
      <c r="A13" s="18" t="s">
        <v>304</v>
      </c>
      <c r="B13" s="13" t="s">
        <v>305</v>
      </c>
      <c r="C13" s="13" t="s">
        <v>306</v>
      </c>
      <c r="D13" s="13" t="s">
        <v>307</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52"/>
    <col collapsed="false" customWidth="true" hidden="false" outlineLevel="0" max="3" min="3" style="1" width="34"/>
    <col collapsed="false" customWidth="true" hidden="false" outlineLevel="0" max="4" min="4" style="1" width="12"/>
  </cols>
  <sheetData>
    <row r="1" customFormat="false" ht="18" hidden="false" customHeight="true" outlineLevel="0" collapsed="false">
      <c r="A1" s="11" t="s">
        <v>308</v>
      </c>
      <c r="B1" s="11"/>
    </row>
    <row r="2" customFormat="false" ht="15" hidden="false" customHeight="true" outlineLevel="0" collapsed="false">
      <c r="A2" s="16" t="s">
        <v>309</v>
      </c>
    </row>
    <row r="4" customFormat="false" ht="25.5" hidden="false" customHeight="true" outlineLevel="0" collapsed="false">
      <c r="A4" s="25" t="s">
        <v>310</v>
      </c>
      <c r="B4" s="25" t="s">
        <v>311</v>
      </c>
      <c r="C4" s="25" t="s">
        <v>312</v>
      </c>
      <c r="D4" s="25" t="s">
        <v>12</v>
      </c>
    </row>
    <row r="5" customFormat="false" ht="48" hidden="false" customHeight="true" outlineLevel="0" collapsed="false">
      <c r="A5" s="18" t="s">
        <v>313</v>
      </c>
      <c r="B5" s="13" t="s">
        <v>314</v>
      </c>
      <c r="C5" s="13" t="s">
        <v>315</v>
      </c>
      <c r="D5" s="28" t="s">
        <v>316</v>
      </c>
    </row>
    <row r="6" customFormat="false" ht="48" hidden="false" customHeight="true" outlineLevel="0" collapsed="false">
      <c r="A6" s="18" t="s">
        <v>313</v>
      </c>
      <c r="B6" s="13" t="s">
        <v>317</v>
      </c>
      <c r="C6" s="13" t="s">
        <v>318</v>
      </c>
      <c r="D6" s="29" t="s">
        <v>319</v>
      </c>
    </row>
    <row r="7" customFormat="false" ht="48" hidden="false" customHeight="true" outlineLevel="0" collapsed="false">
      <c r="A7" s="18" t="s">
        <v>320</v>
      </c>
      <c r="B7" s="13" t="s">
        <v>321</v>
      </c>
      <c r="C7" s="13" t="s">
        <v>322</v>
      </c>
      <c r="D7" s="28" t="s">
        <v>316</v>
      </c>
    </row>
    <row r="8" customFormat="false" ht="48" hidden="false" customHeight="true" outlineLevel="0" collapsed="false">
      <c r="A8" s="18" t="s">
        <v>323</v>
      </c>
      <c r="B8" s="13" t="s">
        <v>324</v>
      </c>
      <c r="C8" s="13" t="s">
        <v>325</v>
      </c>
      <c r="D8" s="28" t="s">
        <v>316</v>
      </c>
    </row>
    <row r="9" customFormat="false" ht="48" hidden="false" customHeight="true" outlineLevel="0" collapsed="false">
      <c r="A9" s="18" t="s">
        <v>326</v>
      </c>
      <c r="B9" s="13" t="s">
        <v>327</v>
      </c>
      <c r="C9" s="13" t="s">
        <v>328</v>
      </c>
      <c r="D9" s="28" t="s">
        <v>316</v>
      </c>
    </row>
    <row r="10" customFormat="false" ht="48" hidden="false" customHeight="true" outlineLevel="0" collapsed="false">
      <c r="A10" s="18" t="s">
        <v>329</v>
      </c>
      <c r="B10" s="13" t="s">
        <v>330</v>
      </c>
      <c r="C10" s="13" t="s">
        <v>331</v>
      </c>
      <c r="D10" s="28" t="s">
        <v>316</v>
      </c>
    </row>
    <row r="11" customFormat="false" ht="48" hidden="false" customHeight="true" outlineLevel="0" collapsed="false">
      <c r="A11" s="18" t="s">
        <v>332</v>
      </c>
      <c r="B11" s="13" t="s">
        <v>333</v>
      </c>
      <c r="C11" s="13" t="s">
        <v>334</v>
      </c>
      <c r="D11" s="28" t="s">
        <v>316</v>
      </c>
    </row>
    <row r="12" customFormat="false" ht="48" hidden="false" customHeight="true" outlineLevel="0" collapsed="false">
      <c r="A12" s="18" t="s">
        <v>335</v>
      </c>
      <c r="B12" s="13" t="s">
        <v>336</v>
      </c>
      <c r="C12" s="13" t="s">
        <v>337</v>
      </c>
      <c r="D12" s="29" t="s">
        <v>319</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34"/>
    <col collapsed="false" customWidth="true" hidden="false" outlineLevel="0" max="3" min="3" style="1" width="50"/>
    <col collapsed="false" customWidth="true" hidden="false" outlineLevel="0" max="4" min="4" style="1" width="12"/>
  </cols>
  <sheetData>
    <row r="1" customFormat="false" ht="18" hidden="false" customHeight="true" outlineLevel="0" collapsed="false">
      <c r="A1" s="11" t="s">
        <v>338</v>
      </c>
      <c r="B1" s="11"/>
    </row>
    <row r="2" customFormat="false" ht="15" hidden="false" customHeight="true" outlineLevel="0" collapsed="false">
      <c r="A2" s="16" t="s">
        <v>339</v>
      </c>
    </row>
    <row r="4" customFormat="false" ht="25.5" hidden="false" customHeight="true" outlineLevel="0" collapsed="false">
      <c r="A4" s="25" t="s">
        <v>340</v>
      </c>
      <c r="B4" s="25" t="s">
        <v>341</v>
      </c>
      <c r="C4" s="25" t="s">
        <v>342</v>
      </c>
      <c r="D4" s="25" t="s">
        <v>343</v>
      </c>
    </row>
    <row r="5" customFormat="false" ht="43.5" hidden="false" customHeight="true" outlineLevel="0" collapsed="false">
      <c r="A5" s="30" t="s">
        <v>344</v>
      </c>
      <c r="B5" s="18" t="s">
        <v>345</v>
      </c>
      <c r="C5" s="13" t="s">
        <v>346</v>
      </c>
      <c r="D5" s="31" t="s">
        <v>347</v>
      </c>
    </row>
    <row r="6" customFormat="false" ht="43.5" hidden="false" customHeight="true" outlineLevel="0" collapsed="false">
      <c r="A6" s="30" t="s">
        <v>344</v>
      </c>
      <c r="B6" s="18" t="s">
        <v>348</v>
      </c>
      <c r="C6" s="13" t="s">
        <v>349</v>
      </c>
      <c r="D6" s="31" t="s">
        <v>347</v>
      </c>
    </row>
    <row r="7" customFormat="false" ht="43.5" hidden="false" customHeight="true" outlineLevel="0" collapsed="false">
      <c r="A7" s="30" t="s">
        <v>344</v>
      </c>
      <c r="B7" s="18" t="s">
        <v>350</v>
      </c>
      <c r="C7" s="13" t="s">
        <v>351</v>
      </c>
      <c r="D7" s="31" t="s">
        <v>347</v>
      </c>
    </row>
    <row r="8" customFormat="false" ht="43.5" hidden="false" customHeight="true" outlineLevel="0" collapsed="false">
      <c r="A8" s="30" t="s">
        <v>344</v>
      </c>
      <c r="B8" s="18" t="s">
        <v>352</v>
      </c>
      <c r="C8" s="13" t="s">
        <v>353</v>
      </c>
      <c r="D8" s="29" t="s">
        <v>354</v>
      </c>
    </row>
    <row r="9" customFormat="false" ht="43.5" hidden="false" customHeight="true" outlineLevel="0" collapsed="false">
      <c r="A9" s="30" t="s">
        <v>344</v>
      </c>
      <c r="B9" s="18" t="s">
        <v>355</v>
      </c>
      <c r="C9" s="13" t="s">
        <v>356</v>
      </c>
      <c r="D9" s="29" t="s">
        <v>354</v>
      </c>
    </row>
    <row r="10" customFormat="false" ht="43.5" hidden="false" customHeight="true" outlineLevel="0" collapsed="false">
      <c r="A10" s="32" t="s">
        <v>357</v>
      </c>
      <c r="B10" s="18" t="s">
        <v>358</v>
      </c>
      <c r="C10" s="13" t="s">
        <v>359</v>
      </c>
      <c r="D10" s="32" t="s">
        <v>360</v>
      </c>
    </row>
    <row r="11" customFormat="false" ht="43.5" hidden="false" customHeight="true" outlineLevel="0" collapsed="false">
      <c r="A11" s="32" t="s">
        <v>357</v>
      </c>
      <c r="B11" s="18" t="s">
        <v>361</v>
      </c>
      <c r="C11" s="13" t="s">
        <v>362</v>
      </c>
      <c r="D11" s="32" t="s">
        <v>360</v>
      </c>
    </row>
    <row r="12" customFormat="false" ht="43.5" hidden="false" customHeight="true" outlineLevel="0" collapsed="false">
      <c r="A12" s="32" t="s">
        <v>357</v>
      </c>
      <c r="B12" s="18" t="s">
        <v>363</v>
      </c>
      <c r="C12" s="13" t="s">
        <v>364</v>
      </c>
      <c r="D12" s="32" t="s">
        <v>360</v>
      </c>
    </row>
    <row r="13" customFormat="false" ht="43.5" hidden="false" customHeight="true" outlineLevel="0" collapsed="false">
      <c r="A13" s="32" t="s">
        <v>357</v>
      </c>
      <c r="B13" s="18" t="s">
        <v>365</v>
      </c>
      <c r="C13" s="13" t="s">
        <v>366</v>
      </c>
      <c r="D13" s="32" t="s">
        <v>360</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2026-07-30T10:14:13Z</dcterms:created>
  <dc:creator>openpyxl</dc:creator>
  <dc:description/>
  <dc:language>en-US</dc:language>
  <cp:lastModifiedBy/>
  <dcterms:modified xsi:type="dcterms:W3CDTF">2026-07-30T10:20:40Z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