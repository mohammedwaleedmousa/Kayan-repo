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 | تعليمات" sheetId="1" state="visible" r:id="rId1"/>
    <sheet xmlns:r="http://schemas.openxmlformats.org/officeDocument/2006/relationships" name="MEMBER REGISTRY | سجل الأعضاء" sheetId="2" state="visible" r:id="rId2"/>
    <sheet xmlns:r="http://schemas.openxmlformats.org/officeDocument/2006/relationships" name="CHECK-IN LOG | سجل الدخول" sheetId="3" state="visible" r:id="rId3"/>
    <sheet xmlns:r="http://schemas.openxmlformats.org/officeDocument/2006/relationships" name="DAY PASS LOG | سجل التصاريح" sheetId="4" state="visible" r:id="rId4"/>
    <sheet xmlns:r="http://schemas.openxmlformats.org/officeDocument/2006/relationships" name="RENEWAL TRACKER | متتبع التجديد" sheetId="5" state="visible" r:id="rId5"/>
    <sheet xmlns:r="http://schemas.openxmlformats.org/officeDocument/2006/relationships" name="CONVERSION FUNNEL | قمع التحويل" sheetId="6" state="visible" r:id="rId6"/>
    <sheet xmlns:r="http://schemas.openxmlformats.org/officeDocument/2006/relationships" name="DASHBOARD | لوحة المؤشرات" sheetId="7" state="visible" r:id="rId7"/>
    <sheet xmlns:r="http://schemas.openxmlformats.org/officeDocument/2006/relationships" name="PRICING | مرجع الأسعار" sheetId="8" state="visible" r:id="rId8"/>
    <sheet xmlns:r="http://schemas.openxmlformats.org/officeDocument/2006/relationships" name="RISK &amp; ACCOUNTABILITY | المخاطر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"/>
    <numFmt numFmtId="166" formatCode="0.0%"/>
  </numFmts>
  <fonts count="4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raditional Arabic"/>
      <charset val="1"/>
      <family val="0"/>
      <b val="1"/>
      <color rgb="FF022B22"/>
      <sz val="18"/>
    </font>
    <font>
      <name val="Calibri"/>
      <charset val="1"/>
      <family val="0"/>
      <b val="1"/>
      <color rgb="FF022B22"/>
      <sz val="18"/>
    </font>
    <font>
      <name val="Calibri"/>
      <charset val="1"/>
      <family val="0"/>
      <b val="1"/>
      <color rgb="FFC19558"/>
      <sz val="16"/>
    </font>
    <font>
      <name val="FreeSans"/>
      <family val="2"/>
      <b val="1"/>
      <color rgb="FFC19558"/>
      <sz val="16"/>
    </font>
    <font>
      <name val="Calibri"/>
      <charset val="1"/>
      <family val="0"/>
      <color rgb="FF999999"/>
      <sz val="9"/>
    </font>
    <font>
      <name val="Calibri"/>
      <charset val="1"/>
      <family val="0"/>
      <b val="1"/>
      <color rgb="FF022B22"/>
      <sz val="10"/>
    </font>
    <font>
      <name val="FreeSans"/>
      <family val="2"/>
      <b val="1"/>
      <color rgb="FF022B22"/>
      <sz val="10"/>
    </font>
    <font>
      <name val="Calibri"/>
      <charset val="1"/>
      <family val="0"/>
      <color rgb="FF000000"/>
      <sz val="10"/>
    </font>
    <font>
      <name val="FreeSans"/>
      <family val="2"/>
      <color rgb="FF000000"/>
      <sz val="10"/>
    </font>
    <font>
      <name val="Calibri"/>
      <charset val="1"/>
      <family val="0"/>
      <b val="1"/>
      <color rgb="FFC0392B"/>
      <sz val="10"/>
    </font>
    <font>
      <name val="Calibri"/>
      <charset val="1"/>
      <family val="0"/>
      <b val="1"/>
      <color rgb="FF022B22"/>
      <sz val="14"/>
    </font>
    <font>
      <name val="FreeSans"/>
      <family val="2"/>
      <b val="1"/>
      <color rgb="FF022B22"/>
      <sz val="14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C19558"/>
      <sz val="14"/>
    </font>
    <font>
      <name val="FreeSans"/>
      <family val="2"/>
      <b val="1"/>
      <color rgb="FFC19558"/>
      <sz val="14"/>
    </font>
    <font>
      <name val="Calibri"/>
      <charset val="1"/>
      <family val="0"/>
      <b val="1"/>
      <color rgb="FFFFFFFF"/>
      <sz val="11"/>
    </font>
    <font>
      <name val="FreeSans"/>
      <family val="2"/>
      <b val="1"/>
      <color rgb="FFFFFFFF"/>
      <sz val="11"/>
    </font>
    <font>
      <name val="Calibri"/>
      <charset val="1"/>
      <family val="0"/>
      <b val="1"/>
      <color rgb="FFC19558"/>
      <sz val="13"/>
    </font>
    <font>
      <name val="FreeSans"/>
      <family val="2"/>
      <b val="1"/>
      <color rgb="FFC19558"/>
      <sz val="13"/>
    </font>
    <font>
      <name val="Calibri"/>
      <charset val="1"/>
      <family val="0"/>
      <b val="1"/>
      <color rgb="FFE67E22"/>
      <sz val="13"/>
    </font>
    <font>
      <name val="FreeSans"/>
      <family val="2"/>
      <b val="1"/>
      <color rgb="FFE67E22"/>
      <sz val="13"/>
    </font>
    <font>
      <name val="Calibri"/>
      <charset val="1"/>
      <family val="0"/>
      <b val="1"/>
      <color rgb="FF2ECC71"/>
      <sz val="13"/>
    </font>
    <font>
      <name val="FreeSans"/>
      <family val="2"/>
      <b val="1"/>
      <color rgb="FF2ECC71"/>
      <sz val="13"/>
    </font>
    <font>
      <name val="Calibri"/>
      <charset val="1"/>
      <family val="0"/>
      <b val="1"/>
      <color rgb="FF9B59B6"/>
      <sz val="13"/>
    </font>
    <font>
      <name val="FreeSans"/>
      <family val="2"/>
      <b val="1"/>
      <color rgb="FF9B59B6"/>
      <sz val="13"/>
    </font>
    <font>
      <name val="Calibri"/>
      <charset val="1"/>
      <family val="0"/>
      <b val="1"/>
      <color rgb="FF9B59B6"/>
      <sz val="9"/>
    </font>
    <font>
      <name val="Calibri"/>
      <charset val="1"/>
      <family val="0"/>
      <b val="1"/>
      <color rgb="FFFFFFFF"/>
      <sz val="12"/>
    </font>
    <font>
      <name val="FreeSans"/>
      <family val="2"/>
      <b val="1"/>
      <color rgb="FFFFFFFF"/>
      <sz val="12"/>
    </font>
    <font>
      <name val="Calibri"/>
      <charset val="1"/>
      <family val="0"/>
      <b val="1"/>
      <color rgb="FF022B22"/>
      <sz val="12"/>
    </font>
    <font>
      <name val="Calibri"/>
      <charset val="1"/>
      <family val="0"/>
      <b val="1"/>
      <color rgb="FF022B22"/>
      <sz val="11"/>
    </font>
    <font>
      <name val="FreeSans"/>
      <family val="2"/>
      <b val="1"/>
      <color rgb="FF000000"/>
      <sz val="10"/>
    </font>
    <font>
      <name val="Calibri"/>
      <charset val="1"/>
      <family val="0"/>
      <b val="1"/>
      <color rgb="FFFFFFFF"/>
      <sz val="13"/>
    </font>
    <font>
      <name val="FreeSans"/>
      <family val="2"/>
      <b val="1"/>
      <color rgb="FFFFFFFF"/>
      <sz val="13"/>
    </font>
    <font>
      <name val="Calibri"/>
      <charset val="1"/>
      <family val="0"/>
      <b val="1"/>
      <sz val="9"/>
    </font>
    <font>
      <name val="FreeSans"/>
      <family val="2"/>
      <b val="1"/>
      <sz val="9"/>
    </font>
    <font>
      <name val="Calibri"/>
      <charset val="1"/>
      <family val="0"/>
      <b val="1"/>
      <color rgb="FFE67E22"/>
      <sz val="10"/>
    </font>
    <font>
      <name val="Calibri"/>
      <charset val="1"/>
      <family val="0"/>
      <sz val="9"/>
    </font>
    <font>
      <name val="Calibri"/>
      <charset val="1"/>
      <family val="0"/>
      <b val="1"/>
      <color rgb="FFC19558"/>
      <sz val="10"/>
    </font>
    <font>
      <name val="FreeSans"/>
      <family val="2"/>
      <sz val="9"/>
    </font>
  </fonts>
  <fills count="11">
    <fill>
      <patternFill/>
    </fill>
    <fill>
      <patternFill patternType="gray125"/>
    </fill>
    <fill>
      <patternFill patternType="solid">
        <fgColor rgb="FFF4F1EA"/>
        <bgColor rgb="FFF5F5F5"/>
      </patternFill>
    </fill>
    <fill>
      <patternFill patternType="solid">
        <fgColor rgb="FFF5ECD7"/>
        <bgColor rgb="FFF4F1EA"/>
      </patternFill>
    </fill>
    <fill>
      <patternFill patternType="solid">
        <fgColor rgb="FFFDEDEC"/>
        <bgColor rgb="FFF4F1EA"/>
      </patternFill>
    </fill>
    <fill>
      <patternFill patternType="solid">
        <fgColor rgb="FFE8F0E8"/>
        <bgColor rgb="FFF4F1EA"/>
      </patternFill>
    </fill>
    <fill>
      <patternFill patternType="solid">
        <fgColor rgb="FF022B22"/>
        <bgColor rgb="FF003366"/>
      </patternFill>
    </fill>
    <fill>
      <patternFill patternType="solid">
        <fgColor rgb="FFF5F5F5"/>
        <bgColor rgb="FFF4F1EA"/>
      </patternFill>
    </fill>
    <fill>
      <patternFill patternType="solid">
        <fgColor rgb="FF9B59B6"/>
        <bgColor rgb="FF808080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5F5F5"/>
      </patternFill>
    </fill>
  </fills>
  <borders count="7">
    <border>
      <left/>
      <right/>
      <top/>
      <bottom/>
      <diagonal/>
    </border>
    <border>
      <left style="thin">
        <color rgb="FFC19558"/>
      </left>
      <right style="thin">
        <color rgb="FFC19558"/>
      </right>
      <top style="thin">
        <color rgb="FFC19558"/>
      </top>
      <bottom style="thin">
        <color rgb="FFC19558"/>
      </bottom>
      <diagonal/>
    </border>
    <border>
      <left style="thin">
        <color rgb="FFC19558"/>
      </left>
      <right/>
      <top style="thin">
        <color rgb="FFC19558"/>
      </top>
      <bottom style="thin">
        <color rgb="FFC19558"/>
      </bottom>
      <diagonal/>
    </border>
    <border>
      <left style="thin">
        <color rgb="FFD9D9D9"/>
      </left>
      <right style="thin">
        <color rgb="FFD9D9D9"/>
      </right>
      <top style="medium">
        <color rgb="FF022B22"/>
      </top>
      <bottom style="medium">
        <color rgb="FF022B2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C19558"/>
      </top>
      <bottom/>
      <diagonal/>
    </border>
    <border>
      <left/>
      <right/>
      <top style="thin">
        <color rgb="FFC19558"/>
      </top>
      <bottom style="thin">
        <color rgb="FFC1955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center" vertical="bottom"/>
    </xf>
    <xf numFmtId="0" fontId="19" fillId="6" borderId="3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left" vertical="center" wrapText="1"/>
    </xf>
    <xf numFmtId="0" fontId="12" fillId="7" borderId="4" applyAlignment="1" pivotButton="0" quotePrefix="0" xfId="0">
      <alignment horizontal="left" vertical="center" wrapText="1"/>
    </xf>
    <xf numFmtId="164" fontId="11" fillId="7" borderId="4" applyAlignment="1" pivotButton="0" quotePrefix="0" xfId="0">
      <alignment horizontal="left" vertical="center" wrapText="1"/>
    </xf>
    <xf numFmtId="3" fontId="11" fillId="7" borderId="4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164" fontId="11" fillId="0" borderId="4" applyAlignment="1" pivotButton="0" quotePrefix="0" xfId="0">
      <alignment horizontal="left" vertical="center" wrapText="1"/>
    </xf>
    <xf numFmtId="3" fontId="11" fillId="0" borderId="4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center" vertical="bottom"/>
    </xf>
    <xf numFmtId="165" fontId="11" fillId="0" borderId="4" applyAlignment="1" pivotButton="0" quotePrefix="0" xfId="0">
      <alignment horizontal="left" vertical="center" wrapText="1"/>
    </xf>
    <xf numFmtId="165" fontId="11" fillId="7" borderId="4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center" vertical="bottom"/>
    </xf>
    <xf numFmtId="0" fontId="25" fillId="2" borderId="0" applyAlignment="1" pivotButton="0" quotePrefix="0" xfId="0">
      <alignment horizontal="center" vertical="bottom"/>
    </xf>
    <xf numFmtId="1" fontId="11" fillId="0" borderId="4" applyAlignment="1" pivotButton="0" quotePrefix="0" xfId="0">
      <alignment horizontal="left" vertical="center" wrapText="1"/>
    </xf>
    <xf numFmtId="1" fontId="11" fillId="7" borderId="4" applyAlignment="1" pivotButton="0" quotePrefix="0" xfId="0">
      <alignment horizontal="left" vertical="center" wrapText="1"/>
    </xf>
    <xf numFmtId="1" fontId="0" fillId="0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center" vertical="bottom"/>
    </xf>
    <xf numFmtId="0" fontId="29" fillId="2" borderId="0" applyAlignment="1" pivotButton="0" quotePrefix="0" xfId="0">
      <alignment horizontal="center" vertical="bottom"/>
    </xf>
    <xf numFmtId="0" fontId="19" fillId="8" borderId="3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bottom"/>
    </xf>
    <xf numFmtId="0" fontId="30" fillId="6" borderId="0" applyAlignment="1" pivotButton="0" quotePrefix="0" xfId="0">
      <alignment horizontal="general" vertical="bottom"/>
    </xf>
    <xf numFmtId="3" fontId="14" fillId="0" borderId="1" applyAlignment="1" pivotButton="0" quotePrefix="0" xfId="0">
      <alignment horizontal="center" vertical="bottom"/>
    </xf>
    <xf numFmtId="0" fontId="9" fillId="5" borderId="1" applyAlignment="1" pivotButton="0" quotePrefix="0" xfId="0">
      <alignment horizontal="general" vertical="bottom"/>
    </xf>
    <xf numFmtId="164" fontId="32" fillId="0" borderId="1" applyAlignment="1" pivotButton="0" quotePrefix="0" xfId="0">
      <alignment horizontal="center" vertical="bottom"/>
    </xf>
    <xf numFmtId="164" fontId="17" fillId="0" borderId="1" applyAlignment="1" pivotButton="0" quotePrefix="0" xfId="0">
      <alignment horizontal="center" vertical="bottom"/>
    </xf>
    <xf numFmtId="3" fontId="17" fillId="0" borderId="1" applyAlignment="1" pivotButton="0" quotePrefix="0" xfId="0">
      <alignment horizontal="center" vertical="bottom"/>
    </xf>
    <xf numFmtId="0" fontId="32" fillId="0" borderId="1" applyAlignment="1" pivotButton="0" quotePrefix="0" xfId="0">
      <alignment horizontal="center" vertical="bottom"/>
    </xf>
    <xf numFmtId="166" fontId="32" fillId="0" borderId="1" applyAlignment="1" pivotButton="0" quotePrefix="0" xfId="0">
      <alignment horizontal="center" vertical="bottom"/>
    </xf>
    <xf numFmtId="0" fontId="33" fillId="0" borderId="1" applyAlignment="1" pivotButton="0" quotePrefix="0" xfId="0">
      <alignment horizontal="center" vertical="bottom"/>
    </xf>
    <xf numFmtId="0" fontId="17" fillId="6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center" wrapText="1"/>
    </xf>
    <xf numFmtId="0" fontId="35" fillId="9" borderId="0" applyAlignment="1" pivotButton="0" quotePrefix="0" xfId="0">
      <alignment horizontal="general" vertical="bottom"/>
    </xf>
    <xf numFmtId="0" fontId="19" fillId="9" borderId="3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center" vertical="center" wrapText="1"/>
    </xf>
    <xf numFmtId="0" fontId="40" fillId="10" borderId="1" applyAlignment="1" pivotButton="0" quotePrefix="0" xfId="0">
      <alignment horizontal="left" vertical="center" wrapText="1"/>
    </xf>
    <xf numFmtId="0" fontId="41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16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center" vertical="bottom"/>
    </xf>
    <xf numFmtId="0" fontId="19" fillId="6" borderId="3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left" vertical="center" wrapText="1"/>
    </xf>
    <xf numFmtId="0" fontId="12" fillId="7" borderId="4" applyAlignment="1" pivotButton="0" quotePrefix="0" xfId="0">
      <alignment horizontal="left" vertical="center" wrapText="1"/>
    </xf>
    <xf numFmtId="164" fontId="11" fillId="7" borderId="4" applyAlignment="1" pivotButton="0" quotePrefix="0" xfId="0">
      <alignment horizontal="left" vertical="center" wrapText="1"/>
    </xf>
    <xf numFmtId="3" fontId="11" fillId="7" borderId="4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164" fontId="11" fillId="0" borderId="4" applyAlignment="1" pivotButton="0" quotePrefix="0" xfId="0">
      <alignment horizontal="left" vertical="center" wrapText="1"/>
    </xf>
    <xf numFmtId="3" fontId="11" fillId="0" borderId="4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center" vertical="bottom"/>
    </xf>
    <xf numFmtId="165" fontId="11" fillId="0" borderId="4" applyAlignment="1" pivotButton="0" quotePrefix="0" xfId="0">
      <alignment horizontal="left" vertical="center" wrapText="1"/>
    </xf>
    <xf numFmtId="165" fontId="11" fillId="7" borderId="4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center" vertical="bottom"/>
    </xf>
    <xf numFmtId="0" fontId="25" fillId="2" borderId="0" applyAlignment="1" pivotButton="0" quotePrefix="0" xfId="0">
      <alignment horizontal="center" vertical="bottom"/>
    </xf>
    <xf numFmtId="1" fontId="11" fillId="0" borderId="4" applyAlignment="1" pivotButton="0" quotePrefix="0" xfId="0">
      <alignment horizontal="left" vertical="center" wrapText="1"/>
    </xf>
    <xf numFmtId="1" fontId="11" fillId="7" borderId="4" applyAlignment="1" pivotButton="0" quotePrefix="0" xfId="0">
      <alignment horizontal="left" vertical="center" wrapText="1"/>
    </xf>
    <xf numFmtId="1" fontId="0" fillId="0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center" vertical="bottom"/>
    </xf>
    <xf numFmtId="0" fontId="29" fillId="2" borderId="0" applyAlignment="1" pivotButton="0" quotePrefix="0" xfId="0">
      <alignment horizontal="center" vertical="bottom"/>
    </xf>
    <xf numFmtId="0" fontId="19" fillId="8" borderId="3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bottom"/>
    </xf>
    <xf numFmtId="0" fontId="30" fillId="6" borderId="0" applyAlignment="1" pivotButton="0" quotePrefix="0" xfId="0">
      <alignment horizontal="general" vertical="bottom"/>
    </xf>
    <xf numFmtId="3" fontId="14" fillId="0" borderId="1" applyAlignment="1" pivotButton="0" quotePrefix="0" xfId="0">
      <alignment horizontal="center" vertical="bottom"/>
    </xf>
    <xf numFmtId="0" fontId="9" fillId="5" borderId="1" applyAlignment="1" pivotButton="0" quotePrefix="0" xfId="0">
      <alignment horizontal="general" vertical="bottom"/>
    </xf>
    <xf numFmtId="164" fontId="32" fillId="0" borderId="1" applyAlignment="1" pivotButton="0" quotePrefix="0" xfId="0">
      <alignment horizontal="center" vertical="bottom"/>
    </xf>
    <xf numFmtId="164" fontId="17" fillId="0" borderId="1" applyAlignment="1" pivotButton="0" quotePrefix="0" xfId="0">
      <alignment horizontal="center" vertical="bottom"/>
    </xf>
    <xf numFmtId="3" fontId="17" fillId="0" borderId="1" applyAlignment="1" pivotButton="0" quotePrefix="0" xfId="0">
      <alignment horizontal="center" vertical="bottom"/>
    </xf>
    <xf numFmtId="0" fontId="32" fillId="0" borderId="1" applyAlignment="1" pivotButton="0" quotePrefix="0" xfId="0">
      <alignment horizontal="center" vertical="bottom"/>
    </xf>
    <xf numFmtId="166" fontId="32" fillId="0" borderId="1" applyAlignment="1" pivotButton="0" quotePrefix="0" xfId="0">
      <alignment horizontal="center" vertical="bottom"/>
    </xf>
    <xf numFmtId="0" fontId="33" fillId="0" borderId="1" applyAlignment="1" pivotButton="0" quotePrefix="0" xfId="0">
      <alignment horizontal="center" vertical="bottom"/>
    </xf>
    <xf numFmtId="0" fontId="17" fillId="6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center" wrapText="1"/>
    </xf>
    <xf numFmtId="0" fontId="35" fillId="9" borderId="0" applyAlignment="1" pivotButton="0" quotePrefix="0" xfId="0">
      <alignment horizontal="general" vertical="bottom"/>
    </xf>
    <xf numFmtId="0" fontId="19" fillId="9" borderId="3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center" vertical="center" wrapText="1"/>
    </xf>
    <xf numFmtId="0" fontId="40" fillId="10" borderId="1" applyAlignment="1" pivotButton="0" quotePrefix="0" xfId="0">
      <alignment horizontal="left" vertical="center" wrapText="1"/>
    </xf>
    <xf numFmtId="0" fontId="41" fillId="1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392B"/>
      </font>
      <fill>
        <patternFill>
          <bgColor rgb="FFFDEDEC"/>
        </patternFill>
      </fill>
    </dxf>
    <dxf>
      <font>
        <b val="1"/>
        <color rgb="FFC0392B"/>
      </font>
      <fill>
        <patternFill>
          <bgColor rgb="FFFDEDE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F5ECD7"/>
      <rgbColor rgb="FF808080"/>
      <rgbColor rgb="FF9999FF"/>
      <rgbColor rgb="FF993366"/>
      <rgbColor rgb="FFF4F1EA"/>
      <rgbColor rgb="FFE8F0E8"/>
      <rgbColor rgb="FF660066"/>
      <rgbColor rgb="FFC1955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6EFCE"/>
      <rgbColor rgb="FFFFEB9C"/>
      <rgbColor rgb="FFFDEDEC"/>
      <rgbColor rgb="FFFF99CC"/>
      <rgbColor rgb="FFCC99FF"/>
      <rgbColor rgb="FFFFC7CE"/>
      <rgbColor rgb="FF3366FF"/>
      <rgbColor rgb="FF2ECC71"/>
      <rgbColor rgb="FF99CC00"/>
      <rgbColor rgb="FFFFCC00"/>
      <rgbColor rgb="FFFF9900"/>
      <rgbColor rgb="FFE67E22"/>
      <rgbColor rgb="FF9B59B6"/>
      <rgbColor rgb="FF999999"/>
      <rgbColor rgb="FF003366"/>
      <rgbColor rgb="FF339966"/>
      <rgbColor rgb="FF022B22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22B22"/>
    <outlinePr summaryBelow="1" summaryRight="1"/>
    <pageSetUpPr fitToPage="0"/>
  </sheetPr>
  <dimension ref="A1:F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25" customWidth="1" style="63" min="2" max="2"/>
    <col width="60" customWidth="1" style="63" min="3" max="3"/>
    <col width="25" customWidth="1" style="63" min="4" max="4"/>
    <col width="20" customWidth="1" style="63" min="5" max="6"/>
  </cols>
  <sheetData>
    <row r="1" ht="19.4" customHeight="1" s="64">
      <c r="A1" s="65" t="inlineStr">
        <is>
          <t>شركة كيان للابتكار وريادة الأعمال وبيئات العمل ذ.م.م</t>
        </is>
      </c>
    </row>
    <row r="2" ht="22.05" customHeight="1" s="64">
      <c r="A2" s="66" t="inlineStr">
        <is>
          <t>Kayan Innovation, Entrepreneurship &amp; Work Environments LLC</t>
        </is>
      </c>
    </row>
    <row r="3" ht="20.85" customHeight="1" s="64">
      <c r="A3" s="67" t="inlineStr">
        <is>
          <t>MEMBER MANAGEMENT SYSTEM  |  نظام إدارة الأعضاء</t>
        </is>
      </c>
    </row>
    <row r="4" ht="15" customHeight="1" s="64">
      <c r="A4" s="68" t="inlineStr">
        <is>
          <t>KAY-OPS-MMS-001  |  v1.0  |  Effective: 1 May 2026  |  Owner: Workspace Lead  |  Approved: CEO</t>
        </is>
      </c>
    </row>
    <row r="5"/>
    <row r="6" ht="15" customHeight="1" s="64">
      <c r="B6" s="69" t="inlineStr">
        <is>
          <t>Document ID | رقم الوثيقة</t>
        </is>
      </c>
      <c r="C6" s="70" t="inlineStr">
        <is>
          <t>KAY-OPS-MMS-001</t>
        </is>
      </c>
    </row>
    <row r="7" ht="15" customHeight="1" s="64">
      <c r="B7" s="69" t="inlineStr">
        <is>
          <t>Version | الإصدار</t>
        </is>
      </c>
      <c r="C7" s="70" t="inlineStr">
        <is>
          <t>v1.0</t>
        </is>
      </c>
    </row>
    <row r="8" ht="15" customHeight="1" s="64">
      <c r="B8" s="69" t="inlineStr">
        <is>
          <t>Effective Date | تاريخ السريان</t>
        </is>
      </c>
      <c r="C8" s="70" t="inlineStr">
        <is>
          <t>1 May 2026</t>
        </is>
      </c>
    </row>
    <row r="9" ht="15" customHeight="1" s="64">
      <c r="B9" s="69" t="inlineStr">
        <is>
          <t>Classification | التصنيف</t>
        </is>
      </c>
      <c r="C9" s="70" t="inlineStr">
        <is>
          <t>INTERNAL — OPERATIONAL</t>
        </is>
      </c>
    </row>
    <row r="10" ht="15" customHeight="1" s="64">
      <c r="B10" s="69" t="inlineStr">
        <is>
          <t>Owner | المسؤول</t>
        </is>
      </c>
      <c r="C10" s="70" t="inlineStr">
        <is>
          <t>Workspace Lead | مدير مساحة العمل</t>
        </is>
      </c>
    </row>
    <row r="11" ht="15" customHeight="1" s="64">
      <c r="B11" s="69" t="inlineStr">
        <is>
          <t>Daily Updated By | يُحدّث يومياً بواسطة</t>
        </is>
      </c>
      <c r="C11" s="70" t="inlineStr">
        <is>
          <t>Reception Staff / Workspace Lead</t>
        </is>
      </c>
    </row>
    <row r="12" ht="15" customHeight="1" s="64">
      <c r="B12" s="69" t="inlineStr">
        <is>
          <t>Reviewed By | يُراجع بواسطة</t>
        </is>
      </c>
      <c r="C12" s="70" t="inlineStr">
        <is>
          <t>CEO — Weekly</t>
        </is>
      </c>
    </row>
    <row r="13" ht="15" customHeight="1" s="64">
      <c r="B13" s="69" t="inlineStr">
        <is>
          <t>Backup Frequency | تكرار النسخ الاحتياطي</t>
        </is>
      </c>
      <c r="C13" s="70" t="inlineStr">
        <is>
          <t>Daily (Google Drive auto-sync)</t>
        </is>
      </c>
    </row>
    <row r="14" ht="15" customHeight="1" s="64">
      <c r="B14" s="69" t="inlineStr">
        <is>
          <t>Exchange Rate | سعر الصرف</t>
        </is>
      </c>
      <c r="C14" s="70" t="inlineStr">
        <is>
          <t>dated Aden market rate (LOCKED)</t>
        </is>
      </c>
    </row>
    <row r="15" ht="15" customHeight="1" s="64">
      <c r="B15" s="69" t="inlineStr">
        <is>
          <t>Cross-References | المراجع المتقاطعة</t>
        </is>
      </c>
      <c r="C15" s="70" t="inlineStr">
        <is>
          <t>KAY-OPS-CHK-001, KAY-OPS-HBK-001, KAY-LEG-WMA-001, KAY-FRM-PACK-001, KAY-CON-012</t>
        </is>
      </c>
    </row>
    <row r="16"/>
    <row r="17" ht="15" customHeight="1" s="64">
      <c r="B17" s="71" t="inlineStr">
        <is>
          <t>⚠ COUNSEL VALIDATION: Items marked ⚖ require legal review per KAY-LEG-011 Phase 2</t>
        </is>
      </c>
    </row>
    <row r="18"/>
    <row r="19" ht="18.65" customHeight="1" s="64">
      <c r="B19" s="72" t="inlineStr">
        <is>
          <t>SYSTEM OVERVIEW | نظرة عامة على النظام</t>
        </is>
      </c>
    </row>
    <row r="20" ht="45" customHeight="1" s="64">
      <c r="B20" s="73" t="inlineStr">
        <is>
          <t>Tab 2: Member Registry
سجل الأعضاء</t>
        </is>
      </c>
      <c r="C20" s="74" t="inlineStr">
        <is>
          <t>Master database of every member. One row per member. Tracks ID, plan, dates, payment, emergency contact, consents. NEVER delete rows — mark as 'Expired' or 'Terminated'.</t>
        </is>
      </c>
      <c r="D20" s="75" t="n"/>
      <c r="E20" s="75" t="n"/>
      <c r="F20" s="75" t="n"/>
    </row>
    <row r="21" ht="45" customHeight="1" s="64">
      <c r="B21" s="73" t="inlineStr">
        <is>
          <t>Tab 3: Daily Check-In Log
سجل تسجيل الدخول اليومي</t>
        </is>
      </c>
      <c r="C21" s="74" t="inlineStr">
        <is>
          <t>Every person entering Kayan Hub signs in and out. Security (who is in the building), utilization (occupancy KPIs), community (greet everyone by name).</t>
        </is>
      </c>
      <c r="D21" s="75" t="n"/>
      <c r="E21" s="75" t="n"/>
      <c r="F21" s="75" t="n"/>
    </row>
    <row r="22" ht="45" customHeight="1" s="64">
      <c r="B22" s="73" t="inlineStr">
        <is>
          <t>Tab 4: Day Pass Sales Log
سجل مبيعات التصاريح اليومية</t>
        </is>
      </c>
      <c r="C22" s="74" t="inlineStr">
        <is>
          <t>Every day pass sold with name, phone, amount, receipt number. Links to cash reconciliation form KAY-OPS-CHK-001 Part 5B.</t>
        </is>
      </c>
      <c r="D22" s="75" t="n"/>
      <c r="E22" s="75" t="n"/>
      <c r="F22" s="75" t="n"/>
    </row>
    <row r="23" ht="45" customHeight="1" s="64">
      <c r="B23" s="73" t="inlineStr">
        <is>
          <t>Tab 5: Renewal Tracker
متتبع التجديد</t>
        </is>
      </c>
      <c r="C23" s="74" t="inlineStr">
        <is>
          <t>7-day warning before expiry. Follow-up call/WhatsApp. Track who renewed, who churned, and why.</t>
        </is>
      </c>
      <c r="D23" s="75" t="n"/>
      <c r="E23" s="75" t="n"/>
      <c r="F23" s="75" t="n"/>
    </row>
    <row r="24" ht="45" customHeight="1" s="64">
      <c r="B24" s="73" t="inlineStr">
        <is>
          <t>Tab 6: Conversion Funnel
قمع التحويل</t>
        </is>
      </c>
      <c r="C24" s="74" t="inlineStr">
        <is>
          <t>Day pass visitors who become members. Visit → Return Visit → Flex → Unlimited → Dedicated. If 100 day passes but 0 conversions = value proposition problem.</t>
        </is>
      </c>
      <c r="D24" s="75" t="n"/>
      <c r="E24" s="75" t="n"/>
      <c r="F24" s="75" t="n"/>
    </row>
    <row r="25" ht="45" customHeight="1" s="64">
      <c r="B25" s="73" t="inlineStr">
        <is>
          <t>Tab 7: Dashboard
لوحة المؤشرات</t>
        </is>
      </c>
      <c r="C25" s="74" t="inlineStr">
        <is>
          <t>Real-time KPIs: active members, occupancy rate, revenue by plan, conversion rate, churn rate. Auto-calculated from other tabs.</t>
        </is>
      </c>
      <c r="D25" s="75" t="n"/>
      <c r="E25" s="75" t="n"/>
      <c r="F25" s="75" t="n"/>
    </row>
    <row r="26" ht="45" customHeight="1" s="64">
      <c r="B26" s="73" t="inlineStr">
        <is>
          <t>Tab 8: Pricing Reference
مرجع الأسعار</t>
        </is>
      </c>
      <c r="C26" s="74" t="inlineStr">
        <is>
          <t>Locked pricing card from KAY-LEG-WMA-001. USD + YER. Discount authority matrix from DOA.</t>
        </is>
      </c>
      <c r="D26" s="75" t="n"/>
      <c r="E26" s="75" t="n"/>
      <c r="F26" s="75" t="n"/>
    </row>
    <row r="27" ht="45" customHeight="1" s="64">
      <c r="B27" s="73" t="inlineStr">
        <is>
          <t>Tab 9: Risk &amp; Accountability
المخاطر والمساءلة</t>
        </is>
      </c>
      <c r="C27" s="74" t="inlineStr">
        <is>
          <t>Data protection risks, GDPR-equivalent for Yemen, member data handling protocols, accountability matrix.</t>
        </is>
      </c>
      <c r="D27" s="75" t="n"/>
      <c r="E27" s="75" t="n"/>
      <c r="F27" s="75" t="n"/>
    </row>
    <row r="28"/>
    <row r="29" ht="18.65" customHeight="1" s="64">
      <c r="B29" s="72" t="inlineStr">
        <is>
          <t>OPERATIONAL RULES | القواعد التشغيلية</t>
        </is>
      </c>
    </row>
    <row r="30" ht="24.75" customHeight="1" s="64">
      <c r="B30" s="76" t="inlineStr">
        <is>
          <t>RULE 1: Every person through the door gets logged — NO EXCEPTIONS. Members, guests, day pass, staff, visitors.</t>
        </is>
      </c>
      <c r="C30" s="75" t="n"/>
      <c r="D30" s="75" t="n"/>
      <c r="E30" s="75" t="n"/>
      <c r="F30" s="75" t="n"/>
    </row>
    <row r="31" ht="24.75" customHeight="1" s="64">
      <c r="B31" s="76" t="inlineStr">
        <is>
          <t>RULE 2: NEVER delete a member record. Change Status to 'Expired', 'Terminated', or 'Suspended'. Audit trail is sacred.</t>
        </is>
      </c>
      <c r="C31" s="75" t="n"/>
      <c r="D31" s="75" t="n"/>
      <c r="E31" s="75" t="n"/>
      <c r="F31" s="75" t="n"/>
    </row>
    <row r="32" ht="24.75" customHeight="1" s="64">
      <c r="B32" s="76" t="inlineStr">
        <is>
          <t>RULE 3: Day Pass cash must reconcile with KAY-OPS-CHK-001 Part 5B revenue table EVERY DAY. Variance = incident report.</t>
        </is>
      </c>
      <c r="C32" s="75" t="n"/>
      <c r="D32" s="75" t="n"/>
      <c r="E32" s="75" t="n"/>
      <c r="F32" s="75" t="n"/>
    </row>
    <row r="33" ht="24.75" customHeight="1" s="64">
      <c r="B33" s="76" t="inlineStr">
        <is>
          <t>RULE 4: Renewal follow-up starts 7 days before expiry. WhatsApp + call. Log every attempt in Renewal Tracker.</t>
        </is>
      </c>
      <c r="C33" s="75" t="n"/>
      <c r="D33" s="75" t="n"/>
      <c r="E33" s="75" t="n"/>
      <c r="F33" s="75" t="n"/>
    </row>
    <row r="34" ht="24.75" customHeight="1" s="64">
      <c r="B34" s="76" t="inlineStr">
        <is>
          <t>RULE 5: Member data is CONFIDENTIAL. No sharing of member contact details, no screenshots of this file to non-staff.</t>
        </is>
      </c>
      <c r="C34" s="75" t="n"/>
      <c r="D34" s="75" t="n"/>
      <c r="E34" s="75" t="n"/>
      <c r="F34" s="75" t="n"/>
    </row>
    <row r="35" ht="24.75" customHeight="1" s="64">
      <c r="B35" s="77" t="inlineStr">
        <is>
          <t>RULE 6: ⚖ COUNSEL: Member personal data handling must comply with KAY-DAT-001 Data Protection Policy. Validate with counsel.</t>
        </is>
      </c>
      <c r="C35" s="75" t="n"/>
      <c r="D35" s="75" t="n"/>
      <c r="E35" s="75" t="n"/>
      <c r="F35" s="75" t="n"/>
    </row>
    <row r="36" ht="24.75" customHeight="1" s="64">
      <c r="B36" s="76" t="inlineStr">
        <is>
          <t>RULE 7: Backup this file to Google Drive EVERY DAY before closing. Workspace Lead confirms in WhatsApp to CEO.</t>
        </is>
      </c>
      <c r="C36" s="75" t="n"/>
      <c r="D36" s="75" t="n"/>
      <c r="E36" s="75" t="n"/>
      <c r="F36" s="75" t="n"/>
    </row>
    <row r="37" ht="24.75" customHeight="1" s="64">
      <c r="B37" s="76" t="inlineStr">
        <is>
          <t>RULE 8: CEO reviews Dashboard tab every Monday at staff meeting. Workspace Lead presents Week's metrics.</t>
        </is>
      </c>
      <c r="C37" s="75" t="n"/>
      <c r="D37" s="75" t="n"/>
      <c r="E37" s="75" t="n"/>
      <c r="F37" s="75" t="n"/>
    </row>
    <row r="38" ht="24.75" customHeight="1" s="64">
      <c r="B38" s="76" t="inlineStr">
        <is>
          <t>RULE 9: Member ID format: KH-YYYY-NNNN (KH = Kayan Hub, YYYY = year, NNNN = sequential). First member = KH-2026-0001.</t>
        </is>
      </c>
      <c r="C38" s="75" t="n"/>
      <c r="D38" s="75" t="n"/>
      <c r="E38" s="75" t="n"/>
      <c r="F38" s="75" t="n"/>
    </row>
    <row r="39" ht="24.75" customHeight="1" s="64">
      <c r="B39" s="77" t="inlineStr">
        <is>
          <t>RULE 10: ⚖ COUNSEL: Photo consent and CCTV consent must be collected per KAY-COM-PDP-001. Validate with counsel.</t>
        </is>
      </c>
      <c r="C39" s="75" t="n"/>
      <c r="D39" s="75" t="n"/>
      <c r="E39" s="75" t="n"/>
      <c r="F39" s="75" t="n"/>
    </row>
  </sheetData>
  <mergeCells count="25">
    <mergeCell ref="C23:F23"/>
    <mergeCell ref="B31:F31"/>
    <mergeCell ref="A3:F3"/>
    <mergeCell ref="A2:F2"/>
    <mergeCell ref="B39:F39"/>
    <mergeCell ref="A4:F4"/>
    <mergeCell ref="C24:F24"/>
    <mergeCell ref="B17:F17"/>
    <mergeCell ref="B29:F29"/>
    <mergeCell ref="B38:F38"/>
    <mergeCell ref="B32:F32"/>
    <mergeCell ref="B34:F34"/>
    <mergeCell ref="C20:F20"/>
    <mergeCell ref="C26:F26"/>
    <mergeCell ref="B19:F19"/>
    <mergeCell ref="B37:F37"/>
    <mergeCell ref="C25:F25"/>
    <mergeCell ref="C22:F22"/>
    <mergeCell ref="B30:F30"/>
    <mergeCell ref="B33:F33"/>
    <mergeCell ref="A1:F1"/>
    <mergeCell ref="C21:F21"/>
    <mergeCell ref="B36:F36"/>
    <mergeCell ref="C27:F27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22B22"/>
    <outlinePr summaryBelow="1" summaryRight="1"/>
    <pageSetUpPr fitToPage="0"/>
  </sheetPr>
  <dimension ref="A1:AD5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63" min="1" max="1"/>
    <col width="22" customWidth="1" style="63" min="2" max="3"/>
    <col width="14" customWidth="1" style="63" min="4" max="5"/>
    <col width="22" customWidth="1" style="63" min="6" max="6"/>
    <col width="14" customWidth="1" style="63" min="7" max="8"/>
    <col width="12" customWidth="1" style="63" min="9" max="9"/>
    <col width="14" customWidth="1" style="63" min="10" max="10"/>
    <col width="13" customWidth="1" style="63" min="11" max="12"/>
    <col width="12" customWidth="1" style="63" min="13" max="13"/>
    <col width="14" customWidth="1" style="63" min="14" max="14"/>
    <col width="12" customWidth="1" style="63" min="15" max="15"/>
    <col width="13" customWidth="1" style="63" min="16" max="16"/>
    <col width="20" customWidth="1" style="63" min="17" max="17"/>
    <col width="14" customWidth="1" style="63" min="18" max="19"/>
    <col width="12" customWidth="1" style="63" min="20" max="23"/>
    <col width="14" customWidth="1" style="63" min="24" max="25"/>
    <col width="20" customWidth="1" style="63" min="26" max="26"/>
    <col width="12" customWidth="1" style="63" min="27" max="27"/>
    <col width="20" customWidth="1" style="63" min="28" max="28"/>
    <col width="14" customWidth="1" style="63" min="29" max="29"/>
    <col width="13" customWidth="1" style="63" min="30" max="30"/>
  </cols>
  <sheetData>
    <row r="1" ht="18.65" customHeight="1" s="64">
      <c r="A1" s="78" t="inlineStr">
        <is>
          <t>MEMBER REGISTRY  |  سجل الأعضاء</t>
        </is>
      </c>
    </row>
    <row r="2" ht="15" customHeight="1" s="64">
      <c r="A2" s="68" t="inlineStr">
        <is>
          <t>KAY-OPS-MMS-001 Tab 2  |  Kayan Hub — Khormaksar, Aden  |  Every person = one row. NEVER delete rows.</t>
        </is>
      </c>
    </row>
    <row r="3" ht="15" customHeight="1" s="64">
      <c r="A3" s="79" t="inlineStr">
        <is>
          <t>⚠ CONFIDENTIAL DATA — DO NOT SHARE. Member data protected under KAY-DAT-001 &amp; KAY-COM-PDP-001. ⚖ COUNSEL VALIDATION REQUIRED.</t>
        </is>
      </c>
    </row>
    <row r="4"/>
    <row r="5" ht="50.7" customHeight="1" s="64">
      <c r="A5" s="80" t="inlineStr">
        <is>
          <t>Member ID
رقم العضوية</t>
        </is>
      </c>
      <c r="B5" s="80" t="inlineStr">
        <is>
          <t>Full Name (EN)
الاسم الكامل (إنجليزي)</t>
        </is>
      </c>
      <c r="C5" s="80" t="inlineStr">
        <is>
          <t>Full Name (AR)
الاسم الكامل (عربي)</t>
        </is>
      </c>
      <c r="D5" s="80" t="inlineStr">
        <is>
          <t>National ID
رقم الهوية</t>
        </is>
      </c>
      <c r="E5" s="80" t="inlineStr">
        <is>
          <t>Phone
الهاتف</t>
        </is>
      </c>
      <c r="F5" s="80" t="inlineStr">
        <is>
          <t>Email
البريد الإلكتروني</t>
        </is>
      </c>
      <c r="G5" s="80" t="inlineStr">
        <is>
          <t>Organization
المنظمة</t>
        </is>
      </c>
      <c r="H5" s="80" t="inlineStr">
        <is>
          <t>Membership Plan
نوع العضوية</t>
        </is>
      </c>
      <c r="I5" s="80" t="inlineStr">
        <is>
          <t>Price USD
السعر دولار</t>
        </is>
      </c>
      <c r="J5" s="80" t="inlineStr">
        <is>
          <t>Price YER
السعر ريال</t>
        </is>
      </c>
      <c r="K5" s="80" t="inlineStr">
        <is>
          <t>Start Date
تاريخ البدء</t>
        </is>
      </c>
      <c r="L5" s="80" t="inlineStr">
        <is>
          <t>Expiry Date
تاريخ الانتهاء</t>
        </is>
      </c>
      <c r="M5" s="80" t="inlineStr">
        <is>
          <t>Status
الحالة</t>
        </is>
      </c>
      <c r="N5" s="80" t="inlineStr">
        <is>
          <t>Payment Method
طريقة الدفع</t>
        </is>
      </c>
      <c r="O5" s="80" t="inlineStr">
        <is>
          <t>Payment Status
حالة الدفع</t>
        </is>
      </c>
      <c r="P5" s="80" t="inlineStr">
        <is>
          <t>Receipt #
رقم الإيصال</t>
        </is>
      </c>
      <c r="Q5" s="80" t="inlineStr">
        <is>
          <t>Emergency Contact Name
اسم جهة اتصال الطوارئ</t>
        </is>
      </c>
      <c r="R5" s="80" t="inlineStr">
        <is>
          <t>Emergency Phone
هاتف الطوارئ</t>
        </is>
      </c>
      <c r="S5" s="80" t="inlineStr">
        <is>
          <t>Emergency Relation
العلاقة</t>
        </is>
      </c>
      <c r="T5" s="80" t="inlineStr">
        <is>
          <t>Photo Consent
موافقة التصوير</t>
        </is>
      </c>
      <c r="U5" s="80" t="inlineStr">
        <is>
          <t>CCTV Consent
موافقة الكاميرات</t>
        </is>
      </c>
      <c r="V5" s="80" t="inlineStr">
        <is>
          <t>Handbook Signed
الدليل موقع</t>
        </is>
      </c>
      <c r="W5" s="80" t="inlineStr">
        <is>
          <t>Agreement Signed
الاتفاقية موقعة</t>
        </is>
      </c>
      <c r="X5" s="80" t="inlineStr">
        <is>
          <t>Referred By
مُحال بواسطة</t>
        </is>
      </c>
      <c r="Y5" s="80" t="inlineStr">
        <is>
          <t>Source
المصدر</t>
        </is>
      </c>
      <c r="Z5" s="80" t="inlineStr">
        <is>
          <t>Special Needs
احتياجات خاصة</t>
        </is>
      </c>
      <c r="AA5" s="80" t="inlineStr">
        <is>
          <t>Locker #
رقم الخزانة</t>
        </is>
      </c>
      <c r="AB5" s="80" t="inlineStr">
        <is>
          <t>Notes
ملاحظات</t>
        </is>
      </c>
      <c r="AC5" s="80" t="inlineStr">
        <is>
          <t>Registered By
سُجّل بواسطة</t>
        </is>
      </c>
      <c r="AD5" s="80" t="inlineStr">
        <is>
          <t>Registration Date
تاريخ التسجيل</t>
        </is>
      </c>
    </row>
    <row r="6" ht="23.85" customHeight="1" s="64">
      <c r="A6" s="81" t="inlineStr">
        <is>
          <t>KAY-M001</t>
        </is>
      </c>
      <c r="B6" s="81" t="inlineStr">
        <is>
          <t>Nasser Al-Awlaki</t>
        </is>
      </c>
      <c r="C6" s="82" t="inlineStr">
        <is>
          <t>ناصر العولقي</t>
        </is>
      </c>
      <c r="D6" s="81" t="inlineStr">
        <is>
          <t>VERIFIED</t>
        </is>
      </c>
      <c r="E6" s="81" t="inlineStr">
        <is>
          <t>770123456</t>
        </is>
      </c>
      <c r="F6" s="81" t="inlineStr">
        <is>
          <t>nasser@email.com</t>
        </is>
      </c>
      <c r="G6" s="81" t="inlineStr">
        <is>
          <t>Freelancer</t>
        </is>
      </c>
      <c r="H6" s="81" t="inlineStr">
        <is>
          <t>Dedicated Desk</t>
        </is>
      </c>
      <c r="I6" s="83" t="n">
        <v>82</v>
      </c>
      <c r="J6" s="84" t="n">
        <v>139400</v>
      </c>
      <c r="K6" s="81" t="inlineStr">
        <is>
          <t>2026-06-01</t>
        </is>
      </c>
      <c r="L6" s="81" t="inlineStr">
        <is>
          <t>2026-06-30</t>
        </is>
      </c>
      <c r="M6" s="81" t="inlineStr">
        <is>
          <t>Active</t>
        </is>
      </c>
      <c r="N6" s="81" t="inlineStr">
        <is>
          <t>Cash</t>
        </is>
      </c>
      <c r="O6" s="81" t="inlineStr">
        <is>
          <t>Badr</t>
        </is>
      </c>
      <c r="P6" s="81" t="inlineStr">
        <is>
          <t>RCT-0001</t>
        </is>
      </c>
      <c r="Q6" s="81" t="inlineStr">
        <is>
          <t>Fatima Mohammed</t>
        </is>
      </c>
      <c r="R6" s="81" t="inlineStr">
        <is>
          <t>+967-777-654321</t>
        </is>
      </c>
      <c r="S6" s="81" t="inlineStr">
        <is>
          <t>Sister</t>
        </is>
      </c>
      <c r="T6" s="81" t="inlineStr">
        <is>
          <t>Yes</t>
        </is>
      </c>
      <c r="U6" s="81" t="inlineStr">
        <is>
          <t>Yes</t>
        </is>
      </c>
      <c r="V6" s="81" t="inlineStr">
        <is>
          <t>Yes</t>
        </is>
      </c>
      <c r="W6" s="81" t="inlineStr">
        <is>
          <t>Yes</t>
        </is>
      </c>
      <c r="X6" s="81" t="n"/>
      <c r="Y6" s="81" t="inlineStr">
        <is>
          <t>Walk-in</t>
        </is>
      </c>
      <c r="Z6" s="81" t="n"/>
      <c r="AA6" s="81" t="n"/>
      <c r="AB6" s="81" t="inlineStr">
        <is>
          <t>Welcome member #1!</t>
        </is>
      </c>
      <c r="AC6" s="81" t="inlineStr">
        <is>
          <t>Workspace Lead</t>
        </is>
      </c>
      <c r="AD6" s="81" t="inlineStr">
        <is>
          <t>2026-05-01</t>
        </is>
      </c>
    </row>
    <row r="7" ht="15" customHeight="1" s="64">
      <c r="A7" s="85" t="inlineStr">
        <is>
          <t>KAY-M002</t>
        </is>
      </c>
      <c r="B7" s="85" t="inlineStr">
        <is>
          <t>Fatima Al-Zubairi</t>
        </is>
      </c>
      <c r="C7" s="85" t="inlineStr">
        <is>
          <t>فاطمة الزبيري</t>
        </is>
      </c>
      <c r="D7" s="85" t="inlineStr">
        <is>
          <t>VERIFIED</t>
        </is>
      </c>
      <c r="E7" s="85" t="inlineStr">
        <is>
          <t>773456789</t>
        </is>
      </c>
      <c r="F7" s="85" t="inlineStr">
        <is>
          <t>fatima@email.com</t>
        </is>
      </c>
      <c r="G7" s="85" t="inlineStr">
        <is>
          <t>NGO Consultant</t>
        </is>
      </c>
      <c r="H7" s="85" t="inlineStr">
        <is>
          <t>Flex Monthly</t>
        </is>
      </c>
      <c r="I7" s="86" t="n">
        <v>45</v>
      </c>
      <c r="J7" s="87" t="n">
        <v>76500</v>
      </c>
      <c r="K7" s="85" t="inlineStr">
        <is>
          <t>2026-06-01</t>
        </is>
      </c>
      <c r="L7" s="85" t="inlineStr">
        <is>
          <t>2026-06-30</t>
        </is>
      </c>
      <c r="M7" s="85" t="inlineStr">
        <is>
          <t>Active</t>
        </is>
      </c>
      <c r="N7" s="85" t="inlineStr">
        <is>
          <t>Cash</t>
        </is>
      </c>
      <c r="O7" s="85" t="inlineStr">
        <is>
          <t>Badr</t>
        </is>
      </c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</row>
    <row r="8" ht="15" customHeight="1" s="64">
      <c r="A8" s="81" t="inlineStr">
        <is>
          <t>KAY-M003</t>
        </is>
      </c>
      <c r="B8" s="81" t="inlineStr">
        <is>
          <t>Omar Saeed Bin Laden</t>
        </is>
      </c>
      <c r="C8" s="81" t="inlineStr">
        <is>
          <t>عمر سعيد بن لادن</t>
        </is>
      </c>
      <c r="D8" s="81" t="inlineStr">
        <is>
          <t>VERIFIED</t>
        </is>
      </c>
      <c r="E8" s="81" t="inlineStr">
        <is>
          <t>771234567</t>
        </is>
      </c>
      <c r="F8" s="81" t="inlineStr">
        <is>
          <t>omar.s@email.com</t>
        </is>
      </c>
      <c r="G8" s="81" t="inlineStr">
        <is>
          <t>Architect</t>
        </is>
      </c>
      <c r="H8" s="81" t="inlineStr">
        <is>
          <t>Dedicated Desk</t>
        </is>
      </c>
      <c r="I8" s="83" t="n">
        <v>82</v>
      </c>
      <c r="J8" s="84" t="n">
        <v>139400</v>
      </c>
      <c r="K8" s="81" t="inlineStr">
        <is>
          <t>2026-06-01</t>
        </is>
      </c>
      <c r="L8" s="81" t="inlineStr">
        <is>
          <t>2026-06-30</t>
        </is>
      </c>
      <c r="M8" s="81" t="inlineStr">
        <is>
          <t>Active</t>
        </is>
      </c>
      <c r="N8" s="81" t="inlineStr">
        <is>
          <t>Cash</t>
        </is>
      </c>
      <c r="O8" s="81" t="inlineStr">
        <is>
          <t>Badr</t>
        </is>
      </c>
      <c r="P8" s="81" t="n"/>
      <c r="Q8" s="81" t="n"/>
      <c r="R8" s="81" t="n"/>
      <c r="S8" s="81" t="n"/>
      <c r="T8" s="81" t="n"/>
      <c r="U8" s="81" t="n"/>
      <c r="V8" s="81" t="n"/>
      <c r="W8" s="81" t="n"/>
      <c r="X8" s="81" t="n"/>
      <c r="Y8" s="81" t="n"/>
      <c r="Z8" s="81" t="n"/>
      <c r="AA8" s="81" t="n"/>
      <c r="AB8" s="81" t="n"/>
      <c r="AC8" s="81" t="n"/>
      <c r="AD8" s="81" t="n"/>
    </row>
    <row r="9" ht="15" customHeight="1" s="64">
      <c r="A9" s="85" t="inlineStr">
        <is>
          <t>KAY-M004</t>
        </is>
      </c>
      <c r="B9" s="85" t="inlineStr">
        <is>
          <t>Aisha Mohammed Qassem</t>
        </is>
      </c>
      <c r="C9" s="85" t="inlineStr">
        <is>
          <t>عائشة محمد قاسم</t>
        </is>
      </c>
      <c r="D9" s="85" t="inlineStr">
        <is>
          <t>VERIFIED</t>
        </is>
      </c>
      <c r="E9" s="85" t="inlineStr">
        <is>
          <t>775678901</t>
        </is>
      </c>
      <c r="F9" s="85" t="inlineStr">
        <is>
          <t>aisha.q@email.com</t>
        </is>
      </c>
      <c r="G9" s="85" t="inlineStr">
        <is>
          <t>Translation</t>
        </is>
      </c>
      <c r="H9" s="85" t="inlineStr">
        <is>
          <t>Flex Monthly</t>
        </is>
      </c>
      <c r="I9" s="86" t="n">
        <v>45</v>
      </c>
      <c r="J9" s="87" t="n">
        <v>76500</v>
      </c>
      <c r="K9" s="85" t="inlineStr">
        <is>
          <t>2026-06-01</t>
        </is>
      </c>
      <c r="L9" s="85" t="inlineStr">
        <is>
          <t>2026-06-30</t>
        </is>
      </c>
      <c r="M9" s="85" t="inlineStr">
        <is>
          <t>Active</t>
        </is>
      </c>
      <c r="N9" s="85" t="inlineStr">
        <is>
          <t>Cash</t>
        </is>
      </c>
      <c r="O9" s="85" t="inlineStr">
        <is>
          <t>Badr</t>
        </is>
      </c>
      <c r="P9" s="85" t="n"/>
      <c r="Q9" s="85" t="n"/>
      <c r="R9" s="85" t="n"/>
      <c r="S9" s="85" t="n"/>
      <c r="T9" s="85" t="n"/>
      <c r="U9" s="85" t="n"/>
      <c r="V9" s="85" t="n"/>
      <c r="W9" s="85" t="n"/>
      <c r="X9" s="85" t="n"/>
      <c r="Y9" s="85" t="n"/>
      <c r="Z9" s="85" t="n"/>
      <c r="AA9" s="85" t="n"/>
      <c r="AB9" s="85" t="n"/>
      <c r="AC9" s="85" t="n"/>
      <c r="AD9" s="85" t="n"/>
    </row>
    <row r="10" ht="15" customHeight="1" s="64">
      <c r="A10" s="81" t="inlineStr">
        <is>
          <t>KAY-M005</t>
        </is>
      </c>
      <c r="B10" s="81" t="inlineStr">
        <is>
          <t>Khaled Al-Jabri</t>
        </is>
      </c>
      <c r="C10" s="81" t="inlineStr">
        <is>
          <t>خالد الجابري</t>
        </is>
      </c>
      <c r="D10" s="81" t="inlineStr">
        <is>
          <t>VERIFIED</t>
        </is>
      </c>
      <c r="E10" s="81" t="inlineStr">
        <is>
          <t>772345678</t>
        </is>
      </c>
      <c r="F10" s="81" t="inlineStr">
        <is>
          <t>khaled.j@email.com</t>
        </is>
      </c>
      <c r="G10" s="81" t="inlineStr">
        <is>
          <t>IT Consultant</t>
        </is>
      </c>
      <c r="H10" s="81" t="inlineStr">
        <is>
          <t>Dedicated Desk</t>
        </is>
      </c>
      <c r="I10" s="83" t="n">
        <v>82</v>
      </c>
      <c r="J10" s="84" t="n">
        <v>139400</v>
      </c>
      <c r="K10" s="81" t="inlineStr">
        <is>
          <t>2026-06-05</t>
        </is>
      </c>
      <c r="L10" s="81" t="inlineStr">
        <is>
          <t>2026-07-04</t>
        </is>
      </c>
      <c r="M10" s="81" t="inlineStr">
        <is>
          <t>Active</t>
        </is>
      </c>
      <c r="N10" s="81" t="inlineStr">
        <is>
          <t>Cash</t>
        </is>
      </c>
      <c r="O10" s="81" t="inlineStr">
        <is>
          <t>Badr</t>
        </is>
      </c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81" t="n"/>
      <c r="AD10" s="81" t="n"/>
    </row>
    <row r="11" ht="15" customHeight="1" s="64">
      <c r="A11" s="85" t="inlineStr">
        <is>
          <t>KAY-M006</t>
        </is>
      </c>
      <c r="B11" s="85" t="inlineStr">
        <is>
          <t>Samira Ahmed Hassan</t>
        </is>
      </c>
      <c r="C11" s="85" t="inlineStr">
        <is>
          <t>سميرة أحمد حسن</t>
        </is>
      </c>
      <c r="D11" s="85" t="inlineStr">
        <is>
          <t>VERIFIED</t>
        </is>
      </c>
      <c r="E11" s="85" t="inlineStr">
        <is>
          <t>774567890</t>
        </is>
      </c>
      <c r="F11" s="85" t="inlineStr">
        <is>
          <t>samira@email.com</t>
        </is>
      </c>
      <c r="G11" s="85" t="inlineStr">
        <is>
          <t>HR Specialist</t>
        </is>
      </c>
      <c r="H11" s="85" t="inlineStr">
        <is>
          <t>Flex Monthly</t>
        </is>
      </c>
      <c r="I11" s="86" t="n">
        <v>45</v>
      </c>
      <c r="J11" s="87" t="n">
        <v>76500</v>
      </c>
      <c r="K11" s="85" t="inlineStr">
        <is>
          <t>2026-06-08</t>
        </is>
      </c>
      <c r="L11" s="85" t="inlineStr">
        <is>
          <t>2026-07-07</t>
        </is>
      </c>
      <c r="M11" s="85" t="inlineStr">
        <is>
          <t>Active</t>
        </is>
      </c>
      <c r="N11" s="85" t="inlineStr">
        <is>
          <t>Cash</t>
        </is>
      </c>
      <c r="O11" s="85" t="inlineStr">
        <is>
          <t>Badr</t>
        </is>
      </c>
      <c r="P11" s="85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</row>
    <row r="12" ht="15" customHeight="1" s="64">
      <c r="A12" s="81" t="inlineStr">
        <is>
          <t>KAY-M007</t>
        </is>
      </c>
      <c r="B12" s="81" t="inlineStr">
        <is>
          <t>Waleed Nasser</t>
        </is>
      </c>
      <c r="C12" s="81" t="inlineStr">
        <is>
          <t>وليد ناصر</t>
        </is>
      </c>
      <c r="D12" s="81" t="inlineStr">
        <is>
          <t>VERIFIED</t>
        </is>
      </c>
      <c r="E12" s="81" t="inlineStr">
        <is>
          <t>776789012</t>
        </is>
      </c>
      <c r="F12" s="81" t="inlineStr">
        <is>
          <t>waleed.n@email.com</t>
        </is>
      </c>
      <c r="G12" s="81" t="inlineStr">
        <is>
          <t>Graphic Designer</t>
        </is>
      </c>
      <c r="H12" s="81" t="inlineStr">
        <is>
          <t>Flex Monthly</t>
        </is>
      </c>
      <c r="I12" s="83" t="n">
        <v>45</v>
      </c>
      <c r="J12" s="84" t="n">
        <v>76500</v>
      </c>
      <c r="K12" s="81" t="inlineStr">
        <is>
          <t>2026-06-10</t>
        </is>
      </c>
      <c r="L12" s="81" t="inlineStr">
        <is>
          <t>2026-07-09</t>
        </is>
      </c>
      <c r="M12" s="81" t="inlineStr">
        <is>
          <t>Active</t>
        </is>
      </c>
      <c r="N12" s="81" t="inlineStr">
        <is>
          <t>Cash</t>
        </is>
      </c>
      <c r="O12" s="81" t="inlineStr">
        <is>
          <t>Badr</t>
        </is>
      </c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  <c r="AB12" s="81" t="n"/>
      <c r="AC12" s="81" t="n"/>
      <c r="AD12" s="81" t="n"/>
    </row>
    <row r="13" ht="15" customHeight="1" s="64">
      <c r="A13" s="85" t="inlineStr">
        <is>
          <t>KAY-M008</t>
        </is>
      </c>
      <c r="B13" s="85" t="inlineStr">
        <is>
          <t>Huda Al-Salahi</t>
        </is>
      </c>
      <c r="C13" s="85" t="inlineStr">
        <is>
          <t>هدى الصلاحي</t>
        </is>
      </c>
      <c r="D13" s="85" t="inlineStr">
        <is>
          <t>VERIFIED</t>
        </is>
      </c>
      <c r="E13" s="85" t="inlineStr">
        <is>
          <t>778901234</t>
        </is>
      </c>
      <c r="F13" s="85" t="inlineStr">
        <is>
          <t>huda.s@email.com</t>
        </is>
      </c>
      <c r="G13" s="85" t="inlineStr">
        <is>
          <t>Social Media Mgr</t>
        </is>
      </c>
      <c r="H13" s="85" t="inlineStr">
        <is>
          <t>Day Pass Conversion</t>
        </is>
      </c>
      <c r="I13" s="86" t="n">
        <v>0</v>
      </c>
      <c r="J13" s="87" t="n">
        <v>0</v>
      </c>
      <c r="K13" s="85" t="inlineStr">
        <is>
          <t>2026-06-15</t>
        </is>
      </c>
      <c r="L13" s="85" t="inlineStr">
        <is>
          <t>2026-07-14</t>
        </is>
      </c>
      <c r="M13" s="85" t="inlineStr">
        <is>
          <t>Active</t>
        </is>
      </c>
      <c r="N13" s="85" t="inlineStr">
        <is>
          <t>Cash</t>
        </is>
      </c>
      <c r="O13" s="85" t="inlineStr">
        <is>
          <t>Badr</t>
        </is>
      </c>
      <c r="P13" s="85" t="n"/>
      <c r="Q13" s="85" t="n"/>
      <c r="R13" s="85" t="n"/>
      <c r="S13" s="85" t="n"/>
      <c r="T13" s="85" t="n"/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</row>
    <row r="14" ht="15" customHeight="1" s="64">
      <c r="A14" s="81" t="n"/>
      <c r="B14" s="81" t="n"/>
      <c r="C14" s="81" t="n"/>
      <c r="D14" s="81" t="n"/>
      <c r="E14" s="81" t="n"/>
      <c r="F14" s="81" t="n"/>
      <c r="G14" s="81" t="n"/>
      <c r="H14" s="81" t="n"/>
      <c r="I14" s="83">
        <f>IF(H14="Day Pass",5,IF(H14="Half-Day/Evening",3,IF(H14="Monthly Flex (8 days)",30,IF(H14="Monthly Unlimited",60,IF(H14="Dedicated Desk",90,"")))))</f>
        <v/>
      </c>
      <c r="J14" s="84">
        <f>IF(I14="","",I14*1700)</f>
        <v/>
      </c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</row>
    <row r="15" ht="15" customHeight="1" s="64">
      <c r="A15" s="85" t="n"/>
      <c r="B15" s="85" t="n"/>
      <c r="C15" s="85" t="n"/>
      <c r="D15" s="85" t="n"/>
      <c r="E15" s="85" t="n"/>
      <c r="F15" s="85" t="n"/>
      <c r="G15" s="85" t="n"/>
      <c r="H15" s="85" t="n"/>
      <c r="I15" s="86">
        <f>IF(H15="Day Pass",5,IF(H15="Half-Day/Evening",3,IF(H15="Monthly Flex (8 days)",30,IF(H15="Monthly Unlimited",60,IF(H15="Dedicated Desk",90,"")))))</f>
        <v/>
      </c>
      <c r="J15" s="87">
        <f>IF(I15="","",I15*1700)</f>
        <v/>
      </c>
      <c r="K15" s="85" t="n"/>
      <c r="L15" s="85" t="n"/>
      <c r="M15" s="85" t="n"/>
      <c r="N15" s="85" t="n"/>
      <c r="O15" s="85" t="n"/>
      <c r="P15" s="85" t="n"/>
      <c r="Q15" s="85" t="n"/>
      <c r="R15" s="85" t="n"/>
      <c r="S15" s="85" t="n"/>
      <c r="T15" s="85" t="n"/>
      <c r="U15" s="85" t="n"/>
      <c r="V15" s="85" t="n"/>
      <c r="W15" s="85" t="n"/>
      <c r="X15" s="85" t="n"/>
      <c r="Y15" s="85" t="n"/>
      <c r="Z15" s="85" t="n"/>
      <c r="AA15" s="85" t="n"/>
      <c r="AB15" s="85" t="n"/>
      <c r="AC15" s="85" t="n"/>
      <c r="AD15" s="85" t="n"/>
    </row>
    <row r="16" ht="15" customHeight="1" s="64">
      <c r="A16" s="81" t="n"/>
      <c r="B16" s="81" t="n"/>
      <c r="C16" s="81" t="n"/>
      <c r="D16" s="81" t="n"/>
      <c r="E16" s="81" t="n"/>
      <c r="F16" s="81" t="n"/>
      <c r="G16" s="81" t="n"/>
      <c r="H16" s="81" t="n"/>
      <c r="I16" s="83">
        <f>IF(H16="Day Pass",5,IF(H16="Half-Day/Evening",3,IF(H16="Monthly Flex (8 days)",30,IF(H16="Monthly Unlimited",60,IF(H16="Dedicated Desk",90,"")))))</f>
        <v/>
      </c>
      <c r="J16" s="84">
        <f>IF(I16="","",I16*1700)</f>
        <v/>
      </c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</row>
    <row r="17" ht="15" customHeight="1" s="64">
      <c r="A17" s="85" t="n"/>
      <c r="B17" s="85" t="n"/>
      <c r="C17" s="85" t="n"/>
      <c r="D17" s="85" t="n"/>
      <c r="E17" s="85" t="n"/>
      <c r="F17" s="85" t="n"/>
      <c r="G17" s="85" t="n"/>
      <c r="H17" s="85" t="n"/>
      <c r="I17" s="86">
        <f>IF(H17="Day Pass",5,IF(H17="Half-Day/Evening",3,IF(H17="Monthly Flex (8 days)",30,IF(H17="Monthly Unlimited",60,IF(H17="Dedicated Desk",90,"")))))</f>
        <v/>
      </c>
      <c r="J17" s="87">
        <f>IF(I17="","",I17*1700)</f>
        <v/>
      </c>
      <c r="K17" s="85" t="n"/>
      <c r="L17" s="85" t="n"/>
      <c r="M17" s="85" t="n"/>
      <c r="N17" s="85" t="n"/>
      <c r="O17" s="85" t="n"/>
      <c r="P17" s="85" t="n"/>
      <c r="Q17" s="85" t="n"/>
      <c r="R17" s="85" t="n"/>
      <c r="S17" s="85" t="n"/>
      <c r="T17" s="85" t="n"/>
      <c r="U17" s="85" t="n"/>
      <c r="V17" s="85" t="n"/>
      <c r="W17" s="85" t="n"/>
      <c r="X17" s="85" t="n"/>
      <c r="Y17" s="85" t="n"/>
      <c r="Z17" s="85" t="n"/>
      <c r="AA17" s="85" t="n"/>
      <c r="AB17" s="85" t="n"/>
      <c r="AC17" s="85" t="n"/>
      <c r="AD17" s="85" t="n"/>
    </row>
    <row r="18" ht="15" customHeight="1" s="64">
      <c r="A18" s="81" t="n"/>
      <c r="B18" s="81" t="n"/>
      <c r="C18" s="81" t="n"/>
      <c r="D18" s="81" t="n"/>
      <c r="E18" s="81" t="n"/>
      <c r="F18" s="81" t="n"/>
      <c r="G18" s="81" t="n"/>
      <c r="H18" s="81" t="n"/>
      <c r="I18" s="83">
        <f>IF(H18="Day Pass",5,IF(H18="Half-Day/Evening",3,IF(H18="Monthly Flex (8 days)",30,IF(H18="Monthly Unlimited",60,IF(H18="Dedicated Desk",90,"")))))</f>
        <v/>
      </c>
      <c r="J18" s="84">
        <f>IF(I18="","",I18*1700)</f>
        <v/>
      </c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</row>
    <row r="19" ht="15" customHeight="1" s="64">
      <c r="A19" s="85" t="n"/>
      <c r="B19" s="85" t="n"/>
      <c r="C19" s="85" t="n"/>
      <c r="D19" s="85" t="n"/>
      <c r="E19" s="85" t="n"/>
      <c r="F19" s="85" t="n"/>
      <c r="G19" s="85" t="n"/>
      <c r="H19" s="85" t="n"/>
      <c r="I19" s="86">
        <f>IF(H19="Day Pass",5,IF(H19="Half-Day/Evening",3,IF(H19="Monthly Flex (8 days)",30,IF(H19="Monthly Unlimited",60,IF(H19="Dedicated Desk",90,"")))))</f>
        <v/>
      </c>
      <c r="J19" s="87">
        <f>IF(I19="","",I19*1700)</f>
        <v/>
      </c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</row>
    <row r="20" ht="15" customHeight="1" s="64">
      <c r="A20" s="81" t="n"/>
      <c r="B20" s="81" t="n"/>
      <c r="C20" s="81" t="n"/>
      <c r="D20" s="81" t="n"/>
      <c r="E20" s="81" t="n"/>
      <c r="F20" s="81" t="n"/>
      <c r="G20" s="81" t="n"/>
      <c r="H20" s="81" t="n"/>
      <c r="I20" s="83">
        <f>IF(H20="Day Pass",5,IF(H20="Half-Day/Evening",3,IF(H20="Monthly Flex (8 days)",30,IF(H20="Monthly Unlimited",60,IF(H20="Dedicated Desk",90,"")))))</f>
        <v/>
      </c>
      <c r="J20" s="84">
        <f>IF(I20="","",I20*1700)</f>
        <v/>
      </c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</row>
    <row r="21" ht="15" customHeight="1" s="64">
      <c r="A21" s="85" t="n"/>
      <c r="B21" s="85" t="n"/>
      <c r="C21" s="85" t="n"/>
      <c r="D21" s="85" t="n"/>
      <c r="E21" s="85" t="n"/>
      <c r="F21" s="85" t="n"/>
      <c r="G21" s="85" t="n"/>
      <c r="H21" s="85" t="n"/>
      <c r="I21" s="86">
        <f>IF(H21="Day Pass",5,IF(H21="Half-Day/Evening",3,IF(H21="Monthly Flex (8 days)",30,IF(H21="Monthly Unlimited",60,IF(H21="Dedicated Desk",90,"")))))</f>
        <v/>
      </c>
      <c r="J21" s="87">
        <f>IF(I21="","",I21*1700)</f>
        <v/>
      </c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</row>
    <row r="22" ht="15" customHeight="1" s="64">
      <c r="A22" s="81" t="n"/>
      <c r="B22" s="81" t="n"/>
      <c r="C22" s="81" t="n"/>
      <c r="D22" s="81" t="n"/>
      <c r="E22" s="81" t="n"/>
      <c r="F22" s="81" t="n"/>
      <c r="G22" s="81" t="n"/>
      <c r="H22" s="81" t="n"/>
      <c r="I22" s="83">
        <f>IF(H22="Day Pass",5,IF(H22="Half-Day/Evening",3,IF(H22="Monthly Flex (8 days)",30,IF(H22="Monthly Unlimited",60,IF(H22="Dedicated Desk",90,"")))))</f>
        <v/>
      </c>
      <c r="J22" s="84">
        <f>IF(I22="","",I22*1700)</f>
        <v/>
      </c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1" t="n"/>
      <c r="Y22" s="81" t="n"/>
      <c r="Z22" s="81" t="n"/>
      <c r="AA22" s="81" t="n"/>
      <c r="AB22" s="81" t="n"/>
      <c r="AC22" s="81" t="n"/>
      <c r="AD22" s="81" t="n"/>
    </row>
    <row r="23" ht="15" customHeight="1" s="64">
      <c r="A23" s="85" t="n"/>
      <c r="B23" s="85" t="n"/>
      <c r="C23" s="85" t="n"/>
      <c r="D23" s="85" t="n"/>
      <c r="E23" s="85" t="n"/>
      <c r="F23" s="85" t="n"/>
      <c r="G23" s="85" t="n"/>
      <c r="H23" s="85" t="n"/>
      <c r="I23" s="86">
        <f>IF(H23="Day Pass",5,IF(H23="Half-Day/Evening",3,IF(H23="Monthly Flex (8 days)",30,IF(H23="Monthly Unlimited",60,IF(H23="Dedicated Desk",90,"")))))</f>
        <v/>
      </c>
      <c r="J23" s="87">
        <f>IF(I23="","",I23*1700)</f>
        <v/>
      </c>
      <c r="K23" s="85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85" t="n"/>
      <c r="U23" s="85" t="n"/>
      <c r="V23" s="85" t="n"/>
      <c r="W23" s="85" t="n"/>
      <c r="X23" s="85" t="n"/>
      <c r="Y23" s="85" t="n"/>
      <c r="Z23" s="85" t="n"/>
      <c r="AA23" s="85" t="n"/>
      <c r="AB23" s="85" t="n"/>
      <c r="AC23" s="85" t="n"/>
      <c r="AD23" s="85" t="n"/>
    </row>
    <row r="24" ht="15" customHeight="1" s="64">
      <c r="A24" s="81" t="n"/>
      <c r="B24" s="81" t="n"/>
      <c r="C24" s="81" t="n"/>
      <c r="D24" s="81" t="n"/>
      <c r="E24" s="81" t="n"/>
      <c r="F24" s="81" t="n"/>
      <c r="G24" s="81" t="n"/>
      <c r="H24" s="81" t="n"/>
      <c r="I24" s="83">
        <f>IF(H24="Day Pass",5,IF(H24="Half-Day/Evening",3,IF(H24="Monthly Flex (8 days)",30,IF(H24="Monthly Unlimited",60,IF(H24="Dedicated Desk",90,"")))))</f>
        <v/>
      </c>
      <c r="J24" s="84">
        <f>IF(I24="","",I24*1700)</f>
        <v/>
      </c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  <c r="AB24" s="81" t="n"/>
      <c r="AC24" s="81" t="n"/>
      <c r="AD24" s="81" t="n"/>
    </row>
    <row r="25" ht="15" customHeight="1" s="64">
      <c r="A25" s="85" t="n"/>
      <c r="B25" s="85" t="n"/>
      <c r="C25" s="85" t="n"/>
      <c r="D25" s="85" t="n"/>
      <c r="E25" s="85" t="n"/>
      <c r="F25" s="85" t="n"/>
      <c r="G25" s="85" t="n"/>
      <c r="H25" s="85" t="n"/>
      <c r="I25" s="86">
        <f>IF(H25="Day Pass",5,IF(H25="Half-Day/Evening",3,IF(H25="Monthly Flex (8 days)",30,IF(H25="Monthly Unlimited",60,IF(H25="Dedicated Desk",90,"")))))</f>
        <v/>
      </c>
      <c r="J25" s="87">
        <f>IF(I25="","",I25*1700)</f>
        <v/>
      </c>
      <c r="K25" s="85" t="n"/>
      <c r="L25" s="85" t="n"/>
      <c r="M25" s="85" t="n"/>
      <c r="N25" s="85" t="n"/>
      <c r="O25" s="85" t="n"/>
      <c r="P25" s="85" t="n"/>
      <c r="Q25" s="85" t="n"/>
      <c r="R25" s="85" t="n"/>
      <c r="S25" s="85" t="n"/>
      <c r="T25" s="85" t="n"/>
      <c r="U25" s="85" t="n"/>
      <c r="V25" s="85" t="n"/>
      <c r="W25" s="85" t="n"/>
      <c r="X25" s="85" t="n"/>
      <c r="Y25" s="85" t="n"/>
      <c r="Z25" s="85" t="n"/>
      <c r="AA25" s="85" t="n"/>
      <c r="AB25" s="85" t="n"/>
      <c r="AC25" s="85" t="n"/>
      <c r="AD25" s="85" t="n"/>
    </row>
    <row r="26" ht="15" customHeight="1" s="64">
      <c r="A26" s="81" t="n"/>
      <c r="B26" s="81" t="n"/>
      <c r="C26" s="81" t="n"/>
      <c r="D26" s="81" t="n"/>
      <c r="E26" s="81" t="n"/>
      <c r="F26" s="81" t="n"/>
      <c r="G26" s="81" t="n"/>
      <c r="H26" s="81" t="n"/>
      <c r="I26" s="83">
        <f>IF(H26="Day Pass",5,IF(H26="Half-Day/Evening",3,IF(H26="Monthly Flex (8 days)",30,IF(H26="Monthly Unlimited",60,IF(H26="Dedicated Desk",90,"")))))</f>
        <v/>
      </c>
      <c r="J26" s="84">
        <f>IF(I26="","",I26*1700)</f>
        <v/>
      </c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81" t="n"/>
      <c r="V26" s="81" t="n"/>
      <c r="W26" s="81" t="n"/>
      <c r="X26" s="81" t="n"/>
      <c r="Y26" s="81" t="n"/>
      <c r="Z26" s="81" t="n"/>
      <c r="AA26" s="81" t="n"/>
      <c r="AB26" s="81" t="n"/>
      <c r="AC26" s="81" t="n"/>
      <c r="AD26" s="81" t="n"/>
    </row>
    <row r="27" ht="15" customHeight="1" s="64">
      <c r="A27" s="85" t="n"/>
      <c r="B27" s="85" t="n"/>
      <c r="C27" s="85" t="n"/>
      <c r="D27" s="85" t="n"/>
      <c r="E27" s="85" t="n"/>
      <c r="F27" s="85" t="n"/>
      <c r="G27" s="85" t="n"/>
      <c r="H27" s="85" t="n"/>
      <c r="I27" s="86">
        <f>IF(H27="Day Pass",5,IF(H27="Half-Day/Evening",3,IF(H27="Monthly Flex (8 days)",30,IF(H27="Monthly Unlimited",60,IF(H27="Dedicated Desk",90,"")))))</f>
        <v/>
      </c>
      <c r="J27" s="87">
        <f>IF(I27="","",I27*1700)</f>
        <v/>
      </c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  <c r="AA27" s="85" t="n"/>
      <c r="AB27" s="85" t="n"/>
      <c r="AC27" s="85" t="n"/>
      <c r="AD27" s="85" t="n"/>
    </row>
    <row r="28" ht="15" customHeight="1" s="64">
      <c r="A28" s="81" t="n"/>
      <c r="B28" s="81" t="n"/>
      <c r="C28" s="81" t="n"/>
      <c r="D28" s="81" t="n"/>
      <c r="E28" s="81" t="n"/>
      <c r="F28" s="81" t="n"/>
      <c r="G28" s="81" t="n"/>
      <c r="H28" s="81" t="n"/>
      <c r="I28" s="83">
        <f>IF(H28="Day Pass",5,IF(H28="Half-Day/Evening",3,IF(H28="Monthly Flex (8 days)",30,IF(H28="Monthly Unlimited",60,IF(H28="Dedicated Desk",90,"")))))</f>
        <v/>
      </c>
      <c r="J28" s="84">
        <f>IF(I28="","",I28*1700)</f>
        <v/>
      </c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  <c r="AA28" s="81" t="n"/>
      <c r="AB28" s="81" t="n"/>
      <c r="AC28" s="81" t="n"/>
      <c r="AD28" s="81" t="n"/>
    </row>
    <row r="29" ht="15" customHeight="1" s="64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6">
        <f>IF(H29="Day Pass",5,IF(H29="Half-Day/Evening",3,IF(H29="Monthly Flex (8 days)",30,IF(H29="Monthly Unlimited",60,IF(H29="Dedicated Desk",90,"")))))</f>
        <v/>
      </c>
      <c r="J29" s="87">
        <f>IF(I29="","",I29*1700)</f>
        <v/>
      </c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  <c r="AA29" s="85" t="n"/>
      <c r="AB29" s="85" t="n"/>
      <c r="AC29" s="85" t="n"/>
      <c r="AD29" s="85" t="n"/>
    </row>
    <row r="30" ht="15" customHeight="1" s="64">
      <c r="A30" s="81" t="n"/>
      <c r="B30" s="81" t="n"/>
      <c r="C30" s="81" t="n"/>
      <c r="D30" s="81" t="n"/>
      <c r="E30" s="81" t="n"/>
      <c r="F30" s="81" t="n"/>
      <c r="G30" s="81" t="n"/>
      <c r="H30" s="81" t="n"/>
      <c r="I30" s="83">
        <f>IF(H30="Day Pass",5,IF(H30="Half-Day/Evening",3,IF(H30="Monthly Flex (8 days)",30,IF(H30="Monthly Unlimited",60,IF(H30="Dedicated Desk",90,"")))))</f>
        <v/>
      </c>
      <c r="J30" s="84">
        <f>IF(I30="","",I30*1700)</f>
        <v/>
      </c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</row>
    <row r="31" ht="15" customHeight="1" s="64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6">
        <f>IF(H31="Day Pass",5,IF(H31="Half-Day/Evening",3,IF(H31="Monthly Flex (8 days)",30,IF(H31="Monthly Unlimited",60,IF(H31="Dedicated Desk",90,"")))))</f>
        <v/>
      </c>
      <c r="J31" s="87">
        <f>IF(I31="","",I31*1700)</f>
        <v/>
      </c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  <c r="AA31" s="85" t="n"/>
      <c r="AB31" s="85" t="n"/>
      <c r="AC31" s="85" t="n"/>
      <c r="AD31" s="85" t="n"/>
    </row>
    <row r="32" ht="15" customHeight="1" s="64">
      <c r="A32" s="81" t="n"/>
      <c r="B32" s="81" t="n"/>
      <c r="C32" s="81" t="n"/>
      <c r="D32" s="81" t="n"/>
      <c r="E32" s="81" t="n"/>
      <c r="F32" s="81" t="n"/>
      <c r="G32" s="81" t="n"/>
      <c r="H32" s="81" t="n"/>
      <c r="I32" s="83">
        <f>IF(H32="Day Pass",5,IF(H32="Half-Day/Evening",3,IF(H32="Monthly Flex (8 days)",30,IF(H32="Monthly Unlimited",60,IF(H32="Dedicated Desk",90,"")))))</f>
        <v/>
      </c>
      <c r="J32" s="84">
        <f>IF(I32="","",I32*1700)</f>
        <v/>
      </c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1" t="n"/>
      <c r="V32" s="81" t="n"/>
      <c r="W32" s="81" t="n"/>
      <c r="X32" s="81" t="n"/>
      <c r="Y32" s="81" t="n"/>
      <c r="Z32" s="81" t="n"/>
      <c r="AA32" s="81" t="n"/>
      <c r="AB32" s="81" t="n"/>
      <c r="AC32" s="81" t="n"/>
      <c r="AD32" s="81" t="n"/>
    </row>
    <row r="33" ht="15" customHeight="1" s="64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6">
        <f>IF(H33="Day Pass",5,IF(H33="Half-Day/Evening",3,IF(H33="Monthly Flex (8 days)",30,IF(H33="Monthly Unlimited",60,IF(H33="Dedicated Desk",90,"")))))</f>
        <v/>
      </c>
      <c r="J33" s="87">
        <f>IF(I33="","",I33*1700)</f>
        <v/>
      </c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  <c r="AA33" s="85" t="n"/>
      <c r="AB33" s="85" t="n"/>
      <c r="AC33" s="85" t="n"/>
      <c r="AD33" s="85" t="n"/>
    </row>
    <row r="34" ht="15" customHeight="1" s="64">
      <c r="A34" s="81" t="n"/>
      <c r="B34" s="81" t="n"/>
      <c r="C34" s="81" t="n"/>
      <c r="D34" s="81" t="n"/>
      <c r="E34" s="81" t="n"/>
      <c r="F34" s="81" t="n"/>
      <c r="G34" s="81" t="n"/>
      <c r="H34" s="81" t="n"/>
      <c r="I34" s="83">
        <f>IF(H34="Day Pass",5,IF(H34="Half-Day/Evening",3,IF(H34="Monthly Flex (8 days)",30,IF(H34="Monthly Unlimited",60,IF(H34="Dedicated Desk",90,"")))))</f>
        <v/>
      </c>
      <c r="J34" s="84">
        <f>IF(I34="","",I34*1700)</f>
        <v/>
      </c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1" t="n"/>
      <c r="V34" s="81" t="n"/>
      <c r="W34" s="81" t="n"/>
      <c r="X34" s="81" t="n"/>
      <c r="Y34" s="81" t="n"/>
      <c r="Z34" s="81" t="n"/>
      <c r="AA34" s="81" t="n"/>
      <c r="AB34" s="81" t="n"/>
      <c r="AC34" s="81" t="n"/>
      <c r="AD34" s="81" t="n"/>
    </row>
    <row r="35" ht="15" customHeight="1" s="64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6">
        <f>IF(H35="Day Pass",5,IF(H35="Half-Day/Evening",3,IF(H35="Monthly Flex (8 days)",30,IF(H35="Monthly Unlimited",60,IF(H35="Dedicated Desk",90,"")))))</f>
        <v/>
      </c>
      <c r="J35" s="87">
        <f>IF(I35="","",I35*1700)</f>
        <v/>
      </c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  <c r="AA35" s="85" t="n"/>
      <c r="AB35" s="85" t="n"/>
      <c r="AC35" s="85" t="n"/>
      <c r="AD35" s="85" t="n"/>
    </row>
    <row r="36" ht="15" customHeight="1" s="64">
      <c r="A36" s="81" t="n"/>
      <c r="B36" s="81" t="n"/>
      <c r="C36" s="81" t="n"/>
      <c r="D36" s="81" t="n"/>
      <c r="E36" s="81" t="n"/>
      <c r="F36" s="81" t="n"/>
      <c r="G36" s="81" t="n"/>
      <c r="H36" s="81" t="n"/>
      <c r="I36" s="83">
        <f>IF(H36="Day Pass",5,IF(H36="Half-Day/Evening",3,IF(H36="Monthly Flex (8 days)",30,IF(H36="Monthly Unlimited",60,IF(H36="Dedicated Desk",90,"")))))</f>
        <v/>
      </c>
      <c r="J36" s="84">
        <f>IF(I36="","",I36*1700)</f>
        <v/>
      </c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</row>
    <row r="37" ht="15" customHeight="1" s="64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6">
        <f>IF(H37="Day Pass",5,IF(H37="Half-Day/Evening",3,IF(H37="Monthly Flex (8 days)",30,IF(H37="Monthly Unlimited",60,IF(H37="Dedicated Desk",90,"")))))</f>
        <v/>
      </c>
      <c r="J37" s="87">
        <f>IF(I37="","",I37*1700)</f>
        <v/>
      </c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  <c r="AA37" s="85" t="n"/>
      <c r="AB37" s="85" t="n"/>
      <c r="AC37" s="85" t="n"/>
      <c r="AD37" s="85" t="n"/>
    </row>
    <row r="38" ht="15" customHeight="1" s="64">
      <c r="A38" s="81" t="n"/>
      <c r="B38" s="81" t="n"/>
      <c r="C38" s="81" t="n"/>
      <c r="D38" s="81" t="n"/>
      <c r="E38" s="81" t="n"/>
      <c r="F38" s="81" t="n"/>
      <c r="G38" s="81" t="n"/>
      <c r="H38" s="81" t="n"/>
      <c r="I38" s="83">
        <f>IF(H38="Day Pass",5,IF(H38="Half-Day/Evening",3,IF(H38="Monthly Flex (8 days)",30,IF(H38="Monthly Unlimited",60,IF(H38="Dedicated Desk",90,"")))))</f>
        <v/>
      </c>
      <c r="J38" s="84">
        <f>IF(I38="","",I38*1700)</f>
        <v/>
      </c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1" t="n"/>
      <c r="Y38" s="81" t="n"/>
      <c r="Z38" s="81" t="n"/>
      <c r="AA38" s="81" t="n"/>
      <c r="AB38" s="81" t="n"/>
      <c r="AC38" s="81" t="n"/>
      <c r="AD38" s="81" t="n"/>
    </row>
    <row r="39" ht="15" customHeight="1" s="64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6">
        <f>IF(H39="Day Pass",5,IF(H39="Half-Day/Evening",3,IF(H39="Monthly Flex (8 days)",30,IF(H39="Monthly Unlimited",60,IF(H39="Dedicated Desk",90,"")))))</f>
        <v/>
      </c>
      <c r="J39" s="87">
        <f>IF(I39="","",I39*1700)</f>
        <v/>
      </c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  <c r="AA39" s="85" t="n"/>
      <c r="AB39" s="85" t="n"/>
      <c r="AC39" s="85" t="n"/>
      <c r="AD39" s="85" t="n"/>
    </row>
    <row r="40" ht="15" customHeight="1" s="64">
      <c r="A40" s="81" t="n"/>
      <c r="B40" s="81" t="n"/>
      <c r="C40" s="81" t="n"/>
      <c r="D40" s="81" t="n"/>
      <c r="E40" s="81" t="n"/>
      <c r="F40" s="81" t="n"/>
      <c r="G40" s="81" t="n"/>
      <c r="H40" s="81" t="n"/>
      <c r="I40" s="83">
        <f>IF(H40="Day Pass",5,IF(H40="Half-Day/Evening",3,IF(H40="Monthly Flex (8 days)",30,IF(H40="Monthly Unlimited",60,IF(H40="Dedicated Desk",90,"")))))</f>
        <v/>
      </c>
      <c r="J40" s="84">
        <f>IF(I40="","",I40*1700)</f>
        <v/>
      </c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1" t="n"/>
      <c r="Y40" s="81" t="n"/>
      <c r="Z40" s="81" t="n"/>
      <c r="AA40" s="81" t="n"/>
      <c r="AB40" s="81" t="n"/>
      <c r="AC40" s="81" t="n"/>
      <c r="AD40" s="81" t="n"/>
    </row>
    <row r="41" ht="15" customHeight="1" s="64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6">
        <f>IF(H41="Day Pass",5,IF(H41="Half-Day/Evening",3,IF(H41="Monthly Flex (8 days)",30,IF(H41="Monthly Unlimited",60,IF(H41="Dedicated Desk",90,"")))))</f>
        <v/>
      </c>
      <c r="J41" s="87">
        <f>IF(I41="","",I41*1700)</f>
        <v/>
      </c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  <c r="AA41" s="85" t="n"/>
      <c r="AB41" s="85" t="n"/>
      <c r="AC41" s="85" t="n"/>
      <c r="AD41" s="85" t="n"/>
    </row>
    <row r="42" ht="15" customHeight="1" s="64">
      <c r="A42" s="81" t="n"/>
      <c r="B42" s="81" t="n"/>
      <c r="C42" s="81" t="n"/>
      <c r="D42" s="81" t="n"/>
      <c r="E42" s="81" t="n"/>
      <c r="F42" s="81" t="n"/>
      <c r="G42" s="81" t="n"/>
      <c r="H42" s="81" t="n"/>
      <c r="I42" s="83">
        <f>IF(H42="Day Pass",5,IF(H42="Half-Day/Evening",3,IF(H42="Monthly Flex (8 days)",30,IF(H42="Monthly Unlimited",60,IF(H42="Dedicated Desk",90,"")))))</f>
        <v/>
      </c>
      <c r="J42" s="84">
        <f>IF(I42="","",I42*1700)</f>
        <v/>
      </c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1" t="n"/>
      <c r="Y42" s="81" t="n"/>
      <c r="Z42" s="81" t="n"/>
      <c r="AA42" s="81" t="n"/>
      <c r="AB42" s="81" t="n"/>
      <c r="AC42" s="81" t="n"/>
      <c r="AD42" s="81" t="n"/>
    </row>
    <row r="43" ht="15" customHeight="1" s="64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6">
        <f>IF(H43="Day Pass",5,IF(H43="Half-Day/Evening",3,IF(H43="Monthly Flex (8 days)",30,IF(H43="Monthly Unlimited",60,IF(H43="Dedicated Desk",90,"")))))</f>
        <v/>
      </c>
      <c r="J43" s="87">
        <f>IF(I43="","",I43*1700)</f>
        <v/>
      </c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  <c r="AA43" s="85" t="n"/>
      <c r="AB43" s="85" t="n"/>
      <c r="AC43" s="85" t="n"/>
      <c r="AD43" s="85" t="n"/>
    </row>
    <row r="44" ht="15" customHeight="1" s="64">
      <c r="A44" s="81" t="n"/>
      <c r="B44" s="81" t="n"/>
      <c r="C44" s="81" t="n"/>
      <c r="D44" s="81" t="n"/>
      <c r="E44" s="81" t="n"/>
      <c r="F44" s="81" t="n"/>
      <c r="G44" s="81" t="n"/>
      <c r="H44" s="81" t="n"/>
      <c r="I44" s="83">
        <f>IF(H44="Day Pass",5,IF(H44="Half-Day/Evening",3,IF(H44="Monthly Flex (8 days)",30,IF(H44="Monthly Unlimited",60,IF(H44="Dedicated Desk",90,"")))))</f>
        <v/>
      </c>
      <c r="J44" s="84">
        <f>IF(I44="","",I44*1700)</f>
        <v/>
      </c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1" t="n"/>
      <c r="Y44" s="81" t="n"/>
      <c r="Z44" s="81" t="n"/>
      <c r="AA44" s="81" t="n"/>
      <c r="AB44" s="81" t="n"/>
      <c r="AC44" s="81" t="n"/>
      <c r="AD44" s="81" t="n"/>
    </row>
    <row r="45" ht="15" customHeight="1" s="64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6">
        <f>IF(H45="Day Pass",5,IF(H45="Half-Day/Evening",3,IF(H45="Monthly Flex (8 days)",30,IF(H45="Monthly Unlimited",60,IF(H45="Dedicated Desk",90,"")))))</f>
        <v/>
      </c>
      <c r="J45" s="87">
        <f>IF(I45="","",I45*1700)</f>
        <v/>
      </c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  <c r="AA45" s="85" t="n"/>
      <c r="AB45" s="85" t="n"/>
      <c r="AC45" s="85" t="n"/>
      <c r="AD45" s="85" t="n"/>
    </row>
    <row r="46" ht="15" customHeight="1" s="64">
      <c r="A46" s="81" t="n"/>
      <c r="B46" s="81" t="n"/>
      <c r="C46" s="81" t="n"/>
      <c r="D46" s="81" t="n"/>
      <c r="E46" s="81" t="n"/>
      <c r="F46" s="81" t="n"/>
      <c r="G46" s="81" t="n"/>
      <c r="H46" s="81" t="n"/>
      <c r="I46" s="83">
        <f>IF(H46="Day Pass",5,IF(H46="Half-Day/Evening",3,IF(H46="Monthly Flex (8 days)",30,IF(H46="Monthly Unlimited",60,IF(H46="Dedicated Desk",90,"")))))</f>
        <v/>
      </c>
      <c r="J46" s="84">
        <f>IF(I46="","",I46*1700)</f>
        <v/>
      </c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1" t="n"/>
      <c r="Y46" s="81" t="n"/>
      <c r="Z46" s="81" t="n"/>
      <c r="AA46" s="81" t="n"/>
      <c r="AB46" s="81" t="n"/>
      <c r="AC46" s="81" t="n"/>
      <c r="AD46" s="81" t="n"/>
    </row>
    <row r="47" ht="15" customHeight="1" s="64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6">
        <f>IF(H47="Day Pass",5,IF(H47="Half-Day/Evening",3,IF(H47="Monthly Flex (8 days)",30,IF(H47="Monthly Unlimited",60,IF(H47="Dedicated Desk",90,"")))))</f>
        <v/>
      </c>
      <c r="J47" s="87">
        <f>IF(I47="","",I47*1700)</f>
        <v/>
      </c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  <c r="AA47" s="85" t="n"/>
      <c r="AB47" s="85" t="n"/>
      <c r="AC47" s="85" t="n"/>
      <c r="AD47" s="85" t="n"/>
    </row>
    <row r="48" ht="15" customHeight="1" s="64">
      <c r="A48" s="81" t="n"/>
      <c r="B48" s="81" t="n"/>
      <c r="C48" s="81" t="n"/>
      <c r="D48" s="81" t="n"/>
      <c r="E48" s="81" t="n"/>
      <c r="F48" s="81" t="n"/>
      <c r="G48" s="81" t="n"/>
      <c r="H48" s="81" t="n"/>
      <c r="I48" s="83">
        <f>IF(H48="Day Pass",5,IF(H48="Half-Day/Evening",3,IF(H48="Monthly Flex (8 days)",30,IF(H48="Monthly Unlimited",60,IF(H48="Dedicated Desk",90,"")))))</f>
        <v/>
      </c>
      <c r="J48" s="84">
        <f>IF(I48="","",I48*1700)</f>
        <v/>
      </c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  <c r="AB48" s="81" t="n"/>
      <c r="AC48" s="81" t="n"/>
      <c r="AD48" s="81" t="n"/>
    </row>
    <row r="49" ht="15" customHeight="1" s="64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6">
        <f>IF(H49="Day Pass",5,IF(H49="Half-Day/Evening",3,IF(H49="Monthly Flex (8 days)",30,IF(H49="Monthly Unlimited",60,IF(H49="Dedicated Desk",90,"")))))</f>
        <v/>
      </c>
      <c r="J49" s="87">
        <f>IF(I49="","",I49*1700)</f>
        <v/>
      </c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  <c r="AA49" s="85" t="n"/>
      <c r="AB49" s="85" t="n"/>
      <c r="AC49" s="85" t="n"/>
      <c r="AD49" s="85" t="n"/>
    </row>
    <row r="50" ht="15" customHeight="1" s="64">
      <c r="A50" s="81" t="n"/>
      <c r="B50" s="81" t="n"/>
      <c r="C50" s="81" t="n"/>
      <c r="D50" s="81" t="n"/>
      <c r="E50" s="81" t="n"/>
      <c r="F50" s="81" t="n"/>
      <c r="G50" s="81" t="n"/>
      <c r="H50" s="81" t="n"/>
      <c r="I50" s="83">
        <f>IF(H50="Day Pass",5,IF(H50="Half-Day/Evening",3,IF(H50="Monthly Flex (8 days)",30,IF(H50="Monthly Unlimited",60,IF(H50="Dedicated Desk",90,"")))))</f>
        <v/>
      </c>
      <c r="J50" s="84">
        <f>IF(I50="","",I50*1700)</f>
        <v/>
      </c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1" t="n"/>
      <c r="W50" s="81" t="n"/>
      <c r="X50" s="81" t="n"/>
      <c r="Y50" s="81" t="n"/>
      <c r="Z50" s="81" t="n"/>
      <c r="AA50" s="81" t="n"/>
      <c r="AB50" s="81" t="n"/>
      <c r="AC50" s="81" t="n"/>
      <c r="AD50" s="81" t="n"/>
    </row>
    <row r="51" ht="15" customHeight="1" s="64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6">
        <f>IF(H51="Day Pass",5,IF(H51="Half-Day/Evening",3,IF(H51="Monthly Flex (8 days)",30,IF(H51="Monthly Unlimited",60,IF(H51="Dedicated Desk",90,"")))))</f>
        <v/>
      </c>
      <c r="J51" s="87">
        <f>IF(I51="","",I51*1700)</f>
        <v/>
      </c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  <c r="AA51" s="85" t="n"/>
      <c r="AB51" s="85" t="n"/>
      <c r="AC51" s="85" t="n"/>
      <c r="AD51" s="85" t="n"/>
    </row>
    <row r="52" ht="15" customHeight="1" s="64">
      <c r="A52" s="81" t="n"/>
      <c r="B52" s="81" t="n"/>
      <c r="C52" s="81" t="n"/>
      <c r="D52" s="81" t="n"/>
      <c r="E52" s="81" t="n"/>
      <c r="F52" s="81" t="n"/>
      <c r="G52" s="81" t="n"/>
      <c r="H52" s="81" t="n"/>
      <c r="I52" s="83">
        <f>IF(H52="Day Pass",5,IF(H52="Half-Day/Evening",3,IF(H52="Monthly Flex (8 days)",30,IF(H52="Monthly Unlimited",60,IF(H52="Dedicated Desk",90,"")))))</f>
        <v/>
      </c>
      <c r="J52" s="84">
        <f>IF(I52="","",I52*1700)</f>
        <v/>
      </c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</row>
    <row r="53" ht="15" customHeight="1" s="64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6">
        <f>IF(H53="Day Pass",5,IF(H53="Half-Day/Evening",3,IF(H53="Monthly Flex (8 days)",30,IF(H53="Monthly Unlimited",60,IF(H53="Dedicated Desk",90,"")))))</f>
        <v/>
      </c>
      <c r="J53" s="87">
        <f>IF(I53="","",I53*1700)</f>
        <v/>
      </c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</row>
    <row r="54" ht="15" customHeight="1" s="64">
      <c r="A54" s="81" t="n"/>
      <c r="B54" s="81" t="n"/>
      <c r="C54" s="81" t="n"/>
      <c r="D54" s="81" t="n"/>
      <c r="E54" s="81" t="n"/>
      <c r="F54" s="81" t="n"/>
      <c r="G54" s="81" t="n"/>
      <c r="H54" s="81" t="n"/>
      <c r="I54" s="83">
        <f>IF(H54="Day Pass",5,IF(H54="Half-Day/Evening",3,IF(H54="Monthly Flex (8 days)",30,IF(H54="Monthly Unlimited",60,IF(H54="Dedicated Desk",90,"")))))</f>
        <v/>
      </c>
      <c r="J54" s="84">
        <f>IF(I54="","",I54*1700)</f>
        <v/>
      </c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</row>
    <row r="55" ht="15" customHeight="1" s="64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6">
        <f>IF(H55="Day Pass",5,IF(H55="Half-Day/Evening",3,IF(H55="Monthly Flex (8 days)",30,IF(H55="Monthly Unlimited",60,IF(H55="Dedicated Desk",90,"")))))</f>
        <v/>
      </c>
      <c r="J55" s="87">
        <f>IF(I55="","",I55*1700)</f>
        <v/>
      </c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  <c r="AA55" s="85" t="n"/>
      <c r="AB55" s="85" t="n"/>
      <c r="AC55" s="85" t="n"/>
      <c r="AD55" s="85" t="n"/>
    </row>
    <row r="56" ht="15" customHeight="1" s="64">
      <c r="I56" s="88">
        <f>IF(H56="Day Pass",5,IF(H56="Half-Day/Evening",3,IF(H56="Monthly Flex (8 days)",30,IF(H56="Monthly Unlimited",60,IF(H56="Dedicated Desk",90,"")))))</f>
        <v/>
      </c>
      <c r="J56" s="89">
        <f>IF(I56="","",I56*1700)</f>
        <v/>
      </c>
    </row>
    <row r="57" ht="15" customHeight="1" s="64">
      <c r="I57" s="88">
        <f>IF(H57="Day Pass",5,IF(H57="Half-Day/Evening",3,IF(H57="Monthly Flex (8 days)",30,IF(H57="Monthly Unlimited",60,IF(H57="Dedicated Desk",90,"")))))</f>
        <v/>
      </c>
      <c r="J57" s="89">
        <f>IF(I57="","",I57*1700)</f>
        <v/>
      </c>
    </row>
    <row r="58" ht="15" customHeight="1" s="64">
      <c r="I58" s="88">
        <f>IF(H58="Day Pass",5,IF(H58="Half-Day/Evening",3,IF(H58="Monthly Flex (8 days)",30,IF(H58="Monthly Unlimited",60,IF(H58="Dedicated Desk",90,"")))))</f>
        <v/>
      </c>
      <c r="J58" s="89">
        <f>IF(I58="","",I58*1700)</f>
        <v/>
      </c>
    </row>
    <row r="59" ht="15" customHeight="1" s="64">
      <c r="I59" s="88">
        <f>IF(H59="Day Pass",5,IF(H59="Half-Day/Evening",3,IF(H59="Monthly Flex (8 days)",30,IF(H59="Monthly Unlimited",60,IF(H59="Dedicated Desk",90,"")))))</f>
        <v/>
      </c>
      <c r="J59" s="89">
        <f>IF(I59="","",I59*1700)</f>
        <v/>
      </c>
    </row>
    <row r="60" ht="15" customHeight="1" s="64">
      <c r="I60" s="88">
        <f>IF(H60="Day Pass",5,IF(H60="Half-Day/Evening",3,IF(H60="Monthly Flex (8 days)",30,IF(H60="Monthly Unlimited",60,IF(H60="Dedicated Desk",90,"")))))</f>
        <v/>
      </c>
      <c r="J60" s="89">
        <f>IF(I60="","",I60*1700)</f>
        <v/>
      </c>
    </row>
    <row r="61" ht="15" customHeight="1" s="64">
      <c r="I61" s="88">
        <f>IF(H61="Day Pass",5,IF(H61="Half-Day/Evening",3,IF(H61="Monthly Flex (8 days)",30,IF(H61="Monthly Unlimited",60,IF(H61="Dedicated Desk",90,"")))))</f>
        <v/>
      </c>
      <c r="J61" s="89">
        <f>IF(I61="","",I61*1700)</f>
        <v/>
      </c>
    </row>
    <row r="62" ht="15" customHeight="1" s="64">
      <c r="I62" s="88">
        <f>IF(H62="Day Pass",5,IF(H62="Half-Day/Evening",3,IF(H62="Monthly Flex (8 days)",30,IF(H62="Monthly Unlimited",60,IF(H62="Dedicated Desk",90,"")))))</f>
        <v/>
      </c>
      <c r="J62" s="89">
        <f>IF(I62="","",I62*1700)</f>
        <v/>
      </c>
    </row>
    <row r="63" ht="15" customHeight="1" s="64">
      <c r="I63" s="88">
        <f>IF(H63="Day Pass",5,IF(H63="Half-Day/Evening",3,IF(H63="Monthly Flex (8 days)",30,IF(H63="Monthly Unlimited",60,IF(H63="Dedicated Desk",90,"")))))</f>
        <v/>
      </c>
      <c r="J63" s="89">
        <f>IF(I63="","",I63*1700)</f>
        <v/>
      </c>
    </row>
    <row r="64" ht="15" customHeight="1" s="64">
      <c r="I64" s="88">
        <f>IF(H64="Day Pass",5,IF(H64="Half-Day/Evening",3,IF(H64="Monthly Flex (8 days)",30,IF(H64="Monthly Unlimited",60,IF(H64="Dedicated Desk",90,"")))))</f>
        <v/>
      </c>
      <c r="J64" s="89">
        <f>IF(I64="","",I64*1700)</f>
        <v/>
      </c>
    </row>
    <row r="65" ht="15" customHeight="1" s="64">
      <c r="I65" s="88">
        <f>IF(H65="Day Pass",5,IF(H65="Half-Day/Evening",3,IF(H65="Monthly Flex (8 days)",30,IF(H65="Monthly Unlimited",60,IF(H65="Dedicated Desk",90,"")))))</f>
        <v/>
      </c>
      <c r="J65" s="89">
        <f>IF(I65="","",I65*1700)</f>
        <v/>
      </c>
    </row>
    <row r="66" ht="15" customHeight="1" s="64">
      <c r="I66" s="88">
        <f>IF(H66="Day Pass",5,IF(H66="Half-Day/Evening",3,IF(H66="Monthly Flex (8 days)",30,IF(H66="Monthly Unlimited",60,IF(H66="Dedicated Desk",90,"")))))</f>
        <v/>
      </c>
      <c r="J66" s="89">
        <f>IF(I66="","",I66*1700)</f>
        <v/>
      </c>
    </row>
    <row r="67" ht="15" customHeight="1" s="64">
      <c r="I67" s="88">
        <f>IF(H67="Day Pass",5,IF(H67="Half-Day/Evening",3,IF(H67="Monthly Flex (8 days)",30,IF(H67="Monthly Unlimited",60,IF(H67="Dedicated Desk",90,"")))))</f>
        <v/>
      </c>
      <c r="J67" s="89">
        <f>IF(I67="","",I67*1700)</f>
        <v/>
      </c>
    </row>
    <row r="68" ht="15" customHeight="1" s="64">
      <c r="I68" s="88">
        <f>IF(H68="Day Pass",5,IF(H68="Half-Day/Evening",3,IF(H68="Monthly Flex (8 days)",30,IF(H68="Monthly Unlimited",60,IF(H68="Dedicated Desk",90,"")))))</f>
        <v/>
      </c>
      <c r="J68" s="89">
        <f>IF(I68="","",I68*1700)</f>
        <v/>
      </c>
    </row>
    <row r="69" ht="15" customHeight="1" s="64">
      <c r="I69" s="88">
        <f>IF(H69="Day Pass",5,IF(H69="Half-Day/Evening",3,IF(H69="Monthly Flex (8 days)",30,IF(H69="Monthly Unlimited",60,IF(H69="Dedicated Desk",90,"")))))</f>
        <v/>
      </c>
      <c r="J69" s="89">
        <f>IF(I69="","",I69*1700)</f>
        <v/>
      </c>
    </row>
    <row r="70" ht="15" customHeight="1" s="64">
      <c r="I70" s="88">
        <f>IF(H70="Day Pass",5,IF(H70="Half-Day/Evening",3,IF(H70="Monthly Flex (8 days)",30,IF(H70="Monthly Unlimited",60,IF(H70="Dedicated Desk",90,"")))))</f>
        <v/>
      </c>
      <c r="J70" s="89">
        <f>IF(I70="","",I70*1700)</f>
        <v/>
      </c>
    </row>
    <row r="71" ht="15" customHeight="1" s="64">
      <c r="I71" s="88">
        <f>IF(H71="Day Pass",5,IF(H71="Half-Day/Evening",3,IF(H71="Monthly Flex (8 days)",30,IF(H71="Monthly Unlimited",60,IF(H71="Dedicated Desk",90,"")))))</f>
        <v/>
      </c>
      <c r="J71" s="89">
        <f>IF(I71="","",I71*1700)</f>
        <v/>
      </c>
    </row>
    <row r="72" ht="15" customHeight="1" s="64">
      <c r="I72" s="88">
        <f>IF(H72="Day Pass",5,IF(H72="Half-Day/Evening",3,IF(H72="Monthly Flex (8 days)",30,IF(H72="Monthly Unlimited",60,IF(H72="Dedicated Desk",90,"")))))</f>
        <v/>
      </c>
      <c r="J72" s="89">
        <f>IF(I72="","",I72*1700)</f>
        <v/>
      </c>
    </row>
    <row r="73" ht="15" customHeight="1" s="64">
      <c r="I73" s="88">
        <f>IF(H73="Day Pass",5,IF(H73="Half-Day/Evening",3,IF(H73="Monthly Flex (8 days)",30,IF(H73="Monthly Unlimited",60,IF(H73="Dedicated Desk",90,"")))))</f>
        <v/>
      </c>
      <c r="J73" s="89">
        <f>IF(I73="","",I73*1700)</f>
        <v/>
      </c>
    </row>
    <row r="74" ht="15" customHeight="1" s="64">
      <c r="I74" s="88">
        <f>IF(H74="Day Pass",5,IF(H74="Half-Day/Evening",3,IF(H74="Monthly Flex (8 days)",30,IF(H74="Monthly Unlimited",60,IF(H74="Dedicated Desk",90,"")))))</f>
        <v/>
      </c>
      <c r="J74" s="89">
        <f>IF(I74="","",I74*1700)</f>
        <v/>
      </c>
    </row>
    <row r="75" ht="15" customHeight="1" s="64">
      <c r="I75" s="88">
        <f>IF(H75="Day Pass",5,IF(H75="Half-Day/Evening",3,IF(H75="Monthly Flex (8 days)",30,IF(H75="Monthly Unlimited",60,IF(H75="Dedicated Desk",90,"")))))</f>
        <v/>
      </c>
      <c r="J75" s="89">
        <f>IF(I75="","",I75*1700)</f>
        <v/>
      </c>
    </row>
    <row r="76" ht="15" customHeight="1" s="64">
      <c r="I76" s="88">
        <f>IF(H76="Day Pass",5,IF(H76="Half-Day/Evening",3,IF(H76="Monthly Flex (8 days)",30,IF(H76="Monthly Unlimited",60,IF(H76="Dedicated Desk",90,"")))))</f>
        <v/>
      </c>
      <c r="J76" s="89">
        <f>IF(I76="","",I76*1700)</f>
        <v/>
      </c>
    </row>
    <row r="77" ht="15" customHeight="1" s="64">
      <c r="I77" s="88">
        <f>IF(H77="Day Pass",5,IF(H77="Half-Day/Evening",3,IF(H77="Monthly Flex (8 days)",30,IF(H77="Monthly Unlimited",60,IF(H77="Dedicated Desk",90,"")))))</f>
        <v/>
      </c>
      <c r="J77" s="89">
        <f>IF(I77="","",I77*1700)</f>
        <v/>
      </c>
    </row>
    <row r="78" ht="15" customHeight="1" s="64">
      <c r="I78" s="88">
        <f>IF(H78="Day Pass",5,IF(H78="Half-Day/Evening",3,IF(H78="Monthly Flex (8 days)",30,IF(H78="Monthly Unlimited",60,IF(H78="Dedicated Desk",90,"")))))</f>
        <v/>
      </c>
      <c r="J78" s="89">
        <f>IF(I78="","",I78*1700)</f>
        <v/>
      </c>
    </row>
    <row r="79" ht="15" customHeight="1" s="64">
      <c r="I79" s="88">
        <f>IF(H79="Day Pass",5,IF(H79="Half-Day/Evening",3,IF(H79="Monthly Flex (8 days)",30,IF(H79="Monthly Unlimited",60,IF(H79="Dedicated Desk",90,"")))))</f>
        <v/>
      </c>
      <c r="J79" s="89">
        <f>IF(I79="","",I79*1700)</f>
        <v/>
      </c>
    </row>
    <row r="80" ht="15" customHeight="1" s="64">
      <c r="I80" s="88">
        <f>IF(H80="Day Pass",5,IF(H80="Half-Day/Evening",3,IF(H80="Monthly Flex (8 days)",30,IF(H80="Monthly Unlimited",60,IF(H80="Dedicated Desk",90,"")))))</f>
        <v/>
      </c>
      <c r="J80" s="89">
        <f>IF(I80="","",I80*1700)</f>
        <v/>
      </c>
    </row>
    <row r="81" ht="15" customHeight="1" s="64">
      <c r="I81" s="88">
        <f>IF(H81="Day Pass",5,IF(H81="Half-Day/Evening",3,IF(H81="Monthly Flex (8 days)",30,IF(H81="Monthly Unlimited",60,IF(H81="Dedicated Desk",90,"")))))</f>
        <v/>
      </c>
      <c r="J81" s="89">
        <f>IF(I81="","",I81*1700)</f>
        <v/>
      </c>
    </row>
    <row r="82" ht="15" customHeight="1" s="64">
      <c r="I82" s="88">
        <f>IF(H82="Day Pass",5,IF(H82="Half-Day/Evening",3,IF(H82="Monthly Flex (8 days)",30,IF(H82="Monthly Unlimited",60,IF(H82="Dedicated Desk",90,"")))))</f>
        <v/>
      </c>
      <c r="J82" s="89">
        <f>IF(I82="","",I82*1700)</f>
        <v/>
      </c>
    </row>
    <row r="83" ht="15" customHeight="1" s="64">
      <c r="I83" s="88">
        <f>IF(H83="Day Pass",5,IF(H83="Half-Day/Evening",3,IF(H83="Monthly Flex (8 days)",30,IF(H83="Monthly Unlimited",60,IF(H83="Dedicated Desk",90,"")))))</f>
        <v/>
      </c>
      <c r="J83" s="89">
        <f>IF(I83="","",I83*1700)</f>
        <v/>
      </c>
    </row>
    <row r="84" ht="15" customHeight="1" s="64">
      <c r="I84" s="88">
        <f>IF(H84="Day Pass",5,IF(H84="Half-Day/Evening",3,IF(H84="Monthly Flex (8 days)",30,IF(H84="Monthly Unlimited",60,IF(H84="Dedicated Desk",90,"")))))</f>
        <v/>
      </c>
      <c r="J84" s="89">
        <f>IF(I84="","",I84*1700)</f>
        <v/>
      </c>
    </row>
    <row r="85" ht="15" customHeight="1" s="64">
      <c r="I85" s="88">
        <f>IF(H85="Day Pass",5,IF(H85="Half-Day/Evening",3,IF(H85="Monthly Flex (8 days)",30,IF(H85="Monthly Unlimited",60,IF(H85="Dedicated Desk",90,"")))))</f>
        <v/>
      </c>
      <c r="J85" s="89">
        <f>IF(I85="","",I85*1700)</f>
        <v/>
      </c>
    </row>
    <row r="86" ht="15" customHeight="1" s="64">
      <c r="I86" s="88">
        <f>IF(H86="Day Pass",5,IF(H86="Half-Day/Evening",3,IF(H86="Monthly Flex (8 days)",30,IF(H86="Monthly Unlimited",60,IF(H86="Dedicated Desk",90,"")))))</f>
        <v/>
      </c>
      <c r="J86" s="89">
        <f>IF(I86="","",I86*1700)</f>
        <v/>
      </c>
    </row>
    <row r="87" ht="15" customHeight="1" s="64">
      <c r="I87" s="88">
        <f>IF(H87="Day Pass",5,IF(H87="Half-Day/Evening",3,IF(H87="Monthly Flex (8 days)",30,IF(H87="Monthly Unlimited",60,IF(H87="Dedicated Desk",90,"")))))</f>
        <v/>
      </c>
      <c r="J87" s="89">
        <f>IF(I87="","",I87*1700)</f>
        <v/>
      </c>
    </row>
    <row r="88" ht="15" customHeight="1" s="64">
      <c r="I88" s="88">
        <f>IF(H88="Day Pass",5,IF(H88="Half-Day/Evening",3,IF(H88="Monthly Flex (8 days)",30,IF(H88="Monthly Unlimited",60,IF(H88="Dedicated Desk",90,"")))))</f>
        <v/>
      </c>
      <c r="J88" s="89">
        <f>IF(I88="","",I88*1700)</f>
        <v/>
      </c>
    </row>
    <row r="89" ht="15" customHeight="1" s="64">
      <c r="I89" s="88">
        <f>IF(H89="Day Pass",5,IF(H89="Half-Day/Evening",3,IF(H89="Monthly Flex (8 days)",30,IF(H89="Monthly Unlimited",60,IF(H89="Dedicated Desk",90,"")))))</f>
        <v/>
      </c>
      <c r="J89" s="89">
        <f>IF(I89="","",I89*1700)</f>
        <v/>
      </c>
    </row>
    <row r="90" ht="15" customHeight="1" s="64">
      <c r="I90" s="88">
        <f>IF(H90="Day Pass",5,IF(H90="Half-Day/Evening",3,IF(H90="Monthly Flex (8 days)",30,IF(H90="Monthly Unlimited",60,IF(H90="Dedicated Desk",90,"")))))</f>
        <v/>
      </c>
      <c r="J90" s="89">
        <f>IF(I90="","",I90*1700)</f>
        <v/>
      </c>
    </row>
    <row r="91" ht="15" customHeight="1" s="64">
      <c r="I91" s="88">
        <f>IF(H91="Day Pass",5,IF(H91="Half-Day/Evening",3,IF(H91="Monthly Flex (8 days)",30,IF(H91="Monthly Unlimited",60,IF(H91="Dedicated Desk",90,"")))))</f>
        <v/>
      </c>
      <c r="J91" s="89">
        <f>IF(I91="","",I91*1700)</f>
        <v/>
      </c>
    </row>
    <row r="92" ht="15" customHeight="1" s="64">
      <c r="I92" s="88">
        <f>IF(H92="Day Pass",5,IF(H92="Half-Day/Evening",3,IF(H92="Monthly Flex (8 days)",30,IF(H92="Monthly Unlimited",60,IF(H92="Dedicated Desk",90,"")))))</f>
        <v/>
      </c>
      <c r="J92" s="89">
        <f>IF(I92="","",I92*1700)</f>
        <v/>
      </c>
    </row>
    <row r="93" ht="15" customHeight="1" s="64">
      <c r="I93" s="88">
        <f>IF(H93="Day Pass",5,IF(H93="Half-Day/Evening",3,IF(H93="Monthly Flex (8 days)",30,IF(H93="Monthly Unlimited",60,IF(H93="Dedicated Desk",90,"")))))</f>
        <v/>
      </c>
      <c r="J93" s="89">
        <f>IF(I93="","",I93*1700)</f>
        <v/>
      </c>
    </row>
    <row r="94" ht="15" customHeight="1" s="64">
      <c r="I94" s="88">
        <f>IF(H94="Day Pass",5,IF(H94="Half-Day/Evening",3,IF(H94="Monthly Flex (8 days)",30,IF(H94="Monthly Unlimited",60,IF(H94="Dedicated Desk",90,"")))))</f>
        <v/>
      </c>
      <c r="J94" s="89">
        <f>IF(I94="","",I94*1700)</f>
        <v/>
      </c>
    </row>
    <row r="95" ht="15" customHeight="1" s="64">
      <c r="I95" s="88">
        <f>IF(H95="Day Pass",5,IF(H95="Half-Day/Evening",3,IF(H95="Monthly Flex (8 days)",30,IF(H95="Monthly Unlimited",60,IF(H95="Dedicated Desk",90,"")))))</f>
        <v/>
      </c>
      <c r="J95" s="89">
        <f>IF(I95="","",I95*1700)</f>
        <v/>
      </c>
    </row>
    <row r="96" ht="15" customHeight="1" s="64">
      <c r="I96" s="88">
        <f>IF(H96="Day Pass",5,IF(H96="Half-Day/Evening",3,IF(H96="Monthly Flex (8 days)",30,IF(H96="Monthly Unlimited",60,IF(H96="Dedicated Desk",90,"")))))</f>
        <v/>
      </c>
      <c r="J96" s="89">
        <f>IF(I96="","",I96*1700)</f>
        <v/>
      </c>
    </row>
    <row r="97" ht="15" customHeight="1" s="64">
      <c r="I97" s="88">
        <f>IF(H97="Day Pass",5,IF(H97="Half-Day/Evening",3,IF(H97="Monthly Flex (8 days)",30,IF(H97="Monthly Unlimited",60,IF(H97="Dedicated Desk",90,"")))))</f>
        <v/>
      </c>
      <c r="J97" s="89">
        <f>IF(I97="","",I97*1700)</f>
        <v/>
      </c>
    </row>
    <row r="98" ht="15" customHeight="1" s="64">
      <c r="I98" s="88">
        <f>IF(H98="Day Pass",5,IF(H98="Half-Day/Evening",3,IF(H98="Monthly Flex (8 days)",30,IF(H98="Monthly Unlimited",60,IF(H98="Dedicated Desk",90,"")))))</f>
        <v/>
      </c>
      <c r="J98" s="89">
        <f>IF(I98="","",I98*1700)</f>
        <v/>
      </c>
    </row>
    <row r="99" ht="15" customHeight="1" s="64">
      <c r="I99" s="88">
        <f>IF(H99="Day Pass",5,IF(H99="Half-Day/Evening",3,IF(H99="Monthly Flex (8 days)",30,IF(H99="Monthly Unlimited",60,IF(H99="Dedicated Desk",90,"")))))</f>
        <v/>
      </c>
      <c r="J99" s="89">
        <f>IF(I99="","",I99*1700)</f>
        <v/>
      </c>
    </row>
    <row r="100" ht="15" customHeight="1" s="64">
      <c r="I100" s="88">
        <f>IF(H100="Day Pass",5,IF(H100="Half-Day/Evening",3,IF(H100="Monthly Flex (8 days)",30,IF(H100="Monthly Unlimited",60,IF(H100="Dedicated Desk",90,"")))))</f>
        <v/>
      </c>
      <c r="J100" s="89">
        <f>IF(I100="","",I100*1700)</f>
        <v/>
      </c>
    </row>
    <row r="101" ht="15" customHeight="1" s="64">
      <c r="I101" s="88">
        <f>IF(H101="Day Pass",5,IF(H101="Half-Day/Evening",3,IF(H101="Monthly Flex (8 days)",30,IF(H101="Monthly Unlimited",60,IF(H101="Dedicated Desk",90,"")))))</f>
        <v/>
      </c>
      <c r="J101" s="89">
        <f>IF(I101="","",I101*1700)</f>
        <v/>
      </c>
    </row>
    <row r="102" ht="15" customHeight="1" s="64">
      <c r="I102" s="88">
        <f>IF(H102="Day Pass",5,IF(H102="Half-Day/Evening",3,IF(H102="Monthly Flex (8 days)",30,IF(H102="Monthly Unlimited",60,IF(H102="Dedicated Desk",90,"")))))</f>
        <v/>
      </c>
      <c r="J102" s="89">
        <f>IF(I102="","",I102*1700)</f>
        <v/>
      </c>
    </row>
    <row r="103" ht="15" customHeight="1" s="64">
      <c r="I103" s="88">
        <f>IF(H103="Day Pass",5,IF(H103="Half-Day/Evening",3,IF(H103="Monthly Flex (8 days)",30,IF(H103="Monthly Unlimited",60,IF(H103="Dedicated Desk",90,"")))))</f>
        <v/>
      </c>
      <c r="J103" s="89">
        <f>IF(I103="","",I103*1700)</f>
        <v/>
      </c>
    </row>
    <row r="104" ht="15" customHeight="1" s="64">
      <c r="I104" s="88">
        <f>IF(H104="Day Pass",5,IF(H104="Half-Day/Evening",3,IF(H104="Monthly Flex (8 days)",30,IF(H104="Monthly Unlimited",60,IF(H104="Dedicated Desk",90,"")))))</f>
        <v/>
      </c>
      <c r="J104" s="89">
        <f>IF(I104="","",I104*1700)</f>
        <v/>
      </c>
    </row>
    <row r="105" ht="15" customHeight="1" s="64">
      <c r="I105" s="88">
        <f>IF(H105="Day Pass",5,IF(H105="Half-Day/Evening",3,IF(H105="Monthly Flex (8 days)",30,IF(H105="Monthly Unlimited",60,IF(H105="Dedicated Desk",90,"")))))</f>
        <v/>
      </c>
      <c r="J105" s="89">
        <f>IF(I105="","",I105*1700)</f>
        <v/>
      </c>
    </row>
    <row r="106" ht="15" customHeight="1" s="64">
      <c r="I106" s="88">
        <f>IF(H106="Day Pass",5,IF(H106="Half-Day/Evening",3,IF(H106="Monthly Flex (8 days)",30,IF(H106="Monthly Unlimited",60,IF(H106="Dedicated Desk",90,"")))))</f>
        <v/>
      </c>
      <c r="J106" s="89">
        <f>IF(I106="","",I106*1700)</f>
        <v/>
      </c>
    </row>
    <row r="107" ht="15" customHeight="1" s="64">
      <c r="I107" s="88">
        <f>IF(H107="Day Pass",5,IF(H107="Half-Day/Evening",3,IF(H107="Monthly Flex (8 days)",30,IF(H107="Monthly Unlimited",60,IF(H107="Dedicated Desk",90,"")))))</f>
        <v/>
      </c>
      <c r="J107" s="89">
        <f>IF(I107="","",I107*1700)</f>
        <v/>
      </c>
    </row>
    <row r="108" ht="15" customHeight="1" s="64">
      <c r="I108" s="88">
        <f>IF(H108="Day Pass",5,IF(H108="Half-Day/Evening",3,IF(H108="Monthly Flex (8 days)",30,IF(H108="Monthly Unlimited",60,IF(H108="Dedicated Desk",90,"")))))</f>
        <v/>
      </c>
      <c r="J108" s="89">
        <f>IF(I108="","",I108*1700)</f>
        <v/>
      </c>
    </row>
    <row r="109" ht="15" customHeight="1" s="64">
      <c r="I109" s="88">
        <f>IF(H109="Day Pass",5,IF(H109="Half-Day/Evening",3,IF(H109="Monthly Flex (8 days)",30,IF(H109="Monthly Unlimited",60,IF(H109="Dedicated Desk",90,"")))))</f>
        <v/>
      </c>
      <c r="J109" s="89">
        <f>IF(I109="","",I109*1700)</f>
        <v/>
      </c>
    </row>
    <row r="110" ht="15" customHeight="1" s="64">
      <c r="I110" s="88">
        <f>IF(H110="Day Pass",5,IF(H110="Half-Day/Evening",3,IF(H110="Monthly Flex (8 days)",30,IF(H110="Monthly Unlimited",60,IF(H110="Dedicated Desk",90,"")))))</f>
        <v/>
      </c>
      <c r="J110" s="89">
        <f>IF(I110="","",I110*1700)</f>
        <v/>
      </c>
    </row>
    <row r="111" ht="15" customHeight="1" s="64">
      <c r="I111" s="88">
        <f>IF(H111="Day Pass",5,IF(H111="Half-Day/Evening",3,IF(H111="Monthly Flex (8 days)",30,IF(H111="Monthly Unlimited",60,IF(H111="Dedicated Desk",90,"")))))</f>
        <v/>
      </c>
      <c r="J111" s="89">
        <f>IF(I111="","",I111*1700)</f>
        <v/>
      </c>
    </row>
    <row r="112" ht="15" customHeight="1" s="64">
      <c r="I112" s="88">
        <f>IF(H112="Day Pass",5,IF(H112="Half-Day/Evening",3,IF(H112="Monthly Flex (8 days)",30,IF(H112="Monthly Unlimited",60,IF(H112="Dedicated Desk",90,"")))))</f>
        <v/>
      </c>
      <c r="J112" s="89">
        <f>IF(I112="","",I112*1700)</f>
        <v/>
      </c>
    </row>
    <row r="113" ht="15" customHeight="1" s="64">
      <c r="I113" s="88">
        <f>IF(H113="Day Pass",5,IF(H113="Half-Day/Evening",3,IF(H113="Monthly Flex (8 days)",30,IF(H113="Monthly Unlimited",60,IF(H113="Dedicated Desk",90,"")))))</f>
        <v/>
      </c>
      <c r="J113" s="89">
        <f>IF(I113="","",I113*1700)</f>
        <v/>
      </c>
    </row>
    <row r="114" ht="15" customHeight="1" s="64">
      <c r="I114" s="88">
        <f>IF(H114="Day Pass",5,IF(H114="Half-Day/Evening",3,IF(H114="Monthly Flex (8 days)",30,IF(H114="Monthly Unlimited",60,IF(H114="Dedicated Desk",90,"")))))</f>
        <v/>
      </c>
      <c r="J114" s="89">
        <f>IF(I114="","",I114*1700)</f>
        <v/>
      </c>
    </row>
    <row r="115" ht="15" customHeight="1" s="64">
      <c r="I115" s="88">
        <f>IF(H115="Day Pass",5,IF(H115="Half-Day/Evening",3,IF(H115="Monthly Flex (8 days)",30,IF(H115="Monthly Unlimited",60,IF(H115="Dedicated Desk",90,"")))))</f>
        <v/>
      </c>
      <c r="J115" s="89">
        <f>IF(I115="","",I115*1700)</f>
        <v/>
      </c>
    </row>
    <row r="116" ht="15" customHeight="1" s="64">
      <c r="I116" s="88">
        <f>IF(H116="Day Pass",5,IF(H116="Half-Day/Evening",3,IF(H116="Monthly Flex (8 days)",30,IF(H116="Monthly Unlimited",60,IF(H116="Dedicated Desk",90,"")))))</f>
        <v/>
      </c>
      <c r="J116" s="89">
        <f>IF(I116="","",I116*1700)</f>
        <v/>
      </c>
    </row>
    <row r="117" ht="15" customHeight="1" s="64">
      <c r="I117" s="88">
        <f>IF(H117="Day Pass",5,IF(H117="Half-Day/Evening",3,IF(H117="Monthly Flex (8 days)",30,IF(H117="Monthly Unlimited",60,IF(H117="Dedicated Desk",90,"")))))</f>
        <v/>
      </c>
      <c r="J117" s="89">
        <f>IF(I117="","",I117*1700)</f>
        <v/>
      </c>
    </row>
    <row r="118" ht="15" customHeight="1" s="64">
      <c r="I118" s="88">
        <f>IF(H118="Day Pass",5,IF(H118="Half-Day/Evening",3,IF(H118="Monthly Flex (8 days)",30,IF(H118="Monthly Unlimited",60,IF(H118="Dedicated Desk",90,"")))))</f>
        <v/>
      </c>
      <c r="J118" s="89">
        <f>IF(I118="","",I118*1700)</f>
        <v/>
      </c>
    </row>
    <row r="119" ht="15" customHeight="1" s="64">
      <c r="I119" s="88">
        <f>IF(H119="Day Pass",5,IF(H119="Half-Day/Evening",3,IF(H119="Monthly Flex (8 days)",30,IF(H119="Monthly Unlimited",60,IF(H119="Dedicated Desk",90,"")))))</f>
        <v/>
      </c>
      <c r="J119" s="89">
        <f>IF(I119="","",I119*1700)</f>
        <v/>
      </c>
    </row>
    <row r="120" ht="15" customHeight="1" s="64">
      <c r="I120" s="88">
        <f>IF(H120="Day Pass",5,IF(H120="Half-Day/Evening",3,IF(H120="Monthly Flex (8 days)",30,IF(H120="Monthly Unlimited",60,IF(H120="Dedicated Desk",90,"")))))</f>
        <v/>
      </c>
      <c r="J120" s="89">
        <f>IF(I120="","",I120*1700)</f>
        <v/>
      </c>
    </row>
    <row r="121" ht="15" customHeight="1" s="64">
      <c r="I121" s="88">
        <f>IF(H121="Day Pass",5,IF(H121="Half-Day/Evening",3,IF(H121="Monthly Flex (8 days)",30,IF(H121="Monthly Unlimited",60,IF(H121="Dedicated Desk",90,"")))))</f>
        <v/>
      </c>
      <c r="J121" s="89">
        <f>IF(I121="","",I121*1700)</f>
        <v/>
      </c>
    </row>
    <row r="122" ht="15" customHeight="1" s="64">
      <c r="I122" s="88">
        <f>IF(H122="Day Pass",5,IF(H122="Half-Day/Evening",3,IF(H122="Monthly Flex (8 days)",30,IF(H122="Monthly Unlimited",60,IF(H122="Dedicated Desk",90,"")))))</f>
        <v/>
      </c>
      <c r="J122" s="89">
        <f>IF(I122="","",I122*1700)</f>
        <v/>
      </c>
    </row>
    <row r="123" ht="15" customHeight="1" s="64">
      <c r="I123" s="88">
        <f>IF(H123="Day Pass",5,IF(H123="Half-Day/Evening",3,IF(H123="Monthly Flex (8 days)",30,IF(H123="Monthly Unlimited",60,IF(H123="Dedicated Desk",90,"")))))</f>
        <v/>
      </c>
      <c r="J123" s="89">
        <f>IF(I123="","",I123*1700)</f>
        <v/>
      </c>
    </row>
    <row r="124" ht="15" customHeight="1" s="64">
      <c r="I124" s="88">
        <f>IF(H124="Day Pass",5,IF(H124="Half-Day/Evening",3,IF(H124="Monthly Flex (8 days)",30,IF(H124="Monthly Unlimited",60,IF(H124="Dedicated Desk",90,"")))))</f>
        <v/>
      </c>
      <c r="J124" s="89">
        <f>IF(I124="","",I124*1700)</f>
        <v/>
      </c>
    </row>
    <row r="125" ht="15" customHeight="1" s="64">
      <c r="I125" s="88">
        <f>IF(H125="Day Pass",5,IF(H125="Half-Day/Evening",3,IF(H125="Monthly Flex (8 days)",30,IF(H125="Monthly Unlimited",60,IF(H125="Dedicated Desk",90,"")))))</f>
        <v/>
      </c>
      <c r="J125" s="89">
        <f>IF(I125="","",I125*1700)</f>
        <v/>
      </c>
    </row>
    <row r="126" ht="15" customHeight="1" s="64">
      <c r="I126" s="88">
        <f>IF(H126="Day Pass",5,IF(H126="Half-Day/Evening",3,IF(H126="Monthly Flex (8 days)",30,IF(H126="Monthly Unlimited",60,IF(H126="Dedicated Desk",90,"")))))</f>
        <v/>
      </c>
      <c r="J126" s="89">
        <f>IF(I126="","",I126*1700)</f>
        <v/>
      </c>
    </row>
    <row r="127" ht="15" customHeight="1" s="64">
      <c r="I127" s="88">
        <f>IF(H127="Day Pass",5,IF(H127="Half-Day/Evening",3,IF(H127="Monthly Flex (8 days)",30,IF(H127="Monthly Unlimited",60,IF(H127="Dedicated Desk",90,"")))))</f>
        <v/>
      </c>
      <c r="J127" s="89">
        <f>IF(I127="","",I127*1700)</f>
        <v/>
      </c>
    </row>
    <row r="128" ht="15" customHeight="1" s="64">
      <c r="I128" s="88">
        <f>IF(H128="Day Pass",5,IF(H128="Half-Day/Evening",3,IF(H128="Monthly Flex (8 days)",30,IF(H128="Monthly Unlimited",60,IF(H128="Dedicated Desk",90,"")))))</f>
        <v/>
      </c>
      <c r="J128" s="89">
        <f>IF(I128="","",I128*1700)</f>
        <v/>
      </c>
    </row>
    <row r="129" ht="15" customHeight="1" s="64">
      <c r="I129" s="88">
        <f>IF(H129="Day Pass",5,IF(H129="Half-Day/Evening",3,IF(H129="Monthly Flex (8 days)",30,IF(H129="Monthly Unlimited",60,IF(H129="Dedicated Desk",90,"")))))</f>
        <v/>
      </c>
      <c r="J129" s="89">
        <f>IF(I129="","",I129*1700)</f>
        <v/>
      </c>
    </row>
    <row r="130" ht="15" customHeight="1" s="64">
      <c r="I130" s="88">
        <f>IF(H130="Day Pass",5,IF(H130="Half-Day/Evening",3,IF(H130="Monthly Flex (8 days)",30,IF(H130="Monthly Unlimited",60,IF(H130="Dedicated Desk",90,"")))))</f>
        <v/>
      </c>
      <c r="J130" s="89">
        <f>IF(I130="","",I130*1700)</f>
        <v/>
      </c>
    </row>
    <row r="131" ht="15" customHeight="1" s="64">
      <c r="I131" s="88">
        <f>IF(H131="Day Pass",5,IF(H131="Half-Day/Evening",3,IF(H131="Monthly Flex (8 days)",30,IF(H131="Monthly Unlimited",60,IF(H131="Dedicated Desk",90,"")))))</f>
        <v/>
      </c>
      <c r="J131" s="89">
        <f>IF(I131="","",I131*1700)</f>
        <v/>
      </c>
    </row>
    <row r="132" ht="15" customHeight="1" s="64">
      <c r="I132" s="88">
        <f>IF(H132="Day Pass",5,IF(H132="Half-Day/Evening",3,IF(H132="Monthly Flex (8 days)",30,IF(H132="Monthly Unlimited",60,IF(H132="Dedicated Desk",90,"")))))</f>
        <v/>
      </c>
      <c r="J132" s="89">
        <f>IF(I132="","",I132*1700)</f>
        <v/>
      </c>
    </row>
    <row r="133" ht="15" customHeight="1" s="64">
      <c r="I133" s="88">
        <f>IF(H133="Day Pass",5,IF(H133="Half-Day/Evening",3,IF(H133="Monthly Flex (8 days)",30,IF(H133="Monthly Unlimited",60,IF(H133="Dedicated Desk",90,"")))))</f>
        <v/>
      </c>
      <c r="J133" s="89">
        <f>IF(I133="","",I133*1700)</f>
        <v/>
      </c>
    </row>
    <row r="134" ht="15" customHeight="1" s="64">
      <c r="I134" s="88">
        <f>IF(H134="Day Pass",5,IF(H134="Half-Day/Evening",3,IF(H134="Monthly Flex (8 days)",30,IF(H134="Monthly Unlimited",60,IF(H134="Dedicated Desk",90,"")))))</f>
        <v/>
      </c>
      <c r="J134" s="89">
        <f>IF(I134="","",I134*1700)</f>
        <v/>
      </c>
    </row>
    <row r="135" ht="15" customHeight="1" s="64">
      <c r="I135" s="88">
        <f>IF(H135="Day Pass",5,IF(H135="Half-Day/Evening",3,IF(H135="Monthly Flex (8 days)",30,IF(H135="Monthly Unlimited",60,IF(H135="Dedicated Desk",90,"")))))</f>
        <v/>
      </c>
      <c r="J135" s="89">
        <f>IF(I135="","",I135*1700)</f>
        <v/>
      </c>
    </row>
    <row r="136" ht="15" customHeight="1" s="64">
      <c r="I136" s="88">
        <f>IF(H136="Day Pass",5,IF(H136="Half-Day/Evening",3,IF(H136="Monthly Flex (8 days)",30,IF(H136="Monthly Unlimited",60,IF(H136="Dedicated Desk",90,"")))))</f>
        <v/>
      </c>
      <c r="J136" s="89">
        <f>IF(I136="","",I136*1700)</f>
        <v/>
      </c>
    </row>
    <row r="137" ht="15" customHeight="1" s="64">
      <c r="I137" s="88">
        <f>IF(H137="Day Pass",5,IF(H137="Half-Day/Evening",3,IF(H137="Monthly Flex (8 days)",30,IF(H137="Monthly Unlimited",60,IF(H137="Dedicated Desk",90,"")))))</f>
        <v/>
      </c>
      <c r="J137" s="89">
        <f>IF(I137="","",I137*1700)</f>
        <v/>
      </c>
    </row>
    <row r="138" ht="15" customHeight="1" s="64">
      <c r="I138" s="88">
        <f>IF(H138="Day Pass",5,IF(H138="Half-Day/Evening",3,IF(H138="Monthly Flex (8 days)",30,IF(H138="Monthly Unlimited",60,IF(H138="Dedicated Desk",90,"")))))</f>
        <v/>
      </c>
      <c r="J138" s="89">
        <f>IF(I138="","",I138*1700)</f>
        <v/>
      </c>
    </row>
    <row r="139" ht="15" customHeight="1" s="64">
      <c r="I139" s="88">
        <f>IF(H139="Day Pass",5,IF(H139="Half-Day/Evening",3,IF(H139="Monthly Flex (8 days)",30,IF(H139="Monthly Unlimited",60,IF(H139="Dedicated Desk",90,"")))))</f>
        <v/>
      </c>
      <c r="J139" s="89">
        <f>IF(I139="","",I139*1700)</f>
        <v/>
      </c>
    </row>
    <row r="140" ht="15" customHeight="1" s="64">
      <c r="I140" s="88">
        <f>IF(H140="Day Pass",5,IF(H140="Half-Day/Evening",3,IF(H140="Monthly Flex (8 days)",30,IF(H140="Monthly Unlimited",60,IF(H140="Dedicated Desk",90,"")))))</f>
        <v/>
      </c>
      <c r="J140" s="89">
        <f>IF(I140="","",I140*1700)</f>
        <v/>
      </c>
    </row>
    <row r="141" ht="15" customHeight="1" s="64">
      <c r="I141" s="88">
        <f>IF(H141="Day Pass",5,IF(H141="Half-Day/Evening",3,IF(H141="Monthly Flex (8 days)",30,IF(H141="Monthly Unlimited",60,IF(H141="Dedicated Desk",90,"")))))</f>
        <v/>
      </c>
      <c r="J141" s="89">
        <f>IF(I141="","",I141*1700)</f>
        <v/>
      </c>
    </row>
    <row r="142" ht="15" customHeight="1" s="64">
      <c r="I142" s="88">
        <f>IF(H142="Day Pass",5,IF(H142="Half-Day/Evening",3,IF(H142="Monthly Flex (8 days)",30,IF(H142="Monthly Unlimited",60,IF(H142="Dedicated Desk",90,"")))))</f>
        <v/>
      </c>
      <c r="J142" s="89">
        <f>IF(I142="","",I142*1700)</f>
        <v/>
      </c>
    </row>
    <row r="143" ht="15" customHeight="1" s="64">
      <c r="I143" s="88">
        <f>IF(H143="Day Pass",5,IF(H143="Half-Day/Evening",3,IF(H143="Monthly Flex (8 days)",30,IF(H143="Monthly Unlimited",60,IF(H143="Dedicated Desk",90,"")))))</f>
        <v/>
      </c>
      <c r="J143" s="89">
        <f>IF(I143="","",I143*1700)</f>
        <v/>
      </c>
    </row>
    <row r="144" ht="15" customHeight="1" s="64">
      <c r="I144" s="88">
        <f>IF(H144="Day Pass",5,IF(H144="Half-Day/Evening",3,IF(H144="Monthly Flex (8 days)",30,IF(H144="Monthly Unlimited",60,IF(H144="Dedicated Desk",90,"")))))</f>
        <v/>
      </c>
      <c r="J144" s="89">
        <f>IF(I144="","",I144*1700)</f>
        <v/>
      </c>
    </row>
    <row r="145" ht="15" customHeight="1" s="64">
      <c r="I145" s="88">
        <f>IF(H145="Day Pass",5,IF(H145="Half-Day/Evening",3,IF(H145="Monthly Flex (8 days)",30,IF(H145="Monthly Unlimited",60,IF(H145="Dedicated Desk",90,"")))))</f>
        <v/>
      </c>
      <c r="J145" s="89">
        <f>IF(I145="","",I145*1700)</f>
        <v/>
      </c>
    </row>
    <row r="146" ht="15" customHeight="1" s="64">
      <c r="I146" s="88">
        <f>IF(H146="Day Pass",5,IF(H146="Half-Day/Evening",3,IF(H146="Monthly Flex (8 days)",30,IF(H146="Monthly Unlimited",60,IF(H146="Dedicated Desk",90,"")))))</f>
        <v/>
      </c>
      <c r="J146" s="89">
        <f>IF(I146="","",I146*1700)</f>
        <v/>
      </c>
    </row>
    <row r="147" ht="15" customHeight="1" s="64">
      <c r="I147" s="88">
        <f>IF(H147="Day Pass",5,IF(H147="Half-Day/Evening",3,IF(H147="Monthly Flex (8 days)",30,IF(H147="Monthly Unlimited",60,IF(H147="Dedicated Desk",90,"")))))</f>
        <v/>
      </c>
      <c r="J147" s="89">
        <f>IF(I147="","",I147*1700)</f>
        <v/>
      </c>
    </row>
    <row r="148" ht="15" customHeight="1" s="64">
      <c r="I148" s="88">
        <f>IF(H148="Day Pass",5,IF(H148="Half-Day/Evening",3,IF(H148="Monthly Flex (8 days)",30,IF(H148="Monthly Unlimited",60,IF(H148="Dedicated Desk",90,"")))))</f>
        <v/>
      </c>
      <c r="J148" s="89">
        <f>IF(I148="","",I148*1700)</f>
        <v/>
      </c>
    </row>
    <row r="149" ht="15" customHeight="1" s="64">
      <c r="I149" s="88">
        <f>IF(H149="Day Pass",5,IF(H149="Half-Day/Evening",3,IF(H149="Monthly Flex (8 days)",30,IF(H149="Monthly Unlimited",60,IF(H149="Dedicated Desk",90,"")))))</f>
        <v/>
      </c>
      <c r="J149" s="89">
        <f>IF(I149="","",I149*1700)</f>
        <v/>
      </c>
    </row>
    <row r="150" ht="15" customHeight="1" s="64">
      <c r="I150" s="88">
        <f>IF(H150="Day Pass",5,IF(H150="Half-Day/Evening",3,IF(H150="Monthly Flex (8 days)",30,IF(H150="Monthly Unlimited",60,IF(H150="Dedicated Desk",90,"")))))</f>
        <v/>
      </c>
      <c r="J150" s="89">
        <f>IF(I150="","",I150*1700)</f>
        <v/>
      </c>
    </row>
    <row r="151" ht="15" customHeight="1" s="64">
      <c r="I151" s="88">
        <f>IF(H151="Day Pass",5,IF(H151="Half-Day/Evening",3,IF(H151="Monthly Flex (8 days)",30,IF(H151="Monthly Unlimited",60,IF(H151="Dedicated Desk",90,"")))))</f>
        <v/>
      </c>
      <c r="J151" s="89">
        <f>IF(I151="","",I151*1700)</f>
        <v/>
      </c>
    </row>
    <row r="152" ht="15" customHeight="1" s="64">
      <c r="I152" s="88">
        <f>IF(H152="Day Pass",5,IF(H152="Half-Day/Evening",3,IF(H152="Monthly Flex (8 days)",30,IF(H152="Monthly Unlimited",60,IF(H152="Dedicated Desk",90,"")))))</f>
        <v/>
      </c>
      <c r="J152" s="89">
        <f>IF(I152="","",I152*1700)</f>
        <v/>
      </c>
    </row>
    <row r="153" ht="15" customHeight="1" s="64">
      <c r="I153" s="88">
        <f>IF(H153="Day Pass",5,IF(H153="Half-Day/Evening",3,IF(H153="Monthly Flex (8 days)",30,IF(H153="Monthly Unlimited",60,IF(H153="Dedicated Desk",90,"")))))</f>
        <v/>
      </c>
      <c r="J153" s="89">
        <f>IF(I153="","",I153*1700)</f>
        <v/>
      </c>
    </row>
    <row r="154" ht="15" customHeight="1" s="64">
      <c r="I154" s="88">
        <f>IF(H154="Day Pass",5,IF(H154="Half-Day/Evening",3,IF(H154="Monthly Flex (8 days)",30,IF(H154="Monthly Unlimited",60,IF(H154="Dedicated Desk",90,"")))))</f>
        <v/>
      </c>
      <c r="J154" s="89">
        <f>IF(I154="","",I154*1700)</f>
        <v/>
      </c>
    </row>
    <row r="155" ht="15" customHeight="1" s="64">
      <c r="I155" s="88">
        <f>IF(H155="Day Pass",5,IF(H155="Half-Day/Evening",3,IF(H155="Monthly Flex (8 days)",30,IF(H155="Monthly Unlimited",60,IF(H155="Dedicated Desk",90,"")))))</f>
        <v/>
      </c>
      <c r="J155" s="89">
        <f>IF(I155="","",I155*1700)</f>
        <v/>
      </c>
    </row>
    <row r="156" ht="15" customHeight="1" s="64">
      <c r="I156" s="88">
        <f>IF(H156="Day Pass",5,IF(H156="Half-Day/Evening",3,IF(H156="Monthly Flex (8 days)",30,IF(H156="Monthly Unlimited",60,IF(H156="Dedicated Desk",90,"")))))</f>
        <v/>
      </c>
      <c r="J156" s="89">
        <f>IF(I156="","",I156*1700)</f>
        <v/>
      </c>
    </row>
    <row r="157" ht="15" customHeight="1" s="64">
      <c r="I157" s="88">
        <f>IF(H157="Day Pass",5,IF(H157="Half-Day/Evening",3,IF(H157="Monthly Flex (8 days)",30,IF(H157="Monthly Unlimited",60,IF(H157="Dedicated Desk",90,"")))))</f>
        <v/>
      </c>
      <c r="J157" s="89">
        <f>IF(I157="","",I157*1700)</f>
        <v/>
      </c>
    </row>
    <row r="158" ht="15" customHeight="1" s="64">
      <c r="I158" s="88">
        <f>IF(H158="Day Pass",5,IF(H158="Half-Day/Evening",3,IF(H158="Monthly Flex (8 days)",30,IF(H158="Monthly Unlimited",60,IF(H158="Dedicated Desk",90,"")))))</f>
        <v/>
      </c>
      <c r="J158" s="89">
        <f>IF(I158="","",I158*1700)</f>
        <v/>
      </c>
    </row>
    <row r="159" ht="15" customHeight="1" s="64">
      <c r="I159" s="88">
        <f>IF(H159="Day Pass",5,IF(H159="Half-Day/Evening",3,IF(H159="Monthly Flex (8 days)",30,IF(H159="Monthly Unlimited",60,IF(H159="Dedicated Desk",90,"")))))</f>
        <v/>
      </c>
      <c r="J159" s="89">
        <f>IF(I159="","",I159*1700)</f>
        <v/>
      </c>
    </row>
    <row r="160" ht="15" customHeight="1" s="64">
      <c r="I160" s="88">
        <f>IF(H160="Day Pass",5,IF(H160="Half-Day/Evening",3,IF(H160="Monthly Flex (8 days)",30,IF(H160="Monthly Unlimited",60,IF(H160="Dedicated Desk",90,"")))))</f>
        <v/>
      </c>
      <c r="J160" s="89">
        <f>IF(I160="","",I160*1700)</f>
        <v/>
      </c>
    </row>
    <row r="161" ht="15" customHeight="1" s="64">
      <c r="I161" s="88">
        <f>IF(H161="Day Pass",5,IF(H161="Half-Day/Evening",3,IF(H161="Monthly Flex (8 days)",30,IF(H161="Monthly Unlimited",60,IF(H161="Dedicated Desk",90,"")))))</f>
        <v/>
      </c>
      <c r="J161" s="89">
        <f>IF(I161="","",I161*1700)</f>
        <v/>
      </c>
    </row>
    <row r="162" ht="15" customHeight="1" s="64">
      <c r="I162" s="88">
        <f>IF(H162="Day Pass",5,IF(H162="Half-Day/Evening",3,IF(H162="Monthly Flex (8 days)",30,IF(H162="Monthly Unlimited",60,IF(H162="Dedicated Desk",90,"")))))</f>
        <v/>
      </c>
      <c r="J162" s="89">
        <f>IF(I162="","",I162*1700)</f>
        <v/>
      </c>
    </row>
    <row r="163" ht="15" customHeight="1" s="64">
      <c r="I163" s="88">
        <f>IF(H163="Day Pass",5,IF(H163="Half-Day/Evening",3,IF(H163="Monthly Flex (8 days)",30,IF(H163="Monthly Unlimited",60,IF(H163="Dedicated Desk",90,"")))))</f>
        <v/>
      </c>
      <c r="J163" s="89">
        <f>IF(I163="","",I163*1700)</f>
        <v/>
      </c>
    </row>
    <row r="164" ht="15" customHeight="1" s="64">
      <c r="I164" s="88">
        <f>IF(H164="Day Pass",5,IF(H164="Half-Day/Evening",3,IF(H164="Monthly Flex (8 days)",30,IF(H164="Monthly Unlimited",60,IF(H164="Dedicated Desk",90,"")))))</f>
        <v/>
      </c>
      <c r="J164" s="89">
        <f>IF(I164="","",I164*1700)</f>
        <v/>
      </c>
    </row>
    <row r="165" ht="15" customHeight="1" s="64">
      <c r="I165" s="88">
        <f>IF(H165="Day Pass",5,IF(H165="Half-Day/Evening",3,IF(H165="Monthly Flex (8 days)",30,IF(H165="Monthly Unlimited",60,IF(H165="Dedicated Desk",90,"")))))</f>
        <v/>
      </c>
      <c r="J165" s="89">
        <f>IF(I165="","",I165*1700)</f>
        <v/>
      </c>
    </row>
    <row r="166" ht="15" customHeight="1" s="64">
      <c r="I166" s="88">
        <f>IF(H166="Day Pass",5,IF(H166="Half-Day/Evening",3,IF(H166="Monthly Flex (8 days)",30,IF(H166="Monthly Unlimited",60,IF(H166="Dedicated Desk",90,"")))))</f>
        <v/>
      </c>
      <c r="J166" s="89">
        <f>IF(I166="","",I166*1700)</f>
        <v/>
      </c>
    </row>
    <row r="167" ht="15" customHeight="1" s="64">
      <c r="I167" s="88">
        <f>IF(H167="Day Pass",5,IF(H167="Half-Day/Evening",3,IF(H167="Monthly Flex (8 days)",30,IF(H167="Monthly Unlimited",60,IF(H167="Dedicated Desk",90,"")))))</f>
        <v/>
      </c>
      <c r="J167" s="89">
        <f>IF(I167="","",I167*1700)</f>
        <v/>
      </c>
    </row>
    <row r="168" ht="15" customHeight="1" s="64">
      <c r="I168" s="88">
        <f>IF(H168="Day Pass",5,IF(H168="Half-Day/Evening",3,IF(H168="Monthly Flex (8 days)",30,IF(H168="Monthly Unlimited",60,IF(H168="Dedicated Desk",90,"")))))</f>
        <v/>
      </c>
      <c r="J168" s="89">
        <f>IF(I168="","",I168*1700)</f>
        <v/>
      </c>
    </row>
    <row r="169" ht="15" customHeight="1" s="64">
      <c r="I169" s="88">
        <f>IF(H169="Day Pass",5,IF(H169="Half-Day/Evening",3,IF(H169="Monthly Flex (8 days)",30,IF(H169="Monthly Unlimited",60,IF(H169="Dedicated Desk",90,"")))))</f>
        <v/>
      </c>
      <c r="J169" s="89">
        <f>IF(I169="","",I169*1700)</f>
        <v/>
      </c>
    </row>
    <row r="170" ht="15" customHeight="1" s="64">
      <c r="I170" s="88">
        <f>IF(H170="Day Pass",5,IF(H170="Half-Day/Evening",3,IF(H170="Monthly Flex (8 days)",30,IF(H170="Monthly Unlimited",60,IF(H170="Dedicated Desk",90,"")))))</f>
        <v/>
      </c>
      <c r="J170" s="89">
        <f>IF(I170="","",I170*1700)</f>
        <v/>
      </c>
    </row>
    <row r="171" ht="15" customHeight="1" s="64">
      <c r="I171" s="88">
        <f>IF(H171="Day Pass",5,IF(H171="Half-Day/Evening",3,IF(H171="Monthly Flex (8 days)",30,IF(H171="Monthly Unlimited",60,IF(H171="Dedicated Desk",90,"")))))</f>
        <v/>
      </c>
      <c r="J171" s="89">
        <f>IF(I171="","",I171*1700)</f>
        <v/>
      </c>
    </row>
    <row r="172" ht="15" customHeight="1" s="64">
      <c r="I172" s="88">
        <f>IF(H172="Day Pass",5,IF(H172="Half-Day/Evening",3,IF(H172="Monthly Flex (8 days)",30,IF(H172="Monthly Unlimited",60,IF(H172="Dedicated Desk",90,"")))))</f>
        <v/>
      </c>
      <c r="J172" s="89">
        <f>IF(I172="","",I172*1700)</f>
        <v/>
      </c>
    </row>
    <row r="173" ht="15" customHeight="1" s="64">
      <c r="I173" s="88">
        <f>IF(H173="Day Pass",5,IF(H173="Half-Day/Evening",3,IF(H173="Monthly Flex (8 days)",30,IF(H173="Monthly Unlimited",60,IF(H173="Dedicated Desk",90,"")))))</f>
        <v/>
      </c>
      <c r="J173" s="89">
        <f>IF(I173="","",I173*1700)</f>
        <v/>
      </c>
    </row>
    <row r="174" ht="15" customHeight="1" s="64">
      <c r="I174" s="88">
        <f>IF(H174="Day Pass",5,IF(H174="Half-Day/Evening",3,IF(H174="Monthly Flex (8 days)",30,IF(H174="Monthly Unlimited",60,IF(H174="Dedicated Desk",90,"")))))</f>
        <v/>
      </c>
      <c r="J174" s="89">
        <f>IF(I174="","",I174*1700)</f>
        <v/>
      </c>
    </row>
    <row r="175" ht="15" customHeight="1" s="64">
      <c r="I175" s="88">
        <f>IF(H175="Day Pass",5,IF(H175="Half-Day/Evening",3,IF(H175="Monthly Flex (8 days)",30,IF(H175="Monthly Unlimited",60,IF(H175="Dedicated Desk",90,"")))))</f>
        <v/>
      </c>
      <c r="J175" s="89">
        <f>IF(I175="","",I175*1700)</f>
        <v/>
      </c>
    </row>
    <row r="176" ht="15" customHeight="1" s="64">
      <c r="I176" s="88">
        <f>IF(H176="Day Pass",5,IF(H176="Half-Day/Evening",3,IF(H176="Monthly Flex (8 days)",30,IF(H176="Monthly Unlimited",60,IF(H176="Dedicated Desk",90,"")))))</f>
        <v/>
      </c>
      <c r="J176" s="89">
        <f>IF(I176="","",I176*1700)</f>
        <v/>
      </c>
    </row>
    <row r="177" ht="15" customHeight="1" s="64">
      <c r="I177" s="88">
        <f>IF(H177="Day Pass",5,IF(H177="Half-Day/Evening",3,IF(H177="Monthly Flex (8 days)",30,IF(H177="Monthly Unlimited",60,IF(H177="Dedicated Desk",90,"")))))</f>
        <v/>
      </c>
      <c r="J177" s="89">
        <f>IF(I177="","",I177*1700)</f>
        <v/>
      </c>
    </row>
    <row r="178" ht="15" customHeight="1" s="64">
      <c r="I178" s="88">
        <f>IF(H178="Day Pass",5,IF(H178="Half-Day/Evening",3,IF(H178="Monthly Flex (8 days)",30,IF(H178="Monthly Unlimited",60,IF(H178="Dedicated Desk",90,"")))))</f>
        <v/>
      </c>
      <c r="J178" s="89">
        <f>IF(I178="","",I178*1700)</f>
        <v/>
      </c>
    </row>
    <row r="179" ht="15" customHeight="1" s="64">
      <c r="I179" s="88">
        <f>IF(H179="Day Pass",5,IF(H179="Half-Day/Evening",3,IF(H179="Monthly Flex (8 days)",30,IF(H179="Monthly Unlimited",60,IF(H179="Dedicated Desk",90,"")))))</f>
        <v/>
      </c>
      <c r="J179" s="89">
        <f>IF(I179="","",I179*1700)</f>
        <v/>
      </c>
    </row>
    <row r="180" ht="15" customHeight="1" s="64">
      <c r="I180" s="88">
        <f>IF(H180="Day Pass",5,IF(H180="Half-Day/Evening",3,IF(H180="Monthly Flex (8 days)",30,IF(H180="Monthly Unlimited",60,IF(H180="Dedicated Desk",90,"")))))</f>
        <v/>
      </c>
      <c r="J180" s="89">
        <f>IF(I180="","",I180*1700)</f>
        <v/>
      </c>
    </row>
    <row r="181" ht="15" customHeight="1" s="64">
      <c r="I181" s="88">
        <f>IF(H181="Day Pass",5,IF(H181="Half-Day/Evening",3,IF(H181="Monthly Flex (8 days)",30,IF(H181="Monthly Unlimited",60,IF(H181="Dedicated Desk",90,"")))))</f>
        <v/>
      </c>
      <c r="J181" s="89">
        <f>IF(I181="","",I181*1700)</f>
        <v/>
      </c>
    </row>
    <row r="182" ht="15" customHeight="1" s="64">
      <c r="I182" s="88">
        <f>IF(H182="Day Pass",5,IF(H182="Half-Day/Evening",3,IF(H182="Monthly Flex (8 days)",30,IF(H182="Monthly Unlimited",60,IF(H182="Dedicated Desk",90,"")))))</f>
        <v/>
      </c>
      <c r="J182" s="89">
        <f>IF(I182="","",I182*1700)</f>
        <v/>
      </c>
    </row>
    <row r="183" ht="15" customHeight="1" s="64">
      <c r="I183" s="88">
        <f>IF(H183="Day Pass",5,IF(H183="Half-Day/Evening",3,IF(H183="Monthly Flex (8 days)",30,IF(H183="Monthly Unlimited",60,IF(H183="Dedicated Desk",90,"")))))</f>
        <v/>
      </c>
      <c r="J183" s="89">
        <f>IF(I183="","",I183*1700)</f>
        <v/>
      </c>
    </row>
    <row r="184" ht="15" customHeight="1" s="64">
      <c r="I184" s="88">
        <f>IF(H184="Day Pass",5,IF(H184="Half-Day/Evening",3,IF(H184="Monthly Flex (8 days)",30,IF(H184="Monthly Unlimited",60,IF(H184="Dedicated Desk",90,"")))))</f>
        <v/>
      </c>
      <c r="J184" s="89">
        <f>IF(I184="","",I184*1700)</f>
        <v/>
      </c>
    </row>
    <row r="185" ht="15" customHeight="1" s="64">
      <c r="I185" s="88">
        <f>IF(H185="Day Pass",5,IF(H185="Half-Day/Evening",3,IF(H185="Monthly Flex (8 days)",30,IF(H185="Monthly Unlimited",60,IF(H185="Dedicated Desk",90,"")))))</f>
        <v/>
      </c>
      <c r="J185" s="89">
        <f>IF(I185="","",I185*1700)</f>
        <v/>
      </c>
    </row>
    <row r="186" ht="15" customHeight="1" s="64">
      <c r="I186" s="88">
        <f>IF(H186="Day Pass",5,IF(H186="Half-Day/Evening",3,IF(H186="Monthly Flex (8 days)",30,IF(H186="Monthly Unlimited",60,IF(H186="Dedicated Desk",90,"")))))</f>
        <v/>
      </c>
      <c r="J186" s="89">
        <f>IF(I186="","",I186*1700)</f>
        <v/>
      </c>
    </row>
    <row r="187" ht="15" customHeight="1" s="64">
      <c r="I187" s="88">
        <f>IF(H187="Day Pass",5,IF(H187="Half-Day/Evening",3,IF(H187="Monthly Flex (8 days)",30,IF(H187="Monthly Unlimited",60,IF(H187="Dedicated Desk",90,"")))))</f>
        <v/>
      </c>
      <c r="J187" s="89">
        <f>IF(I187="","",I187*1700)</f>
        <v/>
      </c>
    </row>
    <row r="188" ht="15" customHeight="1" s="64">
      <c r="I188" s="88">
        <f>IF(H188="Day Pass",5,IF(H188="Half-Day/Evening",3,IF(H188="Monthly Flex (8 days)",30,IF(H188="Monthly Unlimited",60,IF(H188="Dedicated Desk",90,"")))))</f>
        <v/>
      </c>
      <c r="J188" s="89">
        <f>IF(I188="","",I188*1700)</f>
        <v/>
      </c>
    </row>
    <row r="189" ht="15" customHeight="1" s="64">
      <c r="I189" s="88">
        <f>IF(H189="Day Pass",5,IF(H189="Half-Day/Evening",3,IF(H189="Monthly Flex (8 days)",30,IF(H189="Monthly Unlimited",60,IF(H189="Dedicated Desk",90,"")))))</f>
        <v/>
      </c>
      <c r="J189" s="89">
        <f>IF(I189="","",I189*1700)</f>
        <v/>
      </c>
    </row>
    <row r="190" ht="15" customHeight="1" s="64">
      <c r="I190" s="88">
        <f>IF(H190="Day Pass",5,IF(H190="Half-Day/Evening",3,IF(H190="Monthly Flex (8 days)",30,IF(H190="Monthly Unlimited",60,IF(H190="Dedicated Desk",90,"")))))</f>
        <v/>
      </c>
      <c r="J190" s="89">
        <f>IF(I190="","",I190*1700)</f>
        <v/>
      </c>
    </row>
    <row r="191" ht="15" customHeight="1" s="64">
      <c r="I191" s="88">
        <f>IF(H191="Day Pass",5,IF(H191="Half-Day/Evening",3,IF(H191="Monthly Flex (8 days)",30,IF(H191="Monthly Unlimited",60,IF(H191="Dedicated Desk",90,"")))))</f>
        <v/>
      </c>
      <c r="J191" s="89">
        <f>IF(I191="","",I191*1700)</f>
        <v/>
      </c>
    </row>
    <row r="192" ht="15" customHeight="1" s="64">
      <c r="I192" s="88">
        <f>IF(H192="Day Pass",5,IF(H192="Half-Day/Evening",3,IF(H192="Monthly Flex (8 days)",30,IF(H192="Monthly Unlimited",60,IF(H192="Dedicated Desk",90,"")))))</f>
        <v/>
      </c>
      <c r="J192" s="89">
        <f>IF(I192="","",I192*1700)</f>
        <v/>
      </c>
    </row>
    <row r="193" ht="15" customHeight="1" s="64">
      <c r="I193" s="88">
        <f>IF(H193="Day Pass",5,IF(H193="Half-Day/Evening",3,IF(H193="Monthly Flex (8 days)",30,IF(H193="Monthly Unlimited",60,IF(H193="Dedicated Desk",90,"")))))</f>
        <v/>
      </c>
      <c r="J193" s="89">
        <f>IF(I193="","",I193*1700)</f>
        <v/>
      </c>
    </row>
    <row r="194" ht="15" customHeight="1" s="64">
      <c r="I194" s="88">
        <f>IF(H194="Day Pass",5,IF(H194="Half-Day/Evening",3,IF(H194="Monthly Flex (8 days)",30,IF(H194="Monthly Unlimited",60,IF(H194="Dedicated Desk",90,"")))))</f>
        <v/>
      </c>
      <c r="J194" s="89">
        <f>IF(I194="","",I194*1700)</f>
        <v/>
      </c>
    </row>
    <row r="195" ht="15" customHeight="1" s="64">
      <c r="I195" s="88">
        <f>IF(H195="Day Pass",5,IF(H195="Half-Day/Evening",3,IF(H195="Monthly Flex (8 days)",30,IF(H195="Monthly Unlimited",60,IF(H195="Dedicated Desk",90,"")))))</f>
        <v/>
      </c>
      <c r="J195" s="89">
        <f>IF(I195="","",I195*1700)</f>
        <v/>
      </c>
    </row>
    <row r="196" ht="15" customHeight="1" s="64">
      <c r="I196" s="88">
        <f>IF(H196="Day Pass",5,IF(H196="Half-Day/Evening",3,IF(H196="Monthly Flex (8 days)",30,IF(H196="Monthly Unlimited",60,IF(H196="Dedicated Desk",90,"")))))</f>
        <v/>
      </c>
      <c r="J196" s="89">
        <f>IF(I196="","",I196*1700)</f>
        <v/>
      </c>
    </row>
    <row r="197" ht="15" customHeight="1" s="64">
      <c r="I197" s="88">
        <f>IF(H197="Day Pass",5,IF(H197="Half-Day/Evening",3,IF(H197="Monthly Flex (8 days)",30,IF(H197="Monthly Unlimited",60,IF(H197="Dedicated Desk",90,"")))))</f>
        <v/>
      </c>
      <c r="J197" s="89">
        <f>IF(I197="","",I197*1700)</f>
        <v/>
      </c>
    </row>
    <row r="198" ht="15" customHeight="1" s="64">
      <c r="I198" s="88">
        <f>IF(H198="Day Pass",5,IF(H198="Half-Day/Evening",3,IF(H198="Monthly Flex (8 days)",30,IF(H198="Monthly Unlimited",60,IF(H198="Dedicated Desk",90,"")))))</f>
        <v/>
      </c>
      <c r="J198" s="89">
        <f>IF(I198="","",I198*1700)</f>
        <v/>
      </c>
    </row>
    <row r="199" ht="15" customHeight="1" s="64">
      <c r="I199" s="88">
        <f>IF(H199="Day Pass",5,IF(H199="Half-Day/Evening",3,IF(H199="Monthly Flex (8 days)",30,IF(H199="Monthly Unlimited",60,IF(H199="Dedicated Desk",90,"")))))</f>
        <v/>
      </c>
      <c r="J199" s="89">
        <f>IF(I199="","",I199*1700)</f>
        <v/>
      </c>
    </row>
    <row r="200" ht="15" customHeight="1" s="64">
      <c r="I200" s="88">
        <f>IF(H200="Day Pass",5,IF(H200="Half-Day/Evening",3,IF(H200="Monthly Flex (8 days)",30,IF(H200="Monthly Unlimited",60,IF(H200="Dedicated Desk",90,"")))))</f>
        <v/>
      </c>
      <c r="J200" s="89">
        <f>IF(I200="","",I200*1700)</f>
        <v/>
      </c>
    </row>
    <row r="201" ht="15" customHeight="1" s="64">
      <c r="I201" s="88">
        <f>IF(H201="Day Pass",5,IF(H201="Half-Day/Evening",3,IF(H201="Monthly Flex (8 days)",30,IF(H201="Monthly Unlimited",60,IF(H201="Dedicated Desk",90,"")))))</f>
        <v/>
      </c>
      <c r="J201" s="89">
        <f>IF(I201="","",I201*1700)</f>
        <v/>
      </c>
    </row>
    <row r="202" ht="15" customHeight="1" s="64">
      <c r="I202" s="88">
        <f>IF(H202="Day Pass",5,IF(H202="Half-Day/Evening",3,IF(H202="Monthly Flex (8 days)",30,IF(H202="Monthly Unlimited",60,IF(H202="Dedicated Desk",90,"")))))</f>
        <v/>
      </c>
      <c r="J202" s="89">
        <f>IF(I202="","",I202*1700)</f>
        <v/>
      </c>
    </row>
    <row r="203" ht="15" customHeight="1" s="64">
      <c r="I203" s="88">
        <f>IF(H203="Day Pass",5,IF(H203="Half-Day/Evening",3,IF(H203="Monthly Flex (8 days)",30,IF(H203="Monthly Unlimited",60,IF(H203="Dedicated Desk",90,"")))))</f>
        <v/>
      </c>
      <c r="J203" s="89">
        <f>IF(I203="","",I203*1700)</f>
        <v/>
      </c>
    </row>
    <row r="204" ht="15" customHeight="1" s="64">
      <c r="I204" s="88">
        <f>IF(H204="Day Pass",5,IF(H204="Half-Day/Evening",3,IF(H204="Monthly Flex (8 days)",30,IF(H204="Monthly Unlimited",60,IF(H204="Dedicated Desk",90,"")))))</f>
        <v/>
      </c>
      <c r="J204" s="89">
        <f>IF(I204="","",I204*1700)</f>
        <v/>
      </c>
    </row>
    <row r="205" ht="15" customHeight="1" s="64">
      <c r="I205" s="88">
        <f>IF(H205="Day Pass",5,IF(H205="Half-Day/Evening",3,IF(H205="Monthly Flex (8 days)",30,IF(H205="Monthly Unlimited",60,IF(H205="Dedicated Desk",90,"")))))</f>
        <v/>
      </c>
      <c r="J205" s="89">
        <f>IF(I205="","",I205*1700)</f>
        <v/>
      </c>
    </row>
    <row r="206" ht="15" customHeight="1" s="64">
      <c r="I206" s="88">
        <f>IF(H206="Day Pass",5,IF(H206="Half-Day/Evening",3,IF(H206="Monthly Flex (8 days)",30,IF(H206="Monthly Unlimited",60,IF(H206="Dedicated Desk",90,"")))))</f>
        <v/>
      </c>
      <c r="J206" s="89">
        <f>IF(I206="","",I206*1700)</f>
        <v/>
      </c>
    </row>
    <row r="207" ht="15" customHeight="1" s="64">
      <c r="I207" s="88">
        <f>IF(H207="Day Pass",5,IF(H207="Half-Day/Evening",3,IF(H207="Monthly Flex (8 days)",30,IF(H207="Monthly Unlimited",60,IF(H207="Dedicated Desk",90,"")))))</f>
        <v/>
      </c>
      <c r="J207" s="89">
        <f>IF(I207="","",I207*1700)</f>
        <v/>
      </c>
    </row>
    <row r="208" ht="15" customHeight="1" s="64">
      <c r="I208" s="88">
        <f>IF(H208="Day Pass",5,IF(H208="Half-Day/Evening",3,IF(H208="Monthly Flex (8 days)",30,IF(H208="Monthly Unlimited",60,IF(H208="Dedicated Desk",90,"")))))</f>
        <v/>
      </c>
      <c r="J208" s="89">
        <f>IF(I208="","",I208*1700)</f>
        <v/>
      </c>
    </row>
    <row r="209" ht="15" customHeight="1" s="64">
      <c r="I209" s="88">
        <f>IF(H209="Day Pass",5,IF(H209="Half-Day/Evening",3,IF(H209="Monthly Flex (8 days)",30,IF(H209="Monthly Unlimited",60,IF(H209="Dedicated Desk",90,"")))))</f>
        <v/>
      </c>
      <c r="J209" s="89">
        <f>IF(I209="","",I209*1700)</f>
        <v/>
      </c>
    </row>
    <row r="210" ht="15" customHeight="1" s="64">
      <c r="I210" s="88">
        <f>IF(H210="Day Pass",5,IF(H210="Half-Day/Evening",3,IF(H210="Monthly Flex (8 days)",30,IF(H210="Monthly Unlimited",60,IF(H210="Dedicated Desk",90,"")))))</f>
        <v/>
      </c>
      <c r="J210" s="89">
        <f>IF(I210="","",I210*1700)</f>
        <v/>
      </c>
    </row>
    <row r="211" ht="15" customHeight="1" s="64">
      <c r="I211" s="88">
        <f>IF(H211="Day Pass",5,IF(H211="Half-Day/Evening",3,IF(H211="Monthly Flex (8 days)",30,IF(H211="Monthly Unlimited",60,IF(H211="Dedicated Desk",90,"")))))</f>
        <v/>
      </c>
      <c r="J211" s="89">
        <f>IF(I211="","",I211*1700)</f>
        <v/>
      </c>
    </row>
    <row r="212" ht="15" customHeight="1" s="64">
      <c r="I212" s="88">
        <f>IF(H212="Day Pass",5,IF(H212="Half-Day/Evening",3,IF(H212="Monthly Flex (8 days)",30,IF(H212="Monthly Unlimited",60,IF(H212="Dedicated Desk",90,"")))))</f>
        <v/>
      </c>
      <c r="J212" s="89">
        <f>IF(I212="","",I212*1700)</f>
        <v/>
      </c>
    </row>
    <row r="213" ht="15" customHeight="1" s="64">
      <c r="I213" s="88">
        <f>IF(H213="Day Pass",5,IF(H213="Half-Day/Evening",3,IF(H213="Monthly Flex (8 days)",30,IF(H213="Monthly Unlimited",60,IF(H213="Dedicated Desk",90,"")))))</f>
        <v/>
      </c>
      <c r="J213" s="89">
        <f>IF(I213="","",I213*1700)</f>
        <v/>
      </c>
    </row>
    <row r="214" ht="15" customHeight="1" s="64">
      <c r="I214" s="88">
        <f>IF(H214="Day Pass",5,IF(H214="Half-Day/Evening",3,IF(H214="Monthly Flex (8 days)",30,IF(H214="Monthly Unlimited",60,IF(H214="Dedicated Desk",90,"")))))</f>
        <v/>
      </c>
      <c r="J214" s="89">
        <f>IF(I214="","",I214*1700)</f>
        <v/>
      </c>
    </row>
    <row r="215" ht="15" customHeight="1" s="64">
      <c r="I215" s="88">
        <f>IF(H215="Day Pass",5,IF(H215="Half-Day/Evening",3,IF(H215="Monthly Flex (8 days)",30,IF(H215="Monthly Unlimited",60,IF(H215="Dedicated Desk",90,"")))))</f>
        <v/>
      </c>
      <c r="J215" s="89">
        <f>IF(I215="","",I215*1700)</f>
        <v/>
      </c>
    </row>
    <row r="216" ht="15" customHeight="1" s="64">
      <c r="I216" s="88">
        <f>IF(H216="Day Pass",5,IF(H216="Half-Day/Evening",3,IF(H216="Monthly Flex (8 days)",30,IF(H216="Monthly Unlimited",60,IF(H216="Dedicated Desk",90,"")))))</f>
        <v/>
      </c>
      <c r="J216" s="89">
        <f>IF(I216="","",I216*1700)</f>
        <v/>
      </c>
    </row>
    <row r="217" ht="15" customHeight="1" s="64">
      <c r="I217" s="88">
        <f>IF(H217="Day Pass",5,IF(H217="Half-Day/Evening",3,IF(H217="Monthly Flex (8 days)",30,IF(H217="Monthly Unlimited",60,IF(H217="Dedicated Desk",90,"")))))</f>
        <v/>
      </c>
      <c r="J217" s="89">
        <f>IF(I217="","",I217*1700)</f>
        <v/>
      </c>
    </row>
    <row r="218" ht="15" customHeight="1" s="64">
      <c r="I218" s="88">
        <f>IF(H218="Day Pass",5,IF(H218="Half-Day/Evening",3,IF(H218="Monthly Flex (8 days)",30,IF(H218="Monthly Unlimited",60,IF(H218="Dedicated Desk",90,"")))))</f>
        <v/>
      </c>
      <c r="J218" s="89">
        <f>IF(I218="","",I218*1700)</f>
        <v/>
      </c>
    </row>
    <row r="219" ht="15" customHeight="1" s="64">
      <c r="I219" s="88">
        <f>IF(H219="Day Pass",5,IF(H219="Half-Day/Evening",3,IF(H219="Monthly Flex (8 days)",30,IF(H219="Monthly Unlimited",60,IF(H219="Dedicated Desk",90,"")))))</f>
        <v/>
      </c>
      <c r="J219" s="89">
        <f>IF(I219="","",I219*1700)</f>
        <v/>
      </c>
    </row>
    <row r="220" ht="15" customHeight="1" s="64">
      <c r="I220" s="88">
        <f>IF(H220="Day Pass",5,IF(H220="Half-Day/Evening",3,IF(H220="Monthly Flex (8 days)",30,IF(H220="Monthly Unlimited",60,IF(H220="Dedicated Desk",90,"")))))</f>
        <v/>
      </c>
      <c r="J220" s="89">
        <f>IF(I220="","",I220*1700)</f>
        <v/>
      </c>
    </row>
    <row r="221" ht="15" customHeight="1" s="64">
      <c r="I221" s="88">
        <f>IF(H221="Day Pass",5,IF(H221="Half-Day/Evening",3,IF(H221="Monthly Flex (8 days)",30,IF(H221="Monthly Unlimited",60,IF(H221="Dedicated Desk",90,"")))))</f>
        <v/>
      </c>
      <c r="J221" s="89">
        <f>IF(I221="","",I221*1700)</f>
        <v/>
      </c>
    </row>
    <row r="222" ht="15" customHeight="1" s="64">
      <c r="I222" s="88">
        <f>IF(H222="Day Pass",5,IF(H222="Half-Day/Evening",3,IF(H222="Monthly Flex (8 days)",30,IF(H222="Monthly Unlimited",60,IF(H222="Dedicated Desk",90,"")))))</f>
        <v/>
      </c>
      <c r="J222" s="89">
        <f>IF(I222="","",I222*1700)</f>
        <v/>
      </c>
    </row>
    <row r="223" ht="15" customHeight="1" s="64">
      <c r="I223" s="88">
        <f>IF(H223="Day Pass",5,IF(H223="Half-Day/Evening",3,IF(H223="Monthly Flex (8 days)",30,IF(H223="Monthly Unlimited",60,IF(H223="Dedicated Desk",90,"")))))</f>
        <v/>
      </c>
      <c r="J223" s="89">
        <f>IF(I223="","",I223*1700)</f>
        <v/>
      </c>
    </row>
    <row r="224" ht="15" customHeight="1" s="64">
      <c r="I224" s="88">
        <f>IF(H224="Day Pass",5,IF(H224="Half-Day/Evening",3,IF(H224="Monthly Flex (8 days)",30,IF(H224="Monthly Unlimited",60,IF(H224="Dedicated Desk",90,"")))))</f>
        <v/>
      </c>
      <c r="J224" s="89">
        <f>IF(I224="","",I224*1700)</f>
        <v/>
      </c>
    </row>
    <row r="225" ht="15" customHeight="1" s="64">
      <c r="I225" s="88">
        <f>IF(H225="Day Pass",5,IF(H225="Half-Day/Evening",3,IF(H225="Monthly Flex (8 days)",30,IF(H225="Monthly Unlimited",60,IF(H225="Dedicated Desk",90,"")))))</f>
        <v/>
      </c>
      <c r="J225" s="89">
        <f>IF(I225="","",I225*1700)</f>
        <v/>
      </c>
    </row>
    <row r="226" ht="15" customHeight="1" s="64">
      <c r="I226" s="88">
        <f>IF(H226="Day Pass",5,IF(H226="Half-Day/Evening",3,IF(H226="Monthly Flex (8 days)",30,IF(H226="Monthly Unlimited",60,IF(H226="Dedicated Desk",90,"")))))</f>
        <v/>
      </c>
      <c r="J226" s="89">
        <f>IF(I226="","",I226*1700)</f>
        <v/>
      </c>
    </row>
    <row r="227" ht="15" customHeight="1" s="64">
      <c r="I227" s="88">
        <f>IF(H227="Day Pass",5,IF(H227="Half-Day/Evening",3,IF(H227="Monthly Flex (8 days)",30,IF(H227="Monthly Unlimited",60,IF(H227="Dedicated Desk",90,"")))))</f>
        <v/>
      </c>
      <c r="J227" s="89">
        <f>IF(I227="","",I227*1700)</f>
        <v/>
      </c>
    </row>
    <row r="228" ht="15" customHeight="1" s="64">
      <c r="I228" s="88">
        <f>IF(H228="Day Pass",5,IF(H228="Half-Day/Evening",3,IF(H228="Monthly Flex (8 days)",30,IF(H228="Monthly Unlimited",60,IF(H228="Dedicated Desk",90,"")))))</f>
        <v/>
      </c>
      <c r="J228" s="89">
        <f>IF(I228="","",I228*1700)</f>
        <v/>
      </c>
    </row>
    <row r="229" ht="15" customHeight="1" s="64">
      <c r="I229" s="88">
        <f>IF(H229="Day Pass",5,IF(H229="Half-Day/Evening",3,IF(H229="Monthly Flex (8 days)",30,IF(H229="Monthly Unlimited",60,IF(H229="Dedicated Desk",90,"")))))</f>
        <v/>
      </c>
      <c r="J229" s="89">
        <f>IF(I229="","",I229*1700)</f>
        <v/>
      </c>
    </row>
    <row r="230" ht="15" customHeight="1" s="64">
      <c r="I230" s="88">
        <f>IF(H230="Day Pass",5,IF(H230="Half-Day/Evening",3,IF(H230="Monthly Flex (8 days)",30,IF(H230="Monthly Unlimited",60,IF(H230="Dedicated Desk",90,"")))))</f>
        <v/>
      </c>
      <c r="J230" s="89">
        <f>IF(I230="","",I230*1700)</f>
        <v/>
      </c>
    </row>
    <row r="231" ht="15" customHeight="1" s="64">
      <c r="I231" s="88">
        <f>IF(H231="Day Pass",5,IF(H231="Half-Day/Evening",3,IF(H231="Monthly Flex (8 days)",30,IF(H231="Monthly Unlimited",60,IF(H231="Dedicated Desk",90,"")))))</f>
        <v/>
      </c>
      <c r="J231" s="89">
        <f>IF(I231="","",I231*1700)</f>
        <v/>
      </c>
    </row>
    <row r="232" ht="15" customHeight="1" s="64">
      <c r="I232" s="88">
        <f>IF(H232="Day Pass",5,IF(H232="Half-Day/Evening",3,IF(H232="Monthly Flex (8 days)",30,IF(H232="Monthly Unlimited",60,IF(H232="Dedicated Desk",90,"")))))</f>
        <v/>
      </c>
      <c r="J232" s="89">
        <f>IF(I232="","",I232*1700)</f>
        <v/>
      </c>
    </row>
    <row r="233" ht="15" customHeight="1" s="64">
      <c r="I233" s="88">
        <f>IF(H233="Day Pass",5,IF(H233="Half-Day/Evening",3,IF(H233="Monthly Flex (8 days)",30,IF(H233="Monthly Unlimited",60,IF(H233="Dedicated Desk",90,"")))))</f>
        <v/>
      </c>
      <c r="J233" s="89">
        <f>IF(I233="","",I233*1700)</f>
        <v/>
      </c>
    </row>
    <row r="234" ht="15" customHeight="1" s="64">
      <c r="I234" s="88">
        <f>IF(H234="Day Pass",5,IF(H234="Half-Day/Evening",3,IF(H234="Monthly Flex (8 days)",30,IF(H234="Monthly Unlimited",60,IF(H234="Dedicated Desk",90,"")))))</f>
        <v/>
      </c>
      <c r="J234" s="89">
        <f>IF(I234="","",I234*1700)</f>
        <v/>
      </c>
    </row>
    <row r="235" ht="15" customHeight="1" s="64">
      <c r="I235" s="88">
        <f>IF(H235="Day Pass",5,IF(H235="Half-Day/Evening",3,IF(H235="Monthly Flex (8 days)",30,IF(H235="Monthly Unlimited",60,IF(H235="Dedicated Desk",90,"")))))</f>
        <v/>
      </c>
      <c r="J235" s="89">
        <f>IF(I235="","",I235*1700)</f>
        <v/>
      </c>
    </row>
    <row r="236" ht="15" customHeight="1" s="64">
      <c r="I236" s="88">
        <f>IF(H236="Day Pass",5,IF(H236="Half-Day/Evening",3,IF(H236="Monthly Flex (8 days)",30,IF(H236="Monthly Unlimited",60,IF(H236="Dedicated Desk",90,"")))))</f>
        <v/>
      </c>
      <c r="J236" s="89">
        <f>IF(I236="","",I236*1700)</f>
        <v/>
      </c>
    </row>
    <row r="237" ht="15" customHeight="1" s="64">
      <c r="I237" s="88">
        <f>IF(H237="Day Pass",5,IF(H237="Half-Day/Evening",3,IF(H237="Monthly Flex (8 days)",30,IF(H237="Monthly Unlimited",60,IF(H237="Dedicated Desk",90,"")))))</f>
        <v/>
      </c>
      <c r="J237" s="89">
        <f>IF(I237="","",I237*1700)</f>
        <v/>
      </c>
    </row>
    <row r="238" ht="15" customHeight="1" s="64">
      <c r="I238" s="88">
        <f>IF(H238="Day Pass",5,IF(H238="Half-Day/Evening",3,IF(H238="Monthly Flex (8 days)",30,IF(H238="Monthly Unlimited",60,IF(H238="Dedicated Desk",90,"")))))</f>
        <v/>
      </c>
      <c r="J238" s="89">
        <f>IF(I238="","",I238*1700)</f>
        <v/>
      </c>
    </row>
    <row r="239" ht="15" customHeight="1" s="64">
      <c r="I239" s="88">
        <f>IF(H239="Day Pass",5,IF(H239="Half-Day/Evening",3,IF(H239="Monthly Flex (8 days)",30,IF(H239="Monthly Unlimited",60,IF(H239="Dedicated Desk",90,"")))))</f>
        <v/>
      </c>
      <c r="J239" s="89">
        <f>IF(I239="","",I239*1700)</f>
        <v/>
      </c>
    </row>
    <row r="240" ht="15" customHeight="1" s="64">
      <c r="I240" s="88">
        <f>IF(H240="Day Pass",5,IF(H240="Half-Day/Evening",3,IF(H240="Monthly Flex (8 days)",30,IF(H240="Monthly Unlimited",60,IF(H240="Dedicated Desk",90,"")))))</f>
        <v/>
      </c>
      <c r="J240" s="89">
        <f>IF(I240="","",I240*1700)</f>
        <v/>
      </c>
    </row>
    <row r="241" ht="15" customHeight="1" s="64">
      <c r="I241" s="88">
        <f>IF(H241="Day Pass",5,IF(H241="Half-Day/Evening",3,IF(H241="Monthly Flex (8 days)",30,IF(H241="Monthly Unlimited",60,IF(H241="Dedicated Desk",90,"")))))</f>
        <v/>
      </c>
      <c r="J241" s="89">
        <f>IF(I241="","",I241*1700)</f>
        <v/>
      </c>
    </row>
    <row r="242" ht="15" customHeight="1" s="64">
      <c r="I242" s="88">
        <f>IF(H242="Day Pass",5,IF(H242="Half-Day/Evening",3,IF(H242="Monthly Flex (8 days)",30,IF(H242="Monthly Unlimited",60,IF(H242="Dedicated Desk",90,"")))))</f>
        <v/>
      </c>
      <c r="J242" s="89">
        <f>IF(I242="","",I242*1700)</f>
        <v/>
      </c>
    </row>
    <row r="243" ht="15" customHeight="1" s="64">
      <c r="I243" s="88">
        <f>IF(H243="Day Pass",5,IF(H243="Half-Day/Evening",3,IF(H243="Monthly Flex (8 days)",30,IF(H243="Monthly Unlimited",60,IF(H243="Dedicated Desk",90,"")))))</f>
        <v/>
      </c>
      <c r="J243" s="89">
        <f>IF(I243="","",I243*1700)</f>
        <v/>
      </c>
    </row>
    <row r="244" ht="15" customHeight="1" s="64">
      <c r="I244" s="88">
        <f>IF(H244="Day Pass",5,IF(H244="Half-Day/Evening",3,IF(H244="Monthly Flex (8 days)",30,IF(H244="Monthly Unlimited",60,IF(H244="Dedicated Desk",90,"")))))</f>
        <v/>
      </c>
      <c r="J244" s="89">
        <f>IF(I244="","",I244*1700)</f>
        <v/>
      </c>
    </row>
    <row r="245" ht="15" customHeight="1" s="64">
      <c r="I245" s="88">
        <f>IF(H245="Day Pass",5,IF(H245="Half-Day/Evening",3,IF(H245="Monthly Flex (8 days)",30,IF(H245="Monthly Unlimited",60,IF(H245="Dedicated Desk",90,"")))))</f>
        <v/>
      </c>
      <c r="J245" s="89">
        <f>IF(I245="","",I245*1700)</f>
        <v/>
      </c>
    </row>
    <row r="246" ht="15" customHeight="1" s="64">
      <c r="I246" s="88">
        <f>IF(H246="Day Pass",5,IF(H246="Half-Day/Evening",3,IF(H246="Monthly Flex (8 days)",30,IF(H246="Monthly Unlimited",60,IF(H246="Dedicated Desk",90,"")))))</f>
        <v/>
      </c>
      <c r="J246" s="89">
        <f>IF(I246="","",I246*1700)</f>
        <v/>
      </c>
    </row>
    <row r="247" ht="15" customHeight="1" s="64">
      <c r="I247" s="88">
        <f>IF(H247="Day Pass",5,IF(H247="Half-Day/Evening",3,IF(H247="Monthly Flex (8 days)",30,IF(H247="Monthly Unlimited",60,IF(H247="Dedicated Desk",90,"")))))</f>
        <v/>
      </c>
      <c r="J247" s="89">
        <f>IF(I247="","",I247*1700)</f>
        <v/>
      </c>
    </row>
    <row r="248" ht="15" customHeight="1" s="64">
      <c r="I248" s="88">
        <f>IF(H248="Day Pass",5,IF(H248="Half-Day/Evening",3,IF(H248="Monthly Flex (8 days)",30,IF(H248="Monthly Unlimited",60,IF(H248="Dedicated Desk",90,"")))))</f>
        <v/>
      </c>
      <c r="J248" s="89">
        <f>IF(I248="","",I248*1700)</f>
        <v/>
      </c>
    </row>
    <row r="249" ht="15" customHeight="1" s="64">
      <c r="I249" s="88">
        <f>IF(H249="Day Pass",5,IF(H249="Half-Day/Evening",3,IF(H249="Monthly Flex (8 days)",30,IF(H249="Monthly Unlimited",60,IF(H249="Dedicated Desk",90,"")))))</f>
        <v/>
      </c>
      <c r="J249" s="89">
        <f>IF(I249="","",I249*1700)</f>
        <v/>
      </c>
    </row>
    <row r="250" ht="15" customHeight="1" s="64">
      <c r="I250" s="88">
        <f>IF(H250="Day Pass",5,IF(H250="Half-Day/Evening",3,IF(H250="Monthly Flex (8 days)",30,IF(H250="Monthly Unlimited",60,IF(H250="Dedicated Desk",90,"")))))</f>
        <v/>
      </c>
      <c r="J250" s="89">
        <f>IF(I250="","",I250*1700)</f>
        <v/>
      </c>
    </row>
    <row r="251" ht="15" customHeight="1" s="64">
      <c r="I251" s="88">
        <f>IF(H251="Day Pass",5,IF(H251="Half-Day/Evening",3,IF(H251="Monthly Flex (8 days)",30,IF(H251="Monthly Unlimited",60,IF(H251="Dedicated Desk",90,"")))))</f>
        <v/>
      </c>
      <c r="J251" s="89">
        <f>IF(I251="","",I251*1700)</f>
        <v/>
      </c>
    </row>
    <row r="252" ht="15" customHeight="1" s="64">
      <c r="I252" s="88">
        <f>IF(H252="Day Pass",5,IF(H252="Half-Day/Evening",3,IF(H252="Monthly Flex (8 days)",30,IF(H252="Monthly Unlimited",60,IF(H252="Dedicated Desk",90,"")))))</f>
        <v/>
      </c>
      <c r="J252" s="89">
        <f>IF(I252="","",I252*1700)</f>
        <v/>
      </c>
    </row>
    <row r="253" ht="15" customHeight="1" s="64">
      <c r="I253" s="88">
        <f>IF(H253="Day Pass",5,IF(H253="Half-Day/Evening",3,IF(H253="Monthly Flex (8 days)",30,IF(H253="Monthly Unlimited",60,IF(H253="Dedicated Desk",90,"")))))</f>
        <v/>
      </c>
      <c r="J253" s="89">
        <f>IF(I253="","",I253*1700)</f>
        <v/>
      </c>
    </row>
    <row r="254" ht="15" customHeight="1" s="64">
      <c r="I254" s="88">
        <f>IF(H254="Day Pass",5,IF(H254="Half-Day/Evening",3,IF(H254="Monthly Flex (8 days)",30,IF(H254="Monthly Unlimited",60,IF(H254="Dedicated Desk",90,"")))))</f>
        <v/>
      </c>
      <c r="J254" s="89">
        <f>IF(I254="","",I254*1700)</f>
        <v/>
      </c>
    </row>
    <row r="255" ht="15" customHeight="1" s="64">
      <c r="I255" s="88">
        <f>IF(H255="Day Pass",5,IF(H255="Half-Day/Evening",3,IF(H255="Monthly Flex (8 days)",30,IF(H255="Monthly Unlimited",60,IF(H255="Dedicated Desk",90,"")))))</f>
        <v/>
      </c>
      <c r="J255" s="89">
        <f>IF(I255="","",I255*1700)</f>
        <v/>
      </c>
    </row>
    <row r="256" ht="15" customHeight="1" s="64">
      <c r="I256" s="88">
        <f>IF(H256="Day Pass",5,IF(H256="Half-Day/Evening",3,IF(H256="Monthly Flex (8 days)",30,IF(H256="Monthly Unlimited",60,IF(H256="Dedicated Desk",90,"")))))</f>
        <v/>
      </c>
      <c r="J256" s="89">
        <f>IF(I256="","",I256*1700)</f>
        <v/>
      </c>
    </row>
    <row r="257" ht="15" customHeight="1" s="64">
      <c r="I257" s="88">
        <f>IF(H257="Day Pass",5,IF(H257="Half-Day/Evening",3,IF(H257="Monthly Flex (8 days)",30,IF(H257="Monthly Unlimited",60,IF(H257="Dedicated Desk",90,"")))))</f>
        <v/>
      </c>
      <c r="J257" s="89">
        <f>IF(I257="","",I257*1700)</f>
        <v/>
      </c>
    </row>
    <row r="258" ht="15" customHeight="1" s="64">
      <c r="I258" s="88">
        <f>IF(H258="Day Pass",5,IF(H258="Half-Day/Evening",3,IF(H258="Monthly Flex (8 days)",30,IF(H258="Monthly Unlimited",60,IF(H258="Dedicated Desk",90,"")))))</f>
        <v/>
      </c>
      <c r="J258" s="89">
        <f>IF(I258="","",I258*1700)</f>
        <v/>
      </c>
    </row>
    <row r="259" ht="15" customHeight="1" s="64">
      <c r="I259" s="88">
        <f>IF(H259="Day Pass",5,IF(H259="Half-Day/Evening",3,IF(H259="Monthly Flex (8 days)",30,IF(H259="Monthly Unlimited",60,IF(H259="Dedicated Desk",90,"")))))</f>
        <v/>
      </c>
      <c r="J259" s="89">
        <f>IF(I259="","",I259*1700)</f>
        <v/>
      </c>
    </row>
    <row r="260" ht="15" customHeight="1" s="64">
      <c r="I260" s="88">
        <f>IF(H260="Day Pass",5,IF(H260="Half-Day/Evening",3,IF(H260="Monthly Flex (8 days)",30,IF(H260="Monthly Unlimited",60,IF(H260="Dedicated Desk",90,"")))))</f>
        <v/>
      </c>
      <c r="J260" s="89">
        <f>IF(I260="","",I260*1700)</f>
        <v/>
      </c>
    </row>
    <row r="261" ht="15" customHeight="1" s="64">
      <c r="I261" s="88">
        <f>IF(H261="Day Pass",5,IF(H261="Half-Day/Evening",3,IF(H261="Monthly Flex (8 days)",30,IF(H261="Monthly Unlimited",60,IF(H261="Dedicated Desk",90,"")))))</f>
        <v/>
      </c>
      <c r="J261" s="89">
        <f>IF(I261="","",I261*1700)</f>
        <v/>
      </c>
    </row>
    <row r="262" ht="15" customHeight="1" s="64">
      <c r="I262" s="88">
        <f>IF(H262="Day Pass",5,IF(H262="Half-Day/Evening",3,IF(H262="Monthly Flex (8 days)",30,IF(H262="Monthly Unlimited",60,IF(H262="Dedicated Desk",90,"")))))</f>
        <v/>
      </c>
      <c r="J262" s="89">
        <f>IF(I262="","",I262*1700)</f>
        <v/>
      </c>
    </row>
    <row r="263" ht="15" customHeight="1" s="64">
      <c r="I263" s="88">
        <f>IF(H263="Day Pass",5,IF(H263="Half-Day/Evening",3,IF(H263="Monthly Flex (8 days)",30,IF(H263="Monthly Unlimited",60,IF(H263="Dedicated Desk",90,"")))))</f>
        <v/>
      </c>
      <c r="J263" s="89">
        <f>IF(I263="","",I263*1700)</f>
        <v/>
      </c>
    </row>
    <row r="264" ht="15" customHeight="1" s="64">
      <c r="I264" s="88">
        <f>IF(H264="Day Pass",5,IF(H264="Half-Day/Evening",3,IF(H264="Monthly Flex (8 days)",30,IF(H264="Monthly Unlimited",60,IF(H264="Dedicated Desk",90,"")))))</f>
        <v/>
      </c>
      <c r="J264" s="89">
        <f>IF(I264="","",I264*1700)</f>
        <v/>
      </c>
    </row>
    <row r="265" ht="15" customHeight="1" s="64">
      <c r="I265" s="88">
        <f>IF(H265="Day Pass",5,IF(H265="Half-Day/Evening",3,IF(H265="Monthly Flex (8 days)",30,IF(H265="Monthly Unlimited",60,IF(H265="Dedicated Desk",90,"")))))</f>
        <v/>
      </c>
      <c r="J265" s="89">
        <f>IF(I265="","",I265*1700)</f>
        <v/>
      </c>
    </row>
    <row r="266" ht="15" customHeight="1" s="64">
      <c r="I266" s="88">
        <f>IF(H266="Day Pass",5,IF(H266="Half-Day/Evening",3,IF(H266="Monthly Flex (8 days)",30,IF(H266="Monthly Unlimited",60,IF(H266="Dedicated Desk",90,"")))))</f>
        <v/>
      </c>
      <c r="J266" s="89">
        <f>IF(I266="","",I266*1700)</f>
        <v/>
      </c>
    </row>
    <row r="267" ht="15" customHeight="1" s="64">
      <c r="I267" s="88">
        <f>IF(H267="Day Pass",5,IF(H267="Half-Day/Evening",3,IF(H267="Monthly Flex (8 days)",30,IF(H267="Monthly Unlimited",60,IF(H267="Dedicated Desk",90,"")))))</f>
        <v/>
      </c>
      <c r="J267" s="89">
        <f>IF(I267="","",I267*1700)</f>
        <v/>
      </c>
    </row>
    <row r="268" ht="15" customHeight="1" s="64">
      <c r="I268" s="88">
        <f>IF(H268="Day Pass",5,IF(H268="Half-Day/Evening",3,IF(H268="Monthly Flex (8 days)",30,IF(H268="Monthly Unlimited",60,IF(H268="Dedicated Desk",90,"")))))</f>
        <v/>
      </c>
      <c r="J268" s="89">
        <f>IF(I268="","",I268*1700)</f>
        <v/>
      </c>
    </row>
    <row r="269" ht="15" customHeight="1" s="64">
      <c r="I269" s="88">
        <f>IF(H269="Day Pass",5,IF(H269="Half-Day/Evening",3,IF(H269="Monthly Flex (8 days)",30,IF(H269="Monthly Unlimited",60,IF(H269="Dedicated Desk",90,"")))))</f>
        <v/>
      </c>
      <c r="J269" s="89">
        <f>IF(I269="","",I269*1700)</f>
        <v/>
      </c>
    </row>
    <row r="270" ht="15" customHeight="1" s="64">
      <c r="I270" s="88">
        <f>IF(H270="Day Pass",5,IF(H270="Half-Day/Evening",3,IF(H270="Monthly Flex (8 days)",30,IF(H270="Monthly Unlimited",60,IF(H270="Dedicated Desk",90,"")))))</f>
        <v/>
      </c>
      <c r="J270" s="89">
        <f>IF(I270="","",I270*1700)</f>
        <v/>
      </c>
    </row>
    <row r="271" ht="15" customHeight="1" s="64">
      <c r="I271" s="88">
        <f>IF(H271="Day Pass",5,IF(H271="Half-Day/Evening",3,IF(H271="Monthly Flex (8 days)",30,IF(H271="Monthly Unlimited",60,IF(H271="Dedicated Desk",90,"")))))</f>
        <v/>
      </c>
      <c r="J271" s="89">
        <f>IF(I271="","",I271*1700)</f>
        <v/>
      </c>
    </row>
    <row r="272" ht="15" customHeight="1" s="64">
      <c r="I272" s="88">
        <f>IF(H272="Day Pass",5,IF(H272="Half-Day/Evening",3,IF(H272="Monthly Flex (8 days)",30,IF(H272="Monthly Unlimited",60,IF(H272="Dedicated Desk",90,"")))))</f>
        <v/>
      </c>
      <c r="J272" s="89">
        <f>IF(I272="","",I272*1700)</f>
        <v/>
      </c>
    </row>
    <row r="273" ht="15" customHeight="1" s="64">
      <c r="I273" s="88">
        <f>IF(H273="Day Pass",5,IF(H273="Half-Day/Evening",3,IF(H273="Monthly Flex (8 days)",30,IF(H273="Monthly Unlimited",60,IF(H273="Dedicated Desk",90,"")))))</f>
        <v/>
      </c>
      <c r="J273" s="89">
        <f>IF(I273="","",I273*1700)</f>
        <v/>
      </c>
    </row>
    <row r="274" ht="15" customHeight="1" s="64">
      <c r="I274" s="88">
        <f>IF(H274="Day Pass",5,IF(H274="Half-Day/Evening",3,IF(H274="Monthly Flex (8 days)",30,IF(H274="Monthly Unlimited",60,IF(H274="Dedicated Desk",90,"")))))</f>
        <v/>
      </c>
      <c r="J274" s="89">
        <f>IF(I274="","",I274*1700)</f>
        <v/>
      </c>
    </row>
    <row r="275" ht="15" customHeight="1" s="64">
      <c r="I275" s="88">
        <f>IF(H275="Day Pass",5,IF(H275="Half-Day/Evening",3,IF(H275="Monthly Flex (8 days)",30,IF(H275="Monthly Unlimited",60,IF(H275="Dedicated Desk",90,"")))))</f>
        <v/>
      </c>
      <c r="J275" s="89">
        <f>IF(I275="","",I275*1700)</f>
        <v/>
      </c>
    </row>
    <row r="276" ht="15" customHeight="1" s="64">
      <c r="I276" s="88">
        <f>IF(H276="Day Pass",5,IF(H276="Half-Day/Evening",3,IF(H276="Monthly Flex (8 days)",30,IF(H276="Monthly Unlimited",60,IF(H276="Dedicated Desk",90,"")))))</f>
        <v/>
      </c>
      <c r="J276" s="89">
        <f>IF(I276="","",I276*1700)</f>
        <v/>
      </c>
    </row>
    <row r="277" ht="15" customHeight="1" s="64">
      <c r="I277" s="88">
        <f>IF(H277="Day Pass",5,IF(H277="Half-Day/Evening",3,IF(H277="Monthly Flex (8 days)",30,IF(H277="Monthly Unlimited",60,IF(H277="Dedicated Desk",90,"")))))</f>
        <v/>
      </c>
      <c r="J277" s="89">
        <f>IF(I277="","",I277*1700)</f>
        <v/>
      </c>
    </row>
    <row r="278" ht="15" customHeight="1" s="64">
      <c r="I278" s="88">
        <f>IF(H278="Day Pass",5,IF(H278="Half-Day/Evening",3,IF(H278="Monthly Flex (8 days)",30,IF(H278="Monthly Unlimited",60,IF(H278="Dedicated Desk",90,"")))))</f>
        <v/>
      </c>
      <c r="J278" s="89">
        <f>IF(I278="","",I278*1700)</f>
        <v/>
      </c>
    </row>
    <row r="279" ht="15" customHeight="1" s="64">
      <c r="I279" s="88">
        <f>IF(H279="Day Pass",5,IF(H279="Half-Day/Evening",3,IF(H279="Monthly Flex (8 days)",30,IF(H279="Monthly Unlimited",60,IF(H279="Dedicated Desk",90,"")))))</f>
        <v/>
      </c>
      <c r="J279" s="89">
        <f>IF(I279="","",I279*1700)</f>
        <v/>
      </c>
    </row>
    <row r="280" ht="15" customHeight="1" s="64">
      <c r="I280" s="88">
        <f>IF(H280="Day Pass",5,IF(H280="Half-Day/Evening",3,IF(H280="Monthly Flex (8 days)",30,IF(H280="Monthly Unlimited",60,IF(H280="Dedicated Desk",90,"")))))</f>
        <v/>
      </c>
      <c r="J280" s="89">
        <f>IF(I280="","",I280*1700)</f>
        <v/>
      </c>
    </row>
    <row r="281" ht="15" customHeight="1" s="64">
      <c r="I281" s="88">
        <f>IF(H281="Day Pass",5,IF(H281="Half-Day/Evening",3,IF(H281="Monthly Flex (8 days)",30,IF(H281="Monthly Unlimited",60,IF(H281="Dedicated Desk",90,"")))))</f>
        <v/>
      </c>
      <c r="J281" s="89">
        <f>IF(I281="","",I281*1700)</f>
        <v/>
      </c>
    </row>
    <row r="282" ht="15" customHeight="1" s="64">
      <c r="I282" s="88">
        <f>IF(H282="Day Pass",5,IF(H282="Half-Day/Evening",3,IF(H282="Monthly Flex (8 days)",30,IF(H282="Monthly Unlimited",60,IF(H282="Dedicated Desk",90,"")))))</f>
        <v/>
      </c>
      <c r="J282" s="89">
        <f>IF(I282="","",I282*1700)</f>
        <v/>
      </c>
    </row>
    <row r="283" ht="15" customHeight="1" s="64">
      <c r="I283" s="88">
        <f>IF(H283="Day Pass",5,IF(H283="Half-Day/Evening",3,IF(H283="Monthly Flex (8 days)",30,IF(H283="Monthly Unlimited",60,IF(H283="Dedicated Desk",90,"")))))</f>
        <v/>
      </c>
      <c r="J283" s="89">
        <f>IF(I283="","",I283*1700)</f>
        <v/>
      </c>
    </row>
    <row r="284" ht="15" customHeight="1" s="64">
      <c r="I284" s="88">
        <f>IF(H284="Day Pass",5,IF(H284="Half-Day/Evening",3,IF(H284="Monthly Flex (8 days)",30,IF(H284="Monthly Unlimited",60,IF(H284="Dedicated Desk",90,"")))))</f>
        <v/>
      </c>
      <c r="J284" s="89">
        <f>IF(I284="","",I284*1700)</f>
        <v/>
      </c>
    </row>
    <row r="285" ht="15" customHeight="1" s="64">
      <c r="I285" s="88">
        <f>IF(H285="Day Pass",5,IF(H285="Half-Day/Evening",3,IF(H285="Monthly Flex (8 days)",30,IF(H285="Monthly Unlimited",60,IF(H285="Dedicated Desk",90,"")))))</f>
        <v/>
      </c>
      <c r="J285" s="89">
        <f>IF(I285="","",I285*1700)</f>
        <v/>
      </c>
    </row>
    <row r="286" ht="15" customHeight="1" s="64">
      <c r="I286" s="88">
        <f>IF(H286="Day Pass",5,IF(H286="Half-Day/Evening",3,IF(H286="Monthly Flex (8 days)",30,IF(H286="Monthly Unlimited",60,IF(H286="Dedicated Desk",90,"")))))</f>
        <v/>
      </c>
      <c r="J286" s="89">
        <f>IF(I286="","",I286*1700)</f>
        <v/>
      </c>
    </row>
    <row r="287" ht="15" customHeight="1" s="64">
      <c r="I287" s="88">
        <f>IF(H287="Day Pass",5,IF(H287="Half-Day/Evening",3,IF(H287="Monthly Flex (8 days)",30,IF(H287="Monthly Unlimited",60,IF(H287="Dedicated Desk",90,"")))))</f>
        <v/>
      </c>
      <c r="J287" s="89">
        <f>IF(I287="","",I287*1700)</f>
        <v/>
      </c>
    </row>
    <row r="288" ht="15" customHeight="1" s="64">
      <c r="I288" s="88">
        <f>IF(H288="Day Pass",5,IF(H288="Half-Day/Evening",3,IF(H288="Monthly Flex (8 days)",30,IF(H288="Monthly Unlimited",60,IF(H288="Dedicated Desk",90,"")))))</f>
        <v/>
      </c>
      <c r="J288" s="89">
        <f>IF(I288="","",I288*1700)</f>
        <v/>
      </c>
    </row>
    <row r="289" ht="15" customHeight="1" s="64">
      <c r="I289" s="88">
        <f>IF(H289="Day Pass",5,IF(H289="Half-Day/Evening",3,IF(H289="Monthly Flex (8 days)",30,IF(H289="Monthly Unlimited",60,IF(H289="Dedicated Desk",90,"")))))</f>
        <v/>
      </c>
      <c r="J289" s="89">
        <f>IF(I289="","",I289*1700)</f>
        <v/>
      </c>
    </row>
    <row r="290" ht="15" customHeight="1" s="64">
      <c r="I290" s="88">
        <f>IF(H290="Day Pass",5,IF(H290="Half-Day/Evening",3,IF(H290="Monthly Flex (8 days)",30,IF(H290="Monthly Unlimited",60,IF(H290="Dedicated Desk",90,"")))))</f>
        <v/>
      </c>
      <c r="J290" s="89">
        <f>IF(I290="","",I290*1700)</f>
        <v/>
      </c>
    </row>
    <row r="291" ht="15" customHeight="1" s="64">
      <c r="I291" s="88">
        <f>IF(H291="Day Pass",5,IF(H291="Half-Day/Evening",3,IF(H291="Monthly Flex (8 days)",30,IF(H291="Monthly Unlimited",60,IF(H291="Dedicated Desk",90,"")))))</f>
        <v/>
      </c>
      <c r="J291" s="89">
        <f>IF(I291="","",I291*1700)</f>
        <v/>
      </c>
    </row>
    <row r="292" ht="15" customHeight="1" s="64">
      <c r="I292" s="88">
        <f>IF(H292="Day Pass",5,IF(H292="Half-Day/Evening",3,IF(H292="Monthly Flex (8 days)",30,IF(H292="Monthly Unlimited",60,IF(H292="Dedicated Desk",90,"")))))</f>
        <v/>
      </c>
      <c r="J292" s="89">
        <f>IF(I292="","",I292*1700)</f>
        <v/>
      </c>
    </row>
    <row r="293" ht="15" customHeight="1" s="64">
      <c r="I293" s="88">
        <f>IF(H293="Day Pass",5,IF(H293="Half-Day/Evening",3,IF(H293="Monthly Flex (8 days)",30,IF(H293="Monthly Unlimited",60,IF(H293="Dedicated Desk",90,"")))))</f>
        <v/>
      </c>
      <c r="J293" s="89">
        <f>IF(I293="","",I293*1700)</f>
        <v/>
      </c>
    </row>
    <row r="294" ht="15" customHeight="1" s="64">
      <c r="I294" s="88">
        <f>IF(H294="Day Pass",5,IF(H294="Half-Day/Evening",3,IF(H294="Monthly Flex (8 days)",30,IF(H294="Monthly Unlimited",60,IF(H294="Dedicated Desk",90,"")))))</f>
        <v/>
      </c>
      <c r="J294" s="89">
        <f>IF(I294="","",I294*1700)</f>
        <v/>
      </c>
    </row>
    <row r="295" ht="15" customHeight="1" s="64">
      <c r="I295" s="88">
        <f>IF(H295="Day Pass",5,IF(H295="Half-Day/Evening",3,IF(H295="Monthly Flex (8 days)",30,IF(H295="Monthly Unlimited",60,IF(H295="Dedicated Desk",90,"")))))</f>
        <v/>
      </c>
      <c r="J295" s="89">
        <f>IF(I295="","",I295*1700)</f>
        <v/>
      </c>
    </row>
    <row r="296" ht="15" customHeight="1" s="64">
      <c r="I296" s="88">
        <f>IF(H296="Day Pass",5,IF(H296="Half-Day/Evening",3,IF(H296="Monthly Flex (8 days)",30,IF(H296="Monthly Unlimited",60,IF(H296="Dedicated Desk",90,"")))))</f>
        <v/>
      </c>
      <c r="J296" s="89">
        <f>IF(I296="","",I296*1700)</f>
        <v/>
      </c>
    </row>
    <row r="297" ht="15" customHeight="1" s="64">
      <c r="I297" s="88">
        <f>IF(H297="Day Pass",5,IF(H297="Half-Day/Evening",3,IF(H297="Monthly Flex (8 days)",30,IF(H297="Monthly Unlimited",60,IF(H297="Dedicated Desk",90,"")))))</f>
        <v/>
      </c>
      <c r="J297" s="89">
        <f>IF(I297="","",I297*1700)</f>
        <v/>
      </c>
    </row>
    <row r="298" ht="15" customHeight="1" s="64">
      <c r="I298" s="88">
        <f>IF(H298="Day Pass",5,IF(H298="Half-Day/Evening",3,IF(H298="Monthly Flex (8 days)",30,IF(H298="Monthly Unlimited",60,IF(H298="Dedicated Desk",90,"")))))</f>
        <v/>
      </c>
      <c r="J298" s="89">
        <f>IF(I298="","",I298*1700)</f>
        <v/>
      </c>
    </row>
    <row r="299" ht="15" customHeight="1" s="64">
      <c r="I299" s="88">
        <f>IF(H299="Day Pass",5,IF(H299="Half-Day/Evening",3,IF(H299="Monthly Flex (8 days)",30,IF(H299="Monthly Unlimited",60,IF(H299="Dedicated Desk",90,"")))))</f>
        <v/>
      </c>
      <c r="J299" s="89">
        <f>IF(I299="","",I299*1700)</f>
        <v/>
      </c>
    </row>
    <row r="300" ht="15" customHeight="1" s="64">
      <c r="I300" s="88">
        <f>IF(H300="Day Pass",5,IF(H300="Half-Day/Evening",3,IF(H300="Monthly Flex (8 days)",30,IF(H300="Monthly Unlimited",60,IF(H300="Dedicated Desk",90,"")))))</f>
        <v/>
      </c>
      <c r="J300" s="89">
        <f>IF(I300="","",I300*1700)</f>
        <v/>
      </c>
    </row>
    <row r="301" ht="15" customHeight="1" s="64">
      <c r="I301" s="88">
        <f>IF(H301="Day Pass",5,IF(H301="Half-Day/Evening",3,IF(H301="Monthly Flex (8 days)",30,IF(H301="Monthly Unlimited",60,IF(H301="Dedicated Desk",90,"")))))</f>
        <v/>
      </c>
      <c r="J301" s="89">
        <f>IF(I301="","",I301*1700)</f>
        <v/>
      </c>
    </row>
    <row r="302" ht="15" customHeight="1" s="64">
      <c r="I302" s="88">
        <f>IF(H302="Day Pass",5,IF(H302="Half-Day/Evening",3,IF(H302="Monthly Flex (8 days)",30,IF(H302="Monthly Unlimited",60,IF(H302="Dedicated Desk",90,"")))))</f>
        <v/>
      </c>
      <c r="J302" s="89">
        <f>IF(I302="","",I302*1700)</f>
        <v/>
      </c>
    </row>
    <row r="303" ht="15" customHeight="1" s="64">
      <c r="I303" s="88">
        <f>IF(H303="Day Pass",5,IF(H303="Half-Day/Evening",3,IF(H303="Monthly Flex (8 days)",30,IF(H303="Monthly Unlimited",60,IF(H303="Dedicated Desk",90,"")))))</f>
        <v/>
      </c>
      <c r="J303" s="89">
        <f>IF(I303="","",I303*1700)</f>
        <v/>
      </c>
    </row>
    <row r="304" ht="15" customHeight="1" s="64">
      <c r="I304" s="88">
        <f>IF(H304="Day Pass",5,IF(H304="Half-Day/Evening",3,IF(H304="Monthly Flex (8 days)",30,IF(H304="Monthly Unlimited",60,IF(H304="Dedicated Desk",90,"")))))</f>
        <v/>
      </c>
      <c r="J304" s="89">
        <f>IF(I304="","",I304*1700)</f>
        <v/>
      </c>
    </row>
    <row r="305" ht="15" customHeight="1" s="64">
      <c r="I305" s="88">
        <f>IF(H305="Day Pass",5,IF(H305="Half-Day/Evening",3,IF(H305="Monthly Flex (8 days)",30,IF(H305="Monthly Unlimited",60,IF(H305="Dedicated Desk",90,"")))))</f>
        <v/>
      </c>
      <c r="J305" s="89">
        <f>IF(I305="","",I305*1700)</f>
        <v/>
      </c>
    </row>
    <row r="306" ht="15" customHeight="1" s="64">
      <c r="I306" s="88">
        <f>IF(H306="Day Pass",5,IF(H306="Half-Day/Evening",3,IF(H306="Monthly Flex (8 days)",30,IF(H306="Monthly Unlimited",60,IF(H306="Dedicated Desk",90,"")))))</f>
        <v/>
      </c>
      <c r="J306" s="89">
        <f>IF(I306="","",I306*1700)</f>
        <v/>
      </c>
    </row>
    <row r="307" ht="15" customHeight="1" s="64">
      <c r="I307" s="88">
        <f>IF(H307="Day Pass",5,IF(H307="Half-Day/Evening",3,IF(H307="Monthly Flex (8 days)",30,IF(H307="Monthly Unlimited",60,IF(H307="Dedicated Desk",90,"")))))</f>
        <v/>
      </c>
      <c r="J307" s="89">
        <f>IF(I307="","",I307*1700)</f>
        <v/>
      </c>
    </row>
    <row r="308" ht="15" customHeight="1" s="64">
      <c r="I308" s="88">
        <f>IF(H308="Day Pass",5,IF(H308="Half-Day/Evening",3,IF(H308="Monthly Flex (8 days)",30,IF(H308="Monthly Unlimited",60,IF(H308="Dedicated Desk",90,"")))))</f>
        <v/>
      </c>
      <c r="J308" s="89">
        <f>IF(I308="","",I308*1700)</f>
        <v/>
      </c>
    </row>
    <row r="309" ht="15" customHeight="1" s="64">
      <c r="I309" s="88">
        <f>IF(H309="Day Pass",5,IF(H309="Half-Day/Evening",3,IF(H309="Monthly Flex (8 days)",30,IF(H309="Monthly Unlimited",60,IF(H309="Dedicated Desk",90,"")))))</f>
        <v/>
      </c>
      <c r="J309" s="89">
        <f>IF(I309="","",I309*1700)</f>
        <v/>
      </c>
    </row>
    <row r="310" ht="15" customHeight="1" s="64">
      <c r="I310" s="88">
        <f>IF(H310="Day Pass",5,IF(H310="Half-Day/Evening",3,IF(H310="Monthly Flex (8 days)",30,IF(H310="Monthly Unlimited",60,IF(H310="Dedicated Desk",90,"")))))</f>
        <v/>
      </c>
      <c r="J310" s="89">
        <f>IF(I310="","",I310*1700)</f>
        <v/>
      </c>
    </row>
    <row r="311" ht="15" customHeight="1" s="64">
      <c r="I311" s="88">
        <f>IF(H311="Day Pass",5,IF(H311="Half-Day/Evening",3,IF(H311="Monthly Flex (8 days)",30,IF(H311="Monthly Unlimited",60,IF(H311="Dedicated Desk",90,"")))))</f>
        <v/>
      </c>
      <c r="J311" s="89">
        <f>IF(I311="","",I311*1700)</f>
        <v/>
      </c>
    </row>
    <row r="312" ht="15" customHeight="1" s="64">
      <c r="I312" s="88">
        <f>IF(H312="Day Pass",5,IF(H312="Half-Day/Evening",3,IF(H312="Monthly Flex (8 days)",30,IF(H312="Monthly Unlimited",60,IF(H312="Dedicated Desk",90,"")))))</f>
        <v/>
      </c>
      <c r="J312" s="89">
        <f>IF(I312="","",I312*1700)</f>
        <v/>
      </c>
    </row>
    <row r="313" ht="15" customHeight="1" s="64">
      <c r="I313" s="88">
        <f>IF(H313="Day Pass",5,IF(H313="Half-Day/Evening",3,IF(H313="Monthly Flex (8 days)",30,IF(H313="Monthly Unlimited",60,IF(H313="Dedicated Desk",90,"")))))</f>
        <v/>
      </c>
      <c r="J313" s="89">
        <f>IF(I313="","",I313*1700)</f>
        <v/>
      </c>
    </row>
    <row r="314" ht="15" customHeight="1" s="64">
      <c r="I314" s="88">
        <f>IF(H314="Day Pass",5,IF(H314="Half-Day/Evening",3,IF(H314="Monthly Flex (8 days)",30,IF(H314="Monthly Unlimited",60,IF(H314="Dedicated Desk",90,"")))))</f>
        <v/>
      </c>
      <c r="J314" s="89">
        <f>IF(I314="","",I314*1700)</f>
        <v/>
      </c>
    </row>
    <row r="315" ht="15" customHeight="1" s="64">
      <c r="I315" s="88">
        <f>IF(H315="Day Pass",5,IF(H315="Half-Day/Evening",3,IF(H315="Monthly Flex (8 days)",30,IF(H315="Monthly Unlimited",60,IF(H315="Dedicated Desk",90,"")))))</f>
        <v/>
      </c>
      <c r="J315" s="89">
        <f>IF(I315="","",I315*1700)</f>
        <v/>
      </c>
    </row>
    <row r="316" ht="15" customHeight="1" s="64">
      <c r="I316" s="88">
        <f>IF(H316="Day Pass",5,IF(H316="Half-Day/Evening",3,IF(H316="Monthly Flex (8 days)",30,IF(H316="Monthly Unlimited",60,IF(H316="Dedicated Desk",90,"")))))</f>
        <v/>
      </c>
      <c r="J316" s="89">
        <f>IF(I316="","",I316*1700)</f>
        <v/>
      </c>
    </row>
    <row r="317" ht="15" customHeight="1" s="64">
      <c r="I317" s="88">
        <f>IF(H317="Day Pass",5,IF(H317="Half-Day/Evening",3,IF(H317="Monthly Flex (8 days)",30,IF(H317="Monthly Unlimited",60,IF(H317="Dedicated Desk",90,"")))))</f>
        <v/>
      </c>
      <c r="J317" s="89">
        <f>IF(I317="","",I317*1700)</f>
        <v/>
      </c>
    </row>
    <row r="318" ht="15" customHeight="1" s="64">
      <c r="I318" s="88">
        <f>IF(H318="Day Pass",5,IF(H318="Half-Day/Evening",3,IF(H318="Monthly Flex (8 days)",30,IF(H318="Monthly Unlimited",60,IF(H318="Dedicated Desk",90,"")))))</f>
        <v/>
      </c>
      <c r="J318" s="89">
        <f>IF(I318="","",I318*1700)</f>
        <v/>
      </c>
    </row>
    <row r="319" ht="15" customHeight="1" s="64">
      <c r="I319" s="88">
        <f>IF(H319="Day Pass",5,IF(H319="Half-Day/Evening",3,IF(H319="Monthly Flex (8 days)",30,IF(H319="Monthly Unlimited",60,IF(H319="Dedicated Desk",90,"")))))</f>
        <v/>
      </c>
      <c r="J319" s="89">
        <f>IF(I319="","",I319*1700)</f>
        <v/>
      </c>
    </row>
    <row r="320" ht="15" customHeight="1" s="64">
      <c r="I320" s="88">
        <f>IF(H320="Day Pass",5,IF(H320="Half-Day/Evening",3,IF(H320="Monthly Flex (8 days)",30,IF(H320="Monthly Unlimited",60,IF(H320="Dedicated Desk",90,"")))))</f>
        <v/>
      </c>
      <c r="J320" s="89">
        <f>IF(I320="","",I320*1700)</f>
        <v/>
      </c>
    </row>
    <row r="321" ht="15" customHeight="1" s="64">
      <c r="I321" s="88">
        <f>IF(H321="Day Pass",5,IF(H321="Half-Day/Evening",3,IF(H321="Monthly Flex (8 days)",30,IF(H321="Monthly Unlimited",60,IF(H321="Dedicated Desk",90,"")))))</f>
        <v/>
      </c>
      <c r="J321" s="89">
        <f>IF(I321="","",I321*1700)</f>
        <v/>
      </c>
    </row>
    <row r="322" ht="15" customHeight="1" s="64">
      <c r="I322" s="88">
        <f>IF(H322="Day Pass",5,IF(H322="Half-Day/Evening",3,IF(H322="Monthly Flex (8 days)",30,IF(H322="Monthly Unlimited",60,IF(H322="Dedicated Desk",90,"")))))</f>
        <v/>
      </c>
      <c r="J322" s="89">
        <f>IF(I322="","",I322*1700)</f>
        <v/>
      </c>
    </row>
    <row r="323" ht="15" customHeight="1" s="64">
      <c r="I323" s="88">
        <f>IF(H323="Day Pass",5,IF(H323="Half-Day/Evening",3,IF(H323="Monthly Flex (8 days)",30,IF(H323="Monthly Unlimited",60,IF(H323="Dedicated Desk",90,"")))))</f>
        <v/>
      </c>
      <c r="J323" s="89">
        <f>IF(I323="","",I323*1700)</f>
        <v/>
      </c>
    </row>
    <row r="324" ht="15" customHeight="1" s="64">
      <c r="I324" s="88">
        <f>IF(H324="Day Pass",5,IF(H324="Half-Day/Evening",3,IF(H324="Monthly Flex (8 days)",30,IF(H324="Monthly Unlimited",60,IF(H324="Dedicated Desk",90,"")))))</f>
        <v/>
      </c>
      <c r="J324" s="89">
        <f>IF(I324="","",I324*1700)</f>
        <v/>
      </c>
    </row>
    <row r="325" ht="15" customHeight="1" s="64">
      <c r="I325" s="88">
        <f>IF(H325="Day Pass",5,IF(H325="Half-Day/Evening",3,IF(H325="Monthly Flex (8 days)",30,IF(H325="Monthly Unlimited",60,IF(H325="Dedicated Desk",90,"")))))</f>
        <v/>
      </c>
      <c r="J325" s="89">
        <f>IF(I325="","",I325*1700)</f>
        <v/>
      </c>
    </row>
    <row r="326" ht="15" customHeight="1" s="64">
      <c r="I326" s="88">
        <f>IF(H326="Day Pass",5,IF(H326="Half-Day/Evening",3,IF(H326="Monthly Flex (8 days)",30,IF(H326="Monthly Unlimited",60,IF(H326="Dedicated Desk",90,"")))))</f>
        <v/>
      </c>
      <c r="J326" s="89">
        <f>IF(I326="","",I326*1700)</f>
        <v/>
      </c>
    </row>
    <row r="327" ht="15" customHeight="1" s="64">
      <c r="I327" s="88">
        <f>IF(H327="Day Pass",5,IF(H327="Half-Day/Evening",3,IF(H327="Monthly Flex (8 days)",30,IF(H327="Monthly Unlimited",60,IF(H327="Dedicated Desk",90,"")))))</f>
        <v/>
      </c>
      <c r="J327" s="89">
        <f>IF(I327="","",I327*1700)</f>
        <v/>
      </c>
    </row>
    <row r="328" ht="15" customHeight="1" s="64">
      <c r="I328" s="88">
        <f>IF(H328="Day Pass",5,IF(H328="Half-Day/Evening",3,IF(H328="Monthly Flex (8 days)",30,IF(H328="Monthly Unlimited",60,IF(H328="Dedicated Desk",90,"")))))</f>
        <v/>
      </c>
      <c r="J328" s="89">
        <f>IF(I328="","",I328*1700)</f>
        <v/>
      </c>
    </row>
    <row r="329" ht="15" customHeight="1" s="64">
      <c r="I329" s="88">
        <f>IF(H329="Day Pass",5,IF(H329="Half-Day/Evening",3,IF(H329="Monthly Flex (8 days)",30,IF(H329="Monthly Unlimited",60,IF(H329="Dedicated Desk",90,"")))))</f>
        <v/>
      </c>
      <c r="J329" s="89">
        <f>IF(I329="","",I329*1700)</f>
        <v/>
      </c>
    </row>
    <row r="330" ht="15" customHeight="1" s="64">
      <c r="I330" s="88">
        <f>IF(H330="Day Pass",5,IF(H330="Half-Day/Evening",3,IF(H330="Monthly Flex (8 days)",30,IF(H330="Monthly Unlimited",60,IF(H330="Dedicated Desk",90,"")))))</f>
        <v/>
      </c>
      <c r="J330" s="89">
        <f>IF(I330="","",I330*1700)</f>
        <v/>
      </c>
    </row>
    <row r="331" ht="15" customHeight="1" s="64">
      <c r="I331" s="88">
        <f>IF(H331="Day Pass",5,IF(H331="Half-Day/Evening",3,IF(H331="Monthly Flex (8 days)",30,IF(H331="Monthly Unlimited",60,IF(H331="Dedicated Desk",90,"")))))</f>
        <v/>
      </c>
      <c r="J331" s="89">
        <f>IF(I331="","",I331*1700)</f>
        <v/>
      </c>
    </row>
    <row r="332" ht="15" customHeight="1" s="64">
      <c r="I332" s="88">
        <f>IF(H332="Day Pass",5,IF(H332="Half-Day/Evening",3,IF(H332="Monthly Flex (8 days)",30,IF(H332="Monthly Unlimited",60,IF(H332="Dedicated Desk",90,"")))))</f>
        <v/>
      </c>
      <c r="J332" s="89">
        <f>IF(I332="","",I332*1700)</f>
        <v/>
      </c>
    </row>
    <row r="333" ht="15" customHeight="1" s="64">
      <c r="I333" s="88">
        <f>IF(H333="Day Pass",5,IF(H333="Half-Day/Evening",3,IF(H333="Monthly Flex (8 days)",30,IF(H333="Monthly Unlimited",60,IF(H333="Dedicated Desk",90,"")))))</f>
        <v/>
      </c>
      <c r="J333" s="89">
        <f>IF(I333="","",I333*1700)</f>
        <v/>
      </c>
    </row>
    <row r="334" ht="15" customHeight="1" s="64">
      <c r="I334" s="88">
        <f>IF(H334="Day Pass",5,IF(H334="Half-Day/Evening",3,IF(H334="Monthly Flex (8 days)",30,IF(H334="Monthly Unlimited",60,IF(H334="Dedicated Desk",90,"")))))</f>
        <v/>
      </c>
      <c r="J334" s="89">
        <f>IF(I334="","",I334*1700)</f>
        <v/>
      </c>
    </row>
    <row r="335" ht="15" customHeight="1" s="64">
      <c r="I335" s="88">
        <f>IF(H335="Day Pass",5,IF(H335="Half-Day/Evening",3,IF(H335="Monthly Flex (8 days)",30,IF(H335="Monthly Unlimited",60,IF(H335="Dedicated Desk",90,"")))))</f>
        <v/>
      </c>
      <c r="J335" s="89">
        <f>IF(I335="","",I335*1700)</f>
        <v/>
      </c>
    </row>
    <row r="336" ht="15" customHeight="1" s="64">
      <c r="I336" s="88">
        <f>IF(H336="Day Pass",5,IF(H336="Half-Day/Evening",3,IF(H336="Monthly Flex (8 days)",30,IF(H336="Monthly Unlimited",60,IF(H336="Dedicated Desk",90,"")))))</f>
        <v/>
      </c>
      <c r="J336" s="89">
        <f>IF(I336="","",I336*1700)</f>
        <v/>
      </c>
    </row>
    <row r="337" ht="15" customHeight="1" s="64">
      <c r="I337" s="88">
        <f>IF(H337="Day Pass",5,IF(H337="Half-Day/Evening",3,IF(H337="Monthly Flex (8 days)",30,IF(H337="Monthly Unlimited",60,IF(H337="Dedicated Desk",90,"")))))</f>
        <v/>
      </c>
      <c r="J337" s="89">
        <f>IF(I337="","",I337*1700)</f>
        <v/>
      </c>
    </row>
    <row r="338" ht="15" customHeight="1" s="64">
      <c r="I338" s="88">
        <f>IF(H338="Day Pass",5,IF(H338="Half-Day/Evening",3,IF(H338="Monthly Flex (8 days)",30,IF(H338="Monthly Unlimited",60,IF(H338="Dedicated Desk",90,"")))))</f>
        <v/>
      </c>
      <c r="J338" s="89">
        <f>IF(I338="","",I338*1700)</f>
        <v/>
      </c>
    </row>
    <row r="339" ht="15" customHeight="1" s="64">
      <c r="I339" s="88">
        <f>IF(H339="Day Pass",5,IF(H339="Half-Day/Evening",3,IF(H339="Monthly Flex (8 days)",30,IF(H339="Monthly Unlimited",60,IF(H339="Dedicated Desk",90,"")))))</f>
        <v/>
      </c>
      <c r="J339" s="89">
        <f>IF(I339="","",I339*1700)</f>
        <v/>
      </c>
    </row>
    <row r="340" ht="15" customHeight="1" s="64">
      <c r="I340" s="88">
        <f>IF(H340="Day Pass",5,IF(H340="Half-Day/Evening",3,IF(H340="Monthly Flex (8 days)",30,IF(H340="Monthly Unlimited",60,IF(H340="Dedicated Desk",90,"")))))</f>
        <v/>
      </c>
      <c r="J340" s="89">
        <f>IF(I340="","",I340*1700)</f>
        <v/>
      </c>
    </row>
    <row r="341" ht="15" customHeight="1" s="64">
      <c r="I341" s="88">
        <f>IF(H341="Day Pass",5,IF(H341="Half-Day/Evening",3,IF(H341="Monthly Flex (8 days)",30,IF(H341="Monthly Unlimited",60,IF(H341="Dedicated Desk",90,"")))))</f>
        <v/>
      </c>
      <c r="J341" s="89">
        <f>IF(I341="","",I341*1700)</f>
        <v/>
      </c>
    </row>
    <row r="342" ht="15" customHeight="1" s="64">
      <c r="I342" s="88">
        <f>IF(H342="Day Pass",5,IF(H342="Half-Day/Evening",3,IF(H342="Monthly Flex (8 days)",30,IF(H342="Monthly Unlimited",60,IF(H342="Dedicated Desk",90,"")))))</f>
        <v/>
      </c>
      <c r="J342" s="89">
        <f>IF(I342="","",I342*1700)</f>
        <v/>
      </c>
    </row>
    <row r="343" ht="15" customHeight="1" s="64">
      <c r="I343" s="88">
        <f>IF(H343="Day Pass",5,IF(H343="Half-Day/Evening",3,IF(H343="Monthly Flex (8 days)",30,IF(H343="Monthly Unlimited",60,IF(H343="Dedicated Desk",90,"")))))</f>
        <v/>
      </c>
      <c r="J343" s="89">
        <f>IF(I343="","",I343*1700)</f>
        <v/>
      </c>
    </row>
    <row r="344" ht="15" customHeight="1" s="64">
      <c r="I344" s="88">
        <f>IF(H344="Day Pass",5,IF(H344="Half-Day/Evening",3,IF(H344="Monthly Flex (8 days)",30,IF(H344="Monthly Unlimited",60,IF(H344="Dedicated Desk",90,"")))))</f>
        <v/>
      </c>
      <c r="J344" s="89">
        <f>IF(I344="","",I344*1700)</f>
        <v/>
      </c>
    </row>
    <row r="345" ht="15" customHeight="1" s="64">
      <c r="I345" s="88">
        <f>IF(H345="Day Pass",5,IF(H345="Half-Day/Evening",3,IF(H345="Monthly Flex (8 days)",30,IF(H345="Monthly Unlimited",60,IF(H345="Dedicated Desk",90,"")))))</f>
        <v/>
      </c>
      <c r="J345" s="89">
        <f>IF(I345="","",I345*1700)</f>
        <v/>
      </c>
    </row>
    <row r="346" ht="15" customHeight="1" s="64">
      <c r="I346" s="88">
        <f>IF(H346="Day Pass",5,IF(H346="Half-Day/Evening",3,IF(H346="Monthly Flex (8 days)",30,IF(H346="Monthly Unlimited",60,IF(H346="Dedicated Desk",90,"")))))</f>
        <v/>
      </c>
      <c r="J346" s="89">
        <f>IF(I346="","",I346*1700)</f>
        <v/>
      </c>
    </row>
    <row r="347" ht="15" customHeight="1" s="64">
      <c r="I347" s="88">
        <f>IF(H347="Day Pass",5,IF(H347="Half-Day/Evening",3,IF(H347="Monthly Flex (8 days)",30,IF(H347="Monthly Unlimited",60,IF(H347="Dedicated Desk",90,"")))))</f>
        <v/>
      </c>
      <c r="J347" s="89">
        <f>IF(I347="","",I347*1700)</f>
        <v/>
      </c>
    </row>
    <row r="348" ht="15" customHeight="1" s="64">
      <c r="I348" s="88">
        <f>IF(H348="Day Pass",5,IF(H348="Half-Day/Evening",3,IF(H348="Monthly Flex (8 days)",30,IF(H348="Monthly Unlimited",60,IF(H348="Dedicated Desk",90,"")))))</f>
        <v/>
      </c>
      <c r="J348" s="89">
        <f>IF(I348="","",I348*1700)</f>
        <v/>
      </c>
    </row>
    <row r="349" ht="15" customHeight="1" s="64">
      <c r="I349" s="88">
        <f>IF(H349="Day Pass",5,IF(H349="Half-Day/Evening",3,IF(H349="Monthly Flex (8 days)",30,IF(H349="Monthly Unlimited",60,IF(H349="Dedicated Desk",90,"")))))</f>
        <v/>
      </c>
      <c r="J349" s="89">
        <f>IF(I349="","",I349*1700)</f>
        <v/>
      </c>
    </row>
    <row r="350" ht="15" customHeight="1" s="64">
      <c r="I350" s="88">
        <f>IF(H350="Day Pass",5,IF(H350="Half-Day/Evening",3,IF(H350="Monthly Flex (8 days)",30,IF(H350="Monthly Unlimited",60,IF(H350="Dedicated Desk",90,"")))))</f>
        <v/>
      </c>
      <c r="J350" s="89">
        <f>IF(I350="","",I350*1700)</f>
        <v/>
      </c>
    </row>
    <row r="351" ht="15" customHeight="1" s="64">
      <c r="I351" s="88">
        <f>IF(H351="Day Pass",5,IF(H351="Half-Day/Evening",3,IF(H351="Monthly Flex (8 days)",30,IF(H351="Monthly Unlimited",60,IF(H351="Dedicated Desk",90,"")))))</f>
        <v/>
      </c>
      <c r="J351" s="89">
        <f>IF(I351="","",I351*1700)</f>
        <v/>
      </c>
    </row>
    <row r="352" ht="15" customHeight="1" s="64">
      <c r="I352" s="88">
        <f>IF(H352="Day Pass",5,IF(H352="Half-Day/Evening",3,IF(H352="Monthly Flex (8 days)",30,IF(H352="Monthly Unlimited",60,IF(H352="Dedicated Desk",90,"")))))</f>
        <v/>
      </c>
      <c r="J352" s="89">
        <f>IF(I352="","",I352*1700)</f>
        <v/>
      </c>
    </row>
    <row r="353" ht="15" customHeight="1" s="64">
      <c r="I353" s="88">
        <f>IF(H353="Day Pass",5,IF(H353="Half-Day/Evening",3,IF(H353="Monthly Flex (8 days)",30,IF(H353="Monthly Unlimited",60,IF(H353="Dedicated Desk",90,"")))))</f>
        <v/>
      </c>
      <c r="J353" s="89">
        <f>IF(I353="","",I353*1700)</f>
        <v/>
      </c>
    </row>
    <row r="354" ht="15" customHeight="1" s="64">
      <c r="I354" s="88">
        <f>IF(H354="Day Pass",5,IF(H354="Half-Day/Evening",3,IF(H354="Monthly Flex (8 days)",30,IF(H354="Monthly Unlimited",60,IF(H354="Dedicated Desk",90,"")))))</f>
        <v/>
      </c>
      <c r="J354" s="89">
        <f>IF(I354="","",I354*1700)</f>
        <v/>
      </c>
    </row>
    <row r="355" ht="15" customHeight="1" s="64">
      <c r="I355" s="88">
        <f>IF(H355="Day Pass",5,IF(H355="Half-Day/Evening",3,IF(H355="Monthly Flex (8 days)",30,IF(H355="Monthly Unlimited",60,IF(H355="Dedicated Desk",90,"")))))</f>
        <v/>
      </c>
      <c r="J355" s="89">
        <f>IF(I355="","",I355*1700)</f>
        <v/>
      </c>
    </row>
    <row r="356" ht="15" customHeight="1" s="64">
      <c r="I356" s="88">
        <f>IF(H356="Day Pass",5,IF(H356="Half-Day/Evening",3,IF(H356="Monthly Flex (8 days)",30,IF(H356="Monthly Unlimited",60,IF(H356="Dedicated Desk",90,"")))))</f>
        <v/>
      </c>
      <c r="J356" s="89">
        <f>IF(I356="","",I356*1700)</f>
        <v/>
      </c>
    </row>
    <row r="357" ht="15" customHeight="1" s="64">
      <c r="I357" s="88">
        <f>IF(H357="Day Pass",5,IF(H357="Half-Day/Evening",3,IF(H357="Monthly Flex (8 days)",30,IF(H357="Monthly Unlimited",60,IF(H357="Dedicated Desk",90,"")))))</f>
        <v/>
      </c>
      <c r="J357" s="89">
        <f>IF(I357="","",I357*1700)</f>
        <v/>
      </c>
    </row>
    <row r="358" ht="15" customHeight="1" s="64">
      <c r="I358" s="88">
        <f>IF(H358="Day Pass",5,IF(H358="Half-Day/Evening",3,IF(H358="Monthly Flex (8 days)",30,IF(H358="Monthly Unlimited",60,IF(H358="Dedicated Desk",90,"")))))</f>
        <v/>
      </c>
      <c r="J358" s="89">
        <f>IF(I358="","",I358*1700)</f>
        <v/>
      </c>
    </row>
    <row r="359" ht="15" customHeight="1" s="64">
      <c r="I359" s="88">
        <f>IF(H359="Day Pass",5,IF(H359="Half-Day/Evening",3,IF(H359="Monthly Flex (8 days)",30,IF(H359="Monthly Unlimited",60,IF(H359="Dedicated Desk",90,"")))))</f>
        <v/>
      </c>
      <c r="J359" s="89">
        <f>IF(I359="","",I359*1700)</f>
        <v/>
      </c>
    </row>
    <row r="360" ht="15" customHeight="1" s="64">
      <c r="I360" s="88">
        <f>IF(H360="Day Pass",5,IF(H360="Half-Day/Evening",3,IF(H360="Monthly Flex (8 days)",30,IF(H360="Monthly Unlimited",60,IF(H360="Dedicated Desk",90,"")))))</f>
        <v/>
      </c>
      <c r="J360" s="89">
        <f>IF(I360="","",I360*1700)</f>
        <v/>
      </c>
    </row>
    <row r="361" ht="15" customHeight="1" s="64">
      <c r="I361" s="88">
        <f>IF(H361="Day Pass",5,IF(H361="Half-Day/Evening",3,IF(H361="Monthly Flex (8 days)",30,IF(H361="Monthly Unlimited",60,IF(H361="Dedicated Desk",90,"")))))</f>
        <v/>
      </c>
      <c r="J361" s="89">
        <f>IF(I361="","",I361*1700)</f>
        <v/>
      </c>
    </row>
    <row r="362" ht="15" customHeight="1" s="64">
      <c r="I362" s="88">
        <f>IF(H362="Day Pass",5,IF(H362="Half-Day/Evening",3,IF(H362="Monthly Flex (8 days)",30,IF(H362="Monthly Unlimited",60,IF(H362="Dedicated Desk",90,"")))))</f>
        <v/>
      </c>
      <c r="J362" s="89">
        <f>IF(I362="","",I362*1700)</f>
        <v/>
      </c>
    </row>
    <row r="363" ht="15" customHeight="1" s="64">
      <c r="I363" s="88">
        <f>IF(H363="Day Pass",5,IF(H363="Half-Day/Evening",3,IF(H363="Monthly Flex (8 days)",30,IF(H363="Monthly Unlimited",60,IF(H363="Dedicated Desk",90,"")))))</f>
        <v/>
      </c>
      <c r="J363" s="89">
        <f>IF(I363="","",I363*1700)</f>
        <v/>
      </c>
    </row>
    <row r="364" ht="15" customHeight="1" s="64">
      <c r="I364" s="88">
        <f>IF(H364="Day Pass",5,IF(H364="Half-Day/Evening",3,IF(H364="Monthly Flex (8 days)",30,IF(H364="Monthly Unlimited",60,IF(H364="Dedicated Desk",90,"")))))</f>
        <v/>
      </c>
      <c r="J364" s="89">
        <f>IF(I364="","",I364*1700)</f>
        <v/>
      </c>
    </row>
    <row r="365" ht="15" customHeight="1" s="64">
      <c r="I365" s="88">
        <f>IF(H365="Day Pass",5,IF(H365="Half-Day/Evening",3,IF(H365="Monthly Flex (8 days)",30,IF(H365="Monthly Unlimited",60,IF(H365="Dedicated Desk",90,"")))))</f>
        <v/>
      </c>
      <c r="J365" s="89">
        <f>IF(I365="","",I365*1700)</f>
        <v/>
      </c>
    </row>
    <row r="366" ht="15" customHeight="1" s="64">
      <c r="I366" s="88">
        <f>IF(H366="Day Pass",5,IF(H366="Half-Day/Evening",3,IF(H366="Monthly Flex (8 days)",30,IF(H366="Monthly Unlimited",60,IF(H366="Dedicated Desk",90,"")))))</f>
        <v/>
      </c>
      <c r="J366" s="89">
        <f>IF(I366="","",I366*1700)</f>
        <v/>
      </c>
    </row>
    <row r="367" ht="15" customHeight="1" s="64">
      <c r="I367" s="88">
        <f>IF(H367="Day Pass",5,IF(H367="Half-Day/Evening",3,IF(H367="Monthly Flex (8 days)",30,IF(H367="Monthly Unlimited",60,IF(H367="Dedicated Desk",90,"")))))</f>
        <v/>
      </c>
      <c r="J367" s="89">
        <f>IF(I367="","",I367*1700)</f>
        <v/>
      </c>
    </row>
    <row r="368" ht="15" customHeight="1" s="64">
      <c r="I368" s="88">
        <f>IF(H368="Day Pass",5,IF(H368="Half-Day/Evening",3,IF(H368="Monthly Flex (8 days)",30,IF(H368="Monthly Unlimited",60,IF(H368="Dedicated Desk",90,"")))))</f>
        <v/>
      </c>
      <c r="J368" s="89">
        <f>IF(I368="","",I368*1700)</f>
        <v/>
      </c>
    </row>
    <row r="369" ht="15" customHeight="1" s="64">
      <c r="I369" s="88">
        <f>IF(H369="Day Pass",5,IF(H369="Half-Day/Evening",3,IF(H369="Monthly Flex (8 days)",30,IF(H369="Monthly Unlimited",60,IF(H369="Dedicated Desk",90,"")))))</f>
        <v/>
      </c>
      <c r="J369" s="89">
        <f>IF(I369="","",I369*1700)</f>
        <v/>
      </c>
    </row>
    <row r="370" ht="15" customHeight="1" s="64">
      <c r="I370" s="88">
        <f>IF(H370="Day Pass",5,IF(H370="Half-Day/Evening",3,IF(H370="Monthly Flex (8 days)",30,IF(H370="Monthly Unlimited",60,IF(H370="Dedicated Desk",90,"")))))</f>
        <v/>
      </c>
      <c r="J370" s="89">
        <f>IF(I370="","",I370*1700)</f>
        <v/>
      </c>
    </row>
    <row r="371" ht="15" customHeight="1" s="64">
      <c r="I371" s="88">
        <f>IF(H371="Day Pass",5,IF(H371="Half-Day/Evening",3,IF(H371="Monthly Flex (8 days)",30,IF(H371="Monthly Unlimited",60,IF(H371="Dedicated Desk",90,"")))))</f>
        <v/>
      </c>
      <c r="J371" s="89">
        <f>IF(I371="","",I371*1700)</f>
        <v/>
      </c>
    </row>
    <row r="372" ht="15" customHeight="1" s="64">
      <c r="I372" s="88">
        <f>IF(H372="Day Pass",5,IF(H372="Half-Day/Evening",3,IF(H372="Monthly Flex (8 days)",30,IF(H372="Monthly Unlimited",60,IF(H372="Dedicated Desk",90,"")))))</f>
        <v/>
      </c>
      <c r="J372" s="89">
        <f>IF(I372="","",I372*1700)</f>
        <v/>
      </c>
    </row>
    <row r="373" ht="15" customHeight="1" s="64">
      <c r="I373" s="88">
        <f>IF(H373="Day Pass",5,IF(H373="Half-Day/Evening",3,IF(H373="Monthly Flex (8 days)",30,IF(H373="Monthly Unlimited",60,IF(H373="Dedicated Desk",90,"")))))</f>
        <v/>
      </c>
      <c r="J373" s="89">
        <f>IF(I373="","",I373*1700)</f>
        <v/>
      </c>
    </row>
    <row r="374" ht="15" customHeight="1" s="64">
      <c r="I374" s="88">
        <f>IF(H374="Day Pass",5,IF(H374="Half-Day/Evening",3,IF(H374="Monthly Flex (8 days)",30,IF(H374="Monthly Unlimited",60,IF(H374="Dedicated Desk",90,"")))))</f>
        <v/>
      </c>
      <c r="J374" s="89">
        <f>IF(I374="","",I374*1700)</f>
        <v/>
      </c>
    </row>
    <row r="375" ht="15" customHeight="1" s="64">
      <c r="I375" s="88">
        <f>IF(H375="Day Pass",5,IF(H375="Half-Day/Evening",3,IF(H375="Monthly Flex (8 days)",30,IF(H375="Monthly Unlimited",60,IF(H375="Dedicated Desk",90,"")))))</f>
        <v/>
      </c>
      <c r="J375" s="89">
        <f>IF(I375="","",I375*1700)</f>
        <v/>
      </c>
    </row>
    <row r="376" ht="15" customHeight="1" s="64">
      <c r="I376" s="88">
        <f>IF(H376="Day Pass",5,IF(H376="Half-Day/Evening",3,IF(H376="Monthly Flex (8 days)",30,IF(H376="Monthly Unlimited",60,IF(H376="Dedicated Desk",90,"")))))</f>
        <v/>
      </c>
      <c r="J376" s="89">
        <f>IF(I376="","",I376*1700)</f>
        <v/>
      </c>
    </row>
    <row r="377" ht="15" customHeight="1" s="64">
      <c r="I377" s="88">
        <f>IF(H377="Day Pass",5,IF(H377="Half-Day/Evening",3,IF(H377="Monthly Flex (8 days)",30,IF(H377="Monthly Unlimited",60,IF(H377="Dedicated Desk",90,"")))))</f>
        <v/>
      </c>
      <c r="J377" s="89">
        <f>IF(I377="","",I377*1700)</f>
        <v/>
      </c>
    </row>
    <row r="378" ht="15" customHeight="1" s="64">
      <c r="I378" s="88">
        <f>IF(H378="Day Pass",5,IF(H378="Half-Day/Evening",3,IF(H378="Monthly Flex (8 days)",30,IF(H378="Monthly Unlimited",60,IF(H378="Dedicated Desk",90,"")))))</f>
        <v/>
      </c>
      <c r="J378" s="89">
        <f>IF(I378="","",I378*1700)</f>
        <v/>
      </c>
    </row>
    <row r="379" ht="15" customHeight="1" s="64">
      <c r="I379" s="88">
        <f>IF(H379="Day Pass",5,IF(H379="Half-Day/Evening",3,IF(H379="Monthly Flex (8 days)",30,IF(H379="Monthly Unlimited",60,IF(H379="Dedicated Desk",90,"")))))</f>
        <v/>
      </c>
      <c r="J379" s="89">
        <f>IF(I379="","",I379*1700)</f>
        <v/>
      </c>
    </row>
    <row r="380" ht="15" customHeight="1" s="64">
      <c r="I380" s="88">
        <f>IF(H380="Day Pass",5,IF(H380="Half-Day/Evening",3,IF(H380="Monthly Flex (8 days)",30,IF(H380="Monthly Unlimited",60,IF(H380="Dedicated Desk",90,"")))))</f>
        <v/>
      </c>
      <c r="J380" s="89">
        <f>IF(I380="","",I380*1700)</f>
        <v/>
      </c>
    </row>
    <row r="381" ht="15" customHeight="1" s="64">
      <c r="I381" s="88">
        <f>IF(H381="Day Pass",5,IF(H381="Half-Day/Evening",3,IF(H381="Monthly Flex (8 days)",30,IF(H381="Monthly Unlimited",60,IF(H381="Dedicated Desk",90,"")))))</f>
        <v/>
      </c>
      <c r="J381" s="89">
        <f>IF(I381="","",I381*1700)</f>
        <v/>
      </c>
    </row>
    <row r="382" ht="15" customHeight="1" s="64">
      <c r="I382" s="88">
        <f>IF(H382="Day Pass",5,IF(H382="Half-Day/Evening",3,IF(H382="Monthly Flex (8 days)",30,IF(H382="Monthly Unlimited",60,IF(H382="Dedicated Desk",90,"")))))</f>
        <v/>
      </c>
      <c r="J382" s="89">
        <f>IF(I382="","",I382*1700)</f>
        <v/>
      </c>
    </row>
    <row r="383" ht="15" customHeight="1" s="64">
      <c r="I383" s="88">
        <f>IF(H383="Day Pass",5,IF(H383="Half-Day/Evening",3,IF(H383="Monthly Flex (8 days)",30,IF(H383="Monthly Unlimited",60,IF(H383="Dedicated Desk",90,"")))))</f>
        <v/>
      </c>
      <c r="J383" s="89">
        <f>IF(I383="","",I383*1700)</f>
        <v/>
      </c>
    </row>
    <row r="384" ht="15" customHeight="1" s="64">
      <c r="I384" s="88">
        <f>IF(H384="Day Pass",5,IF(H384="Half-Day/Evening",3,IF(H384="Monthly Flex (8 days)",30,IF(H384="Monthly Unlimited",60,IF(H384="Dedicated Desk",90,"")))))</f>
        <v/>
      </c>
      <c r="J384" s="89">
        <f>IF(I384="","",I384*1700)</f>
        <v/>
      </c>
    </row>
    <row r="385" ht="15" customHeight="1" s="64">
      <c r="I385" s="88">
        <f>IF(H385="Day Pass",5,IF(H385="Half-Day/Evening",3,IF(H385="Monthly Flex (8 days)",30,IF(H385="Monthly Unlimited",60,IF(H385="Dedicated Desk",90,"")))))</f>
        <v/>
      </c>
      <c r="J385" s="89">
        <f>IF(I385="","",I385*1700)</f>
        <v/>
      </c>
    </row>
    <row r="386" ht="15" customHeight="1" s="64">
      <c r="I386" s="88">
        <f>IF(H386="Day Pass",5,IF(H386="Half-Day/Evening",3,IF(H386="Monthly Flex (8 days)",30,IF(H386="Monthly Unlimited",60,IF(H386="Dedicated Desk",90,"")))))</f>
        <v/>
      </c>
      <c r="J386" s="89">
        <f>IF(I386="","",I386*1700)</f>
        <v/>
      </c>
    </row>
    <row r="387" ht="15" customHeight="1" s="64">
      <c r="I387" s="88">
        <f>IF(H387="Day Pass",5,IF(H387="Half-Day/Evening",3,IF(H387="Monthly Flex (8 days)",30,IF(H387="Monthly Unlimited",60,IF(H387="Dedicated Desk",90,"")))))</f>
        <v/>
      </c>
      <c r="J387" s="89">
        <f>IF(I387="","",I387*1700)</f>
        <v/>
      </c>
    </row>
    <row r="388" ht="15" customHeight="1" s="64">
      <c r="I388" s="88">
        <f>IF(H388="Day Pass",5,IF(H388="Half-Day/Evening",3,IF(H388="Monthly Flex (8 days)",30,IF(H388="Monthly Unlimited",60,IF(H388="Dedicated Desk",90,"")))))</f>
        <v/>
      </c>
      <c r="J388" s="89">
        <f>IF(I388="","",I388*1700)</f>
        <v/>
      </c>
    </row>
    <row r="389" ht="15" customHeight="1" s="64">
      <c r="I389" s="88">
        <f>IF(H389="Day Pass",5,IF(H389="Half-Day/Evening",3,IF(H389="Monthly Flex (8 days)",30,IF(H389="Monthly Unlimited",60,IF(H389="Dedicated Desk",90,"")))))</f>
        <v/>
      </c>
      <c r="J389" s="89">
        <f>IF(I389="","",I389*1700)</f>
        <v/>
      </c>
    </row>
    <row r="390" ht="15" customHeight="1" s="64">
      <c r="I390" s="88">
        <f>IF(H390="Day Pass",5,IF(H390="Half-Day/Evening",3,IF(H390="Monthly Flex (8 days)",30,IF(H390="Monthly Unlimited",60,IF(H390="Dedicated Desk",90,"")))))</f>
        <v/>
      </c>
      <c r="J390" s="89">
        <f>IF(I390="","",I390*1700)</f>
        <v/>
      </c>
    </row>
    <row r="391" ht="15" customHeight="1" s="64">
      <c r="I391" s="88">
        <f>IF(H391="Day Pass",5,IF(H391="Half-Day/Evening",3,IF(H391="Monthly Flex (8 days)",30,IF(H391="Monthly Unlimited",60,IF(H391="Dedicated Desk",90,"")))))</f>
        <v/>
      </c>
      <c r="J391" s="89">
        <f>IF(I391="","",I391*1700)</f>
        <v/>
      </c>
    </row>
    <row r="392" ht="15" customHeight="1" s="64">
      <c r="I392" s="88">
        <f>IF(H392="Day Pass",5,IF(H392="Half-Day/Evening",3,IF(H392="Monthly Flex (8 days)",30,IF(H392="Monthly Unlimited",60,IF(H392="Dedicated Desk",90,"")))))</f>
        <v/>
      </c>
      <c r="J392" s="89">
        <f>IF(I392="","",I392*1700)</f>
        <v/>
      </c>
    </row>
    <row r="393" ht="15" customHeight="1" s="64">
      <c r="I393" s="88">
        <f>IF(H393="Day Pass",5,IF(H393="Half-Day/Evening",3,IF(H393="Monthly Flex (8 days)",30,IF(H393="Monthly Unlimited",60,IF(H393="Dedicated Desk",90,"")))))</f>
        <v/>
      </c>
      <c r="J393" s="89">
        <f>IF(I393="","",I393*1700)</f>
        <v/>
      </c>
    </row>
    <row r="394" ht="15" customHeight="1" s="64">
      <c r="I394" s="88">
        <f>IF(H394="Day Pass",5,IF(H394="Half-Day/Evening",3,IF(H394="Monthly Flex (8 days)",30,IF(H394="Monthly Unlimited",60,IF(H394="Dedicated Desk",90,"")))))</f>
        <v/>
      </c>
      <c r="J394" s="89">
        <f>IF(I394="","",I394*1700)</f>
        <v/>
      </c>
    </row>
    <row r="395" ht="15" customHeight="1" s="64">
      <c r="I395" s="88">
        <f>IF(H395="Day Pass",5,IF(H395="Half-Day/Evening",3,IF(H395="Monthly Flex (8 days)",30,IF(H395="Monthly Unlimited",60,IF(H395="Dedicated Desk",90,"")))))</f>
        <v/>
      </c>
      <c r="J395" s="89">
        <f>IF(I395="","",I395*1700)</f>
        <v/>
      </c>
    </row>
    <row r="396" ht="15" customHeight="1" s="64">
      <c r="I396" s="88">
        <f>IF(H396="Day Pass",5,IF(H396="Half-Day/Evening",3,IF(H396="Monthly Flex (8 days)",30,IF(H396="Monthly Unlimited",60,IF(H396="Dedicated Desk",90,"")))))</f>
        <v/>
      </c>
      <c r="J396" s="89">
        <f>IF(I396="","",I396*1700)</f>
        <v/>
      </c>
    </row>
    <row r="397" ht="15" customHeight="1" s="64">
      <c r="I397" s="88">
        <f>IF(H397="Day Pass",5,IF(H397="Half-Day/Evening",3,IF(H397="Monthly Flex (8 days)",30,IF(H397="Monthly Unlimited",60,IF(H397="Dedicated Desk",90,"")))))</f>
        <v/>
      </c>
      <c r="J397" s="89">
        <f>IF(I397="","",I397*1700)</f>
        <v/>
      </c>
    </row>
    <row r="398" ht="15" customHeight="1" s="64">
      <c r="I398" s="88">
        <f>IF(H398="Day Pass",5,IF(H398="Half-Day/Evening",3,IF(H398="Monthly Flex (8 days)",30,IF(H398="Monthly Unlimited",60,IF(H398="Dedicated Desk",90,"")))))</f>
        <v/>
      </c>
      <c r="J398" s="89">
        <f>IF(I398="","",I398*1700)</f>
        <v/>
      </c>
    </row>
    <row r="399" ht="15" customHeight="1" s="64">
      <c r="I399" s="88">
        <f>IF(H399="Day Pass",5,IF(H399="Half-Day/Evening",3,IF(H399="Monthly Flex (8 days)",30,IF(H399="Monthly Unlimited",60,IF(H399="Dedicated Desk",90,"")))))</f>
        <v/>
      </c>
      <c r="J399" s="89">
        <f>IF(I399="","",I399*1700)</f>
        <v/>
      </c>
    </row>
    <row r="400" ht="15" customHeight="1" s="64">
      <c r="I400" s="88">
        <f>IF(H400="Day Pass",5,IF(H400="Half-Day/Evening",3,IF(H400="Monthly Flex (8 days)",30,IF(H400="Monthly Unlimited",60,IF(H400="Dedicated Desk",90,"")))))</f>
        <v/>
      </c>
      <c r="J400" s="89">
        <f>IF(I400="","",I400*1700)</f>
        <v/>
      </c>
    </row>
    <row r="401" ht="15" customHeight="1" s="64">
      <c r="I401" s="88">
        <f>IF(H401="Day Pass",5,IF(H401="Half-Day/Evening",3,IF(H401="Monthly Flex (8 days)",30,IF(H401="Monthly Unlimited",60,IF(H401="Dedicated Desk",90,"")))))</f>
        <v/>
      </c>
      <c r="J401" s="89">
        <f>IF(I401="","",I401*1700)</f>
        <v/>
      </c>
    </row>
    <row r="402" ht="15" customHeight="1" s="64">
      <c r="I402" s="88">
        <f>IF(H402="Day Pass",5,IF(H402="Half-Day/Evening",3,IF(H402="Monthly Flex (8 days)",30,IF(H402="Monthly Unlimited",60,IF(H402="Dedicated Desk",90,"")))))</f>
        <v/>
      </c>
      <c r="J402" s="89">
        <f>IF(I402="","",I402*1700)</f>
        <v/>
      </c>
    </row>
    <row r="403" ht="15" customHeight="1" s="64">
      <c r="I403" s="88">
        <f>IF(H403="Day Pass",5,IF(H403="Half-Day/Evening",3,IF(H403="Monthly Flex (8 days)",30,IF(H403="Monthly Unlimited",60,IF(H403="Dedicated Desk",90,"")))))</f>
        <v/>
      </c>
      <c r="J403" s="89">
        <f>IF(I403="","",I403*1700)</f>
        <v/>
      </c>
    </row>
    <row r="404" ht="15" customHeight="1" s="64">
      <c r="I404" s="88">
        <f>IF(H404="Day Pass",5,IF(H404="Half-Day/Evening",3,IF(H404="Monthly Flex (8 days)",30,IF(H404="Monthly Unlimited",60,IF(H404="Dedicated Desk",90,"")))))</f>
        <v/>
      </c>
      <c r="J404" s="89">
        <f>IF(I404="","",I404*1700)</f>
        <v/>
      </c>
    </row>
    <row r="405" ht="15" customHeight="1" s="64">
      <c r="I405" s="88">
        <f>IF(H405="Day Pass",5,IF(H405="Half-Day/Evening",3,IF(H405="Monthly Flex (8 days)",30,IF(H405="Monthly Unlimited",60,IF(H405="Dedicated Desk",90,"")))))</f>
        <v/>
      </c>
      <c r="J405" s="89">
        <f>IF(I405="","",I405*1700)</f>
        <v/>
      </c>
    </row>
    <row r="406" ht="15" customHeight="1" s="64">
      <c r="I406" s="88">
        <f>IF(H406="Day Pass",5,IF(H406="Half-Day/Evening",3,IF(H406="Monthly Flex (8 days)",30,IF(H406="Monthly Unlimited",60,IF(H406="Dedicated Desk",90,"")))))</f>
        <v/>
      </c>
      <c r="J406" s="89">
        <f>IF(I406="","",I406*1700)</f>
        <v/>
      </c>
    </row>
    <row r="407" ht="15" customHeight="1" s="64">
      <c r="I407" s="88">
        <f>IF(H407="Day Pass",5,IF(H407="Half-Day/Evening",3,IF(H407="Monthly Flex (8 days)",30,IF(H407="Monthly Unlimited",60,IF(H407="Dedicated Desk",90,"")))))</f>
        <v/>
      </c>
      <c r="J407" s="89">
        <f>IF(I407="","",I407*1700)</f>
        <v/>
      </c>
    </row>
    <row r="408" ht="15" customHeight="1" s="64">
      <c r="I408" s="88">
        <f>IF(H408="Day Pass",5,IF(H408="Half-Day/Evening",3,IF(H408="Monthly Flex (8 days)",30,IF(H408="Monthly Unlimited",60,IF(H408="Dedicated Desk",90,"")))))</f>
        <v/>
      </c>
      <c r="J408" s="89">
        <f>IF(I408="","",I408*1700)</f>
        <v/>
      </c>
    </row>
    <row r="409" ht="15" customHeight="1" s="64">
      <c r="I409" s="88">
        <f>IF(H409="Day Pass",5,IF(H409="Half-Day/Evening",3,IF(H409="Monthly Flex (8 days)",30,IF(H409="Monthly Unlimited",60,IF(H409="Dedicated Desk",90,"")))))</f>
        <v/>
      </c>
      <c r="J409" s="89">
        <f>IF(I409="","",I409*1700)</f>
        <v/>
      </c>
    </row>
    <row r="410" ht="15" customHeight="1" s="64">
      <c r="I410" s="88">
        <f>IF(H410="Day Pass",5,IF(H410="Half-Day/Evening",3,IF(H410="Monthly Flex (8 days)",30,IF(H410="Monthly Unlimited",60,IF(H410="Dedicated Desk",90,"")))))</f>
        <v/>
      </c>
      <c r="J410" s="89">
        <f>IF(I410="","",I410*1700)</f>
        <v/>
      </c>
    </row>
    <row r="411" ht="15" customHeight="1" s="64">
      <c r="I411" s="88">
        <f>IF(H411="Day Pass",5,IF(H411="Half-Day/Evening",3,IF(H411="Monthly Flex (8 days)",30,IF(H411="Monthly Unlimited",60,IF(H411="Dedicated Desk",90,"")))))</f>
        <v/>
      </c>
      <c r="J411" s="89">
        <f>IF(I411="","",I411*1700)</f>
        <v/>
      </c>
    </row>
    <row r="412" ht="15" customHeight="1" s="64">
      <c r="I412" s="88">
        <f>IF(H412="Day Pass",5,IF(H412="Half-Day/Evening",3,IF(H412="Monthly Flex (8 days)",30,IF(H412="Monthly Unlimited",60,IF(H412="Dedicated Desk",90,"")))))</f>
        <v/>
      </c>
      <c r="J412" s="89">
        <f>IF(I412="","",I412*1700)</f>
        <v/>
      </c>
    </row>
    <row r="413" ht="15" customHeight="1" s="64">
      <c r="I413" s="88">
        <f>IF(H413="Day Pass",5,IF(H413="Half-Day/Evening",3,IF(H413="Monthly Flex (8 days)",30,IF(H413="Monthly Unlimited",60,IF(H413="Dedicated Desk",90,"")))))</f>
        <v/>
      </c>
      <c r="J413" s="89">
        <f>IF(I413="","",I413*1700)</f>
        <v/>
      </c>
    </row>
    <row r="414" ht="15" customHeight="1" s="64">
      <c r="I414" s="88">
        <f>IF(H414="Day Pass",5,IF(H414="Half-Day/Evening",3,IF(H414="Monthly Flex (8 days)",30,IF(H414="Monthly Unlimited",60,IF(H414="Dedicated Desk",90,"")))))</f>
        <v/>
      </c>
      <c r="J414" s="89">
        <f>IF(I414="","",I414*1700)</f>
        <v/>
      </c>
    </row>
    <row r="415" ht="15" customHeight="1" s="64">
      <c r="I415" s="88">
        <f>IF(H415="Day Pass",5,IF(H415="Half-Day/Evening",3,IF(H415="Monthly Flex (8 days)",30,IF(H415="Monthly Unlimited",60,IF(H415="Dedicated Desk",90,"")))))</f>
        <v/>
      </c>
      <c r="J415" s="89">
        <f>IF(I415="","",I415*1700)</f>
        <v/>
      </c>
    </row>
    <row r="416" ht="15" customHeight="1" s="64">
      <c r="I416" s="88">
        <f>IF(H416="Day Pass",5,IF(H416="Half-Day/Evening",3,IF(H416="Monthly Flex (8 days)",30,IF(H416="Monthly Unlimited",60,IF(H416="Dedicated Desk",90,"")))))</f>
        <v/>
      </c>
      <c r="J416" s="89">
        <f>IF(I416="","",I416*1700)</f>
        <v/>
      </c>
    </row>
    <row r="417" ht="15" customHeight="1" s="64">
      <c r="I417" s="88">
        <f>IF(H417="Day Pass",5,IF(H417="Half-Day/Evening",3,IF(H417="Monthly Flex (8 days)",30,IF(H417="Monthly Unlimited",60,IF(H417="Dedicated Desk",90,"")))))</f>
        <v/>
      </c>
      <c r="J417" s="89">
        <f>IF(I417="","",I417*1700)</f>
        <v/>
      </c>
    </row>
    <row r="418" ht="15" customHeight="1" s="64">
      <c r="I418" s="88">
        <f>IF(H418="Day Pass",5,IF(H418="Half-Day/Evening",3,IF(H418="Monthly Flex (8 days)",30,IF(H418="Monthly Unlimited",60,IF(H418="Dedicated Desk",90,"")))))</f>
        <v/>
      </c>
      <c r="J418" s="89">
        <f>IF(I418="","",I418*1700)</f>
        <v/>
      </c>
    </row>
    <row r="419" ht="15" customHeight="1" s="64">
      <c r="I419" s="88">
        <f>IF(H419="Day Pass",5,IF(H419="Half-Day/Evening",3,IF(H419="Monthly Flex (8 days)",30,IF(H419="Monthly Unlimited",60,IF(H419="Dedicated Desk",90,"")))))</f>
        <v/>
      </c>
      <c r="J419" s="89">
        <f>IF(I419="","",I419*1700)</f>
        <v/>
      </c>
    </row>
    <row r="420" ht="15" customHeight="1" s="64">
      <c r="I420" s="88">
        <f>IF(H420="Day Pass",5,IF(H420="Half-Day/Evening",3,IF(H420="Monthly Flex (8 days)",30,IF(H420="Monthly Unlimited",60,IF(H420="Dedicated Desk",90,"")))))</f>
        <v/>
      </c>
      <c r="J420" s="89">
        <f>IF(I420="","",I420*1700)</f>
        <v/>
      </c>
    </row>
    <row r="421" ht="15" customHeight="1" s="64">
      <c r="I421" s="88">
        <f>IF(H421="Day Pass",5,IF(H421="Half-Day/Evening",3,IF(H421="Monthly Flex (8 days)",30,IF(H421="Monthly Unlimited",60,IF(H421="Dedicated Desk",90,"")))))</f>
        <v/>
      </c>
      <c r="J421" s="89">
        <f>IF(I421="","",I421*1700)</f>
        <v/>
      </c>
    </row>
    <row r="422" ht="15" customHeight="1" s="64">
      <c r="I422" s="88">
        <f>IF(H422="Day Pass",5,IF(H422="Half-Day/Evening",3,IF(H422="Monthly Flex (8 days)",30,IF(H422="Monthly Unlimited",60,IF(H422="Dedicated Desk",90,"")))))</f>
        <v/>
      </c>
      <c r="J422" s="89">
        <f>IF(I422="","",I422*1700)</f>
        <v/>
      </c>
    </row>
    <row r="423" ht="15" customHeight="1" s="64">
      <c r="I423" s="88">
        <f>IF(H423="Day Pass",5,IF(H423="Half-Day/Evening",3,IF(H423="Monthly Flex (8 days)",30,IF(H423="Monthly Unlimited",60,IF(H423="Dedicated Desk",90,"")))))</f>
        <v/>
      </c>
      <c r="J423" s="89">
        <f>IF(I423="","",I423*1700)</f>
        <v/>
      </c>
    </row>
    <row r="424" ht="15" customHeight="1" s="64">
      <c r="I424" s="88">
        <f>IF(H424="Day Pass",5,IF(H424="Half-Day/Evening",3,IF(H424="Monthly Flex (8 days)",30,IF(H424="Monthly Unlimited",60,IF(H424="Dedicated Desk",90,"")))))</f>
        <v/>
      </c>
      <c r="J424" s="89">
        <f>IF(I424="","",I424*1700)</f>
        <v/>
      </c>
    </row>
    <row r="425" ht="15" customHeight="1" s="64">
      <c r="I425" s="88">
        <f>IF(H425="Day Pass",5,IF(H425="Half-Day/Evening",3,IF(H425="Monthly Flex (8 days)",30,IF(H425="Monthly Unlimited",60,IF(H425="Dedicated Desk",90,"")))))</f>
        <v/>
      </c>
      <c r="J425" s="89">
        <f>IF(I425="","",I425*1700)</f>
        <v/>
      </c>
    </row>
    <row r="426" ht="15" customHeight="1" s="64">
      <c r="I426" s="88">
        <f>IF(H426="Day Pass",5,IF(H426="Half-Day/Evening",3,IF(H426="Monthly Flex (8 days)",30,IF(H426="Monthly Unlimited",60,IF(H426="Dedicated Desk",90,"")))))</f>
        <v/>
      </c>
      <c r="J426" s="89">
        <f>IF(I426="","",I426*1700)</f>
        <v/>
      </c>
    </row>
    <row r="427" ht="15" customHeight="1" s="64">
      <c r="I427" s="88">
        <f>IF(H427="Day Pass",5,IF(H427="Half-Day/Evening",3,IF(H427="Monthly Flex (8 days)",30,IF(H427="Monthly Unlimited",60,IF(H427="Dedicated Desk",90,"")))))</f>
        <v/>
      </c>
      <c r="J427" s="89">
        <f>IF(I427="","",I427*1700)</f>
        <v/>
      </c>
    </row>
    <row r="428" ht="15" customHeight="1" s="64">
      <c r="I428" s="88">
        <f>IF(H428="Day Pass",5,IF(H428="Half-Day/Evening",3,IF(H428="Monthly Flex (8 days)",30,IF(H428="Monthly Unlimited",60,IF(H428="Dedicated Desk",90,"")))))</f>
        <v/>
      </c>
      <c r="J428" s="89">
        <f>IF(I428="","",I428*1700)</f>
        <v/>
      </c>
    </row>
    <row r="429" ht="15" customHeight="1" s="64">
      <c r="I429" s="88">
        <f>IF(H429="Day Pass",5,IF(H429="Half-Day/Evening",3,IF(H429="Monthly Flex (8 days)",30,IF(H429="Monthly Unlimited",60,IF(H429="Dedicated Desk",90,"")))))</f>
        <v/>
      </c>
      <c r="J429" s="89">
        <f>IF(I429="","",I429*1700)</f>
        <v/>
      </c>
    </row>
    <row r="430" ht="15" customHeight="1" s="64">
      <c r="I430" s="88">
        <f>IF(H430="Day Pass",5,IF(H430="Half-Day/Evening",3,IF(H430="Monthly Flex (8 days)",30,IF(H430="Monthly Unlimited",60,IF(H430="Dedicated Desk",90,"")))))</f>
        <v/>
      </c>
      <c r="J430" s="89">
        <f>IF(I430="","",I430*1700)</f>
        <v/>
      </c>
    </row>
    <row r="431" ht="15" customHeight="1" s="64">
      <c r="I431" s="88">
        <f>IF(H431="Day Pass",5,IF(H431="Half-Day/Evening",3,IF(H431="Monthly Flex (8 days)",30,IF(H431="Monthly Unlimited",60,IF(H431="Dedicated Desk",90,"")))))</f>
        <v/>
      </c>
      <c r="J431" s="89">
        <f>IF(I431="","",I431*1700)</f>
        <v/>
      </c>
    </row>
    <row r="432" ht="15" customHeight="1" s="64">
      <c r="I432" s="88">
        <f>IF(H432="Day Pass",5,IF(H432="Half-Day/Evening",3,IF(H432="Monthly Flex (8 days)",30,IF(H432="Monthly Unlimited",60,IF(H432="Dedicated Desk",90,"")))))</f>
        <v/>
      </c>
      <c r="J432" s="89">
        <f>IF(I432="","",I432*1700)</f>
        <v/>
      </c>
    </row>
    <row r="433" ht="15" customHeight="1" s="64">
      <c r="I433" s="88">
        <f>IF(H433="Day Pass",5,IF(H433="Half-Day/Evening",3,IF(H433="Monthly Flex (8 days)",30,IF(H433="Monthly Unlimited",60,IF(H433="Dedicated Desk",90,"")))))</f>
        <v/>
      </c>
      <c r="J433" s="89">
        <f>IF(I433="","",I433*1700)</f>
        <v/>
      </c>
    </row>
    <row r="434" ht="15" customHeight="1" s="64">
      <c r="I434" s="88">
        <f>IF(H434="Day Pass",5,IF(H434="Half-Day/Evening",3,IF(H434="Monthly Flex (8 days)",30,IF(H434="Monthly Unlimited",60,IF(H434="Dedicated Desk",90,"")))))</f>
        <v/>
      </c>
      <c r="J434" s="89">
        <f>IF(I434="","",I434*1700)</f>
        <v/>
      </c>
    </row>
    <row r="435" ht="15" customHeight="1" s="64">
      <c r="I435" s="88">
        <f>IF(H435="Day Pass",5,IF(H435="Half-Day/Evening",3,IF(H435="Monthly Flex (8 days)",30,IF(H435="Monthly Unlimited",60,IF(H435="Dedicated Desk",90,"")))))</f>
        <v/>
      </c>
      <c r="J435" s="89">
        <f>IF(I435="","",I435*1700)</f>
        <v/>
      </c>
    </row>
    <row r="436" ht="15" customHeight="1" s="64">
      <c r="I436" s="88">
        <f>IF(H436="Day Pass",5,IF(H436="Half-Day/Evening",3,IF(H436="Monthly Flex (8 days)",30,IF(H436="Monthly Unlimited",60,IF(H436="Dedicated Desk",90,"")))))</f>
        <v/>
      </c>
      <c r="J436" s="89">
        <f>IF(I436="","",I436*1700)</f>
        <v/>
      </c>
    </row>
    <row r="437" ht="15" customHeight="1" s="64">
      <c r="I437" s="88">
        <f>IF(H437="Day Pass",5,IF(H437="Half-Day/Evening",3,IF(H437="Monthly Flex (8 days)",30,IF(H437="Monthly Unlimited",60,IF(H437="Dedicated Desk",90,"")))))</f>
        <v/>
      </c>
      <c r="J437" s="89">
        <f>IF(I437="","",I437*1700)</f>
        <v/>
      </c>
    </row>
    <row r="438" ht="15" customHeight="1" s="64">
      <c r="I438" s="88">
        <f>IF(H438="Day Pass",5,IF(H438="Half-Day/Evening",3,IF(H438="Monthly Flex (8 days)",30,IF(H438="Monthly Unlimited",60,IF(H438="Dedicated Desk",90,"")))))</f>
        <v/>
      </c>
      <c r="J438" s="89">
        <f>IF(I438="","",I438*1700)</f>
        <v/>
      </c>
    </row>
    <row r="439" ht="15" customHeight="1" s="64">
      <c r="I439" s="88">
        <f>IF(H439="Day Pass",5,IF(H439="Half-Day/Evening",3,IF(H439="Monthly Flex (8 days)",30,IF(H439="Monthly Unlimited",60,IF(H439="Dedicated Desk",90,"")))))</f>
        <v/>
      </c>
      <c r="J439" s="89">
        <f>IF(I439="","",I439*1700)</f>
        <v/>
      </c>
    </row>
    <row r="440" ht="15" customHeight="1" s="64">
      <c r="I440" s="88">
        <f>IF(H440="Day Pass",5,IF(H440="Half-Day/Evening",3,IF(H440="Monthly Flex (8 days)",30,IF(H440="Monthly Unlimited",60,IF(H440="Dedicated Desk",90,"")))))</f>
        <v/>
      </c>
      <c r="J440" s="89">
        <f>IF(I440="","",I440*1700)</f>
        <v/>
      </c>
    </row>
    <row r="441" ht="15" customHeight="1" s="64">
      <c r="I441" s="88">
        <f>IF(H441="Day Pass",5,IF(H441="Half-Day/Evening",3,IF(H441="Monthly Flex (8 days)",30,IF(H441="Monthly Unlimited",60,IF(H441="Dedicated Desk",90,"")))))</f>
        <v/>
      </c>
      <c r="J441" s="89">
        <f>IF(I441="","",I441*1700)</f>
        <v/>
      </c>
    </row>
    <row r="442" ht="15" customHeight="1" s="64">
      <c r="I442" s="88">
        <f>IF(H442="Day Pass",5,IF(H442="Half-Day/Evening",3,IF(H442="Monthly Flex (8 days)",30,IF(H442="Monthly Unlimited",60,IF(H442="Dedicated Desk",90,"")))))</f>
        <v/>
      </c>
      <c r="J442" s="89">
        <f>IF(I442="","",I442*1700)</f>
        <v/>
      </c>
    </row>
    <row r="443" ht="15" customHeight="1" s="64">
      <c r="I443" s="88">
        <f>IF(H443="Day Pass",5,IF(H443="Half-Day/Evening",3,IF(H443="Monthly Flex (8 days)",30,IF(H443="Monthly Unlimited",60,IF(H443="Dedicated Desk",90,"")))))</f>
        <v/>
      </c>
      <c r="J443" s="89">
        <f>IF(I443="","",I443*1700)</f>
        <v/>
      </c>
    </row>
    <row r="444" ht="15" customHeight="1" s="64">
      <c r="I444" s="88">
        <f>IF(H444="Day Pass",5,IF(H444="Half-Day/Evening",3,IF(H444="Monthly Flex (8 days)",30,IF(H444="Monthly Unlimited",60,IF(H444="Dedicated Desk",90,"")))))</f>
        <v/>
      </c>
      <c r="J444" s="89">
        <f>IF(I444="","",I444*1700)</f>
        <v/>
      </c>
    </row>
    <row r="445" ht="15" customHeight="1" s="64">
      <c r="I445" s="88">
        <f>IF(H445="Day Pass",5,IF(H445="Half-Day/Evening",3,IF(H445="Monthly Flex (8 days)",30,IF(H445="Monthly Unlimited",60,IF(H445="Dedicated Desk",90,"")))))</f>
        <v/>
      </c>
      <c r="J445" s="89">
        <f>IF(I445="","",I445*1700)</f>
        <v/>
      </c>
    </row>
    <row r="446" ht="15" customHeight="1" s="64">
      <c r="I446" s="88">
        <f>IF(H446="Day Pass",5,IF(H446="Half-Day/Evening",3,IF(H446="Monthly Flex (8 days)",30,IF(H446="Monthly Unlimited",60,IF(H446="Dedicated Desk",90,"")))))</f>
        <v/>
      </c>
      <c r="J446" s="89">
        <f>IF(I446="","",I446*1700)</f>
        <v/>
      </c>
    </row>
    <row r="447" ht="15" customHeight="1" s="64">
      <c r="I447" s="88">
        <f>IF(H447="Day Pass",5,IF(H447="Half-Day/Evening",3,IF(H447="Monthly Flex (8 days)",30,IF(H447="Monthly Unlimited",60,IF(H447="Dedicated Desk",90,"")))))</f>
        <v/>
      </c>
      <c r="J447" s="89">
        <f>IF(I447="","",I447*1700)</f>
        <v/>
      </c>
    </row>
    <row r="448" ht="15" customHeight="1" s="64">
      <c r="I448" s="88">
        <f>IF(H448="Day Pass",5,IF(H448="Half-Day/Evening",3,IF(H448="Monthly Flex (8 days)",30,IF(H448="Monthly Unlimited",60,IF(H448="Dedicated Desk",90,"")))))</f>
        <v/>
      </c>
      <c r="J448" s="89">
        <f>IF(I448="","",I448*1700)</f>
        <v/>
      </c>
    </row>
    <row r="449" ht="15" customHeight="1" s="64">
      <c r="I449" s="88">
        <f>IF(H449="Day Pass",5,IF(H449="Half-Day/Evening",3,IF(H449="Monthly Flex (8 days)",30,IF(H449="Monthly Unlimited",60,IF(H449="Dedicated Desk",90,"")))))</f>
        <v/>
      </c>
      <c r="J449" s="89">
        <f>IF(I449="","",I449*1700)</f>
        <v/>
      </c>
    </row>
    <row r="450" ht="15" customHeight="1" s="64">
      <c r="I450" s="88">
        <f>IF(H450="Day Pass",5,IF(H450="Half-Day/Evening",3,IF(H450="Monthly Flex (8 days)",30,IF(H450="Monthly Unlimited",60,IF(H450="Dedicated Desk",90,"")))))</f>
        <v/>
      </c>
      <c r="J450" s="89">
        <f>IF(I450="","",I450*1700)</f>
        <v/>
      </c>
    </row>
    <row r="451" ht="15" customHeight="1" s="64">
      <c r="I451" s="88">
        <f>IF(H451="Day Pass",5,IF(H451="Half-Day/Evening",3,IF(H451="Monthly Flex (8 days)",30,IF(H451="Monthly Unlimited",60,IF(H451="Dedicated Desk",90,"")))))</f>
        <v/>
      </c>
      <c r="J451" s="89">
        <f>IF(I451="","",I451*1700)</f>
        <v/>
      </c>
    </row>
    <row r="452" ht="15" customHeight="1" s="64">
      <c r="I452" s="88">
        <f>IF(H452="Day Pass",5,IF(H452="Half-Day/Evening",3,IF(H452="Monthly Flex (8 days)",30,IF(H452="Monthly Unlimited",60,IF(H452="Dedicated Desk",90,"")))))</f>
        <v/>
      </c>
      <c r="J452" s="89">
        <f>IF(I452="","",I452*1700)</f>
        <v/>
      </c>
    </row>
    <row r="453" ht="15" customHeight="1" s="64">
      <c r="I453" s="88">
        <f>IF(H453="Day Pass",5,IF(H453="Half-Day/Evening",3,IF(H453="Monthly Flex (8 days)",30,IF(H453="Monthly Unlimited",60,IF(H453="Dedicated Desk",90,"")))))</f>
        <v/>
      </c>
      <c r="J453" s="89">
        <f>IF(I453="","",I453*1700)</f>
        <v/>
      </c>
    </row>
    <row r="454" ht="15" customHeight="1" s="64">
      <c r="I454" s="88">
        <f>IF(H454="Day Pass",5,IF(H454="Half-Day/Evening",3,IF(H454="Monthly Flex (8 days)",30,IF(H454="Monthly Unlimited",60,IF(H454="Dedicated Desk",90,"")))))</f>
        <v/>
      </c>
      <c r="J454" s="89">
        <f>IF(I454="","",I454*1700)</f>
        <v/>
      </c>
    </row>
    <row r="455" ht="15" customHeight="1" s="64">
      <c r="I455" s="88">
        <f>IF(H455="Day Pass",5,IF(H455="Half-Day/Evening",3,IF(H455="Monthly Flex (8 days)",30,IF(H455="Monthly Unlimited",60,IF(H455="Dedicated Desk",90,"")))))</f>
        <v/>
      </c>
      <c r="J455" s="89">
        <f>IF(I455="","",I455*1700)</f>
        <v/>
      </c>
    </row>
    <row r="456" ht="15" customHeight="1" s="64">
      <c r="I456" s="88">
        <f>IF(H456="Day Pass",5,IF(H456="Half-Day/Evening",3,IF(H456="Monthly Flex (8 days)",30,IF(H456="Monthly Unlimited",60,IF(H456="Dedicated Desk",90,"")))))</f>
        <v/>
      </c>
      <c r="J456" s="89">
        <f>IF(I456="","",I456*1700)</f>
        <v/>
      </c>
    </row>
    <row r="457" ht="15" customHeight="1" s="64">
      <c r="I457" s="88">
        <f>IF(H457="Day Pass",5,IF(H457="Half-Day/Evening",3,IF(H457="Monthly Flex (8 days)",30,IF(H457="Monthly Unlimited",60,IF(H457="Dedicated Desk",90,"")))))</f>
        <v/>
      </c>
      <c r="J457" s="89">
        <f>IF(I457="","",I457*1700)</f>
        <v/>
      </c>
    </row>
    <row r="458" ht="15" customHeight="1" s="64">
      <c r="I458" s="88">
        <f>IF(H458="Day Pass",5,IF(H458="Half-Day/Evening",3,IF(H458="Monthly Flex (8 days)",30,IF(H458="Monthly Unlimited",60,IF(H458="Dedicated Desk",90,"")))))</f>
        <v/>
      </c>
      <c r="J458" s="89">
        <f>IF(I458="","",I458*1700)</f>
        <v/>
      </c>
    </row>
    <row r="459" ht="15" customHeight="1" s="64">
      <c r="I459" s="88">
        <f>IF(H459="Day Pass",5,IF(H459="Half-Day/Evening",3,IF(H459="Monthly Flex (8 days)",30,IF(H459="Monthly Unlimited",60,IF(H459="Dedicated Desk",90,"")))))</f>
        <v/>
      </c>
      <c r="J459" s="89">
        <f>IF(I459="","",I459*1700)</f>
        <v/>
      </c>
    </row>
    <row r="460" ht="15" customHeight="1" s="64">
      <c r="I460" s="88">
        <f>IF(H460="Day Pass",5,IF(H460="Half-Day/Evening",3,IF(H460="Monthly Flex (8 days)",30,IF(H460="Monthly Unlimited",60,IF(H460="Dedicated Desk",90,"")))))</f>
        <v/>
      </c>
      <c r="J460" s="89">
        <f>IF(I460="","",I460*1700)</f>
        <v/>
      </c>
    </row>
    <row r="461" ht="15" customHeight="1" s="64">
      <c r="I461" s="88">
        <f>IF(H461="Day Pass",5,IF(H461="Half-Day/Evening",3,IF(H461="Monthly Flex (8 days)",30,IF(H461="Monthly Unlimited",60,IF(H461="Dedicated Desk",90,"")))))</f>
        <v/>
      </c>
      <c r="J461" s="89">
        <f>IF(I461="","",I461*1700)</f>
        <v/>
      </c>
    </row>
    <row r="462" ht="15" customHeight="1" s="64">
      <c r="I462" s="88">
        <f>IF(H462="Day Pass",5,IF(H462="Half-Day/Evening",3,IF(H462="Monthly Flex (8 days)",30,IF(H462="Monthly Unlimited",60,IF(H462="Dedicated Desk",90,"")))))</f>
        <v/>
      </c>
      <c r="J462" s="89">
        <f>IF(I462="","",I462*1700)</f>
        <v/>
      </c>
    </row>
    <row r="463" ht="15" customHeight="1" s="64">
      <c r="I463" s="88">
        <f>IF(H463="Day Pass",5,IF(H463="Half-Day/Evening",3,IF(H463="Monthly Flex (8 days)",30,IF(H463="Monthly Unlimited",60,IF(H463="Dedicated Desk",90,"")))))</f>
        <v/>
      </c>
      <c r="J463" s="89">
        <f>IF(I463="","",I463*1700)</f>
        <v/>
      </c>
    </row>
    <row r="464" ht="15" customHeight="1" s="64">
      <c r="I464" s="88">
        <f>IF(H464="Day Pass",5,IF(H464="Half-Day/Evening",3,IF(H464="Monthly Flex (8 days)",30,IF(H464="Monthly Unlimited",60,IF(H464="Dedicated Desk",90,"")))))</f>
        <v/>
      </c>
      <c r="J464" s="89">
        <f>IF(I464="","",I464*1700)</f>
        <v/>
      </c>
    </row>
    <row r="465" ht="15" customHeight="1" s="64">
      <c r="I465" s="88">
        <f>IF(H465="Day Pass",5,IF(H465="Half-Day/Evening",3,IF(H465="Monthly Flex (8 days)",30,IF(H465="Monthly Unlimited",60,IF(H465="Dedicated Desk",90,"")))))</f>
        <v/>
      </c>
      <c r="J465" s="89">
        <f>IF(I465="","",I465*1700)</f>
        <v/>
      </c>
    </row>
    <row r="466" ht="15" customHeight="1" s="64">
      <c r="I466" s="88">
        <f>IF(H466="Day Pass",5,IF(H466="Half-Day/Evening",3,IF(H466="Monthly Flex (8 days)",30,IF(H466="Monthly Unlimited",60,IF(H466="Dedicated Desk",90,"")))))</f>
        <v/>
      </c>
      <c r="J466" s="89">
        <f>IF(I466="","",I466*1700)</f>
        <v/>
      </c>
    </row>
    <row r="467" ht="15" customHeight="1" s="64">
      <c r="I467" s="88">
        <f>IF(H467="Day Pass",5,IF(H467="Half-Day/Evening",3,IF(H467="Monthly Flex (8 days)",30,IF(H467="Monthly Unlimited",60,IF(H467="Dedicated Desk",90,"")))))</f>
        <v/>
      </c>
      <c r="J467" s="89">
        <f>IF(I467="","",I467*1700)</f>
        <v/>
      </c>
    </row>
    <row r="468" ht="15" customHeight="1" s="64">
      <c r="I468" s="88">
        <f>IF(H468="Day Pass",5,IF(H468="Half-Day/Evening",3,IF(H468="Monthly Flex (8 days)",30,IF(H468="Monthly Unlimited",60,IF(H468="Dedicated Desk",90,"")))))</f>
        <v/>
      </c>
      <c r="J468" s="89">
        <f>IF(I468="","",I468*1700)</f>
        <v/>
      </c>
    </row>
    <row r="469" ht="15" customHeight="1" s="64">
      <c r="I469" s="88">
        <f>IF(H469="Day Pass",5,IF(H469="Half-Day/Evening",3,IF(H469="Monthly Flex (8 days)",30,IF(H469="Monthly Unlimited",60,IF(H469="Dedicated Desk",90,"")))))</f>
        <v/>
      </c>
      <c r="J469" s="89">
        <f>IF(I469="","",I469*1700)</f>
        <v/>
      </c>
    </row>
    <row r="470" ht="15" customHeight="1" s="64">
      <c r="I470" s="88">
        <f>IF(H470="Day Pass",5,IF(H470="Half-Day/Evening",3,IF(H470="Monthly Flex (8 days)",30,IF(H470="Monthly Unlimited",60,IF(H470="Dedicated Desk",90,"")))))</f>
        <v/>
      </c>
      <c r="J470" s="89">
        <f>IF(I470="","",I470*1700)</f>
        <v/>
      </c>
    </row>
    <row r="471" ht="15" customHeight="1" s="64">
      <c r="I471" s="88">
        <f>IF(H471="Day Pass",5,IF(H471="Half-Day/Evening",3,IF(H471="Monthly Flex (8 days)",30,IF(H471="Monthly Unlimited",60,IF(H471="Dedicated Desk",90,"")))))</f>
        <v/>
      </c>
      <c r="J471" s="89">
        <f>IF(I471="","",I471*1700)</f>
        <v/>
      </c>
    </row>
    <row r="472" ht="15" customHeight="1" s="64">
      <c r="I472" s="88">
        <f>IF(H472="Day Pass",5,IF(H472="Half-Day/Evening",3,IF(H472="Monthly Flex (8 days)",30,IF(H472="Monthly Unlimited",60,IF(H472="Dedicated Desk",90,"")))))</f>
        <v/>
      </c>
      <c r="J472" s="89">
        <f>IF(I472="","",I472*1700)</f>
        <v/>
      </c>
    </row>
    <row r="473" ht="15" customHeight="1" s="64">
      <c r="I473" s="88">
        <f>IF(H473="Day Pass",5,IF(H473="Half-Day/Evening",3,IF(H473="Monthly Flex (8 days)",30,IF(H473="Monthly Unlimited",60,IF(H473="Dedicated Desk",90,"")))))</f>
        <v/>
      </c>
      <c r="J473" s="89">
        <f>IF(I473="","",I473*1700)</f>
        <v/>
      </c>
    </row>
    <row r="474" ht="15" customHeight="1" s="64">
      <c r="I474" s="88">
        <f>IF(H474="Day Pass",5,IF(H474="Half-Day/Evening",3,IF(H474="Monthly Flex (8 days)",30,IF(H474="Monthly Unlimited",60,IF(H474="Dedicated Desk",90,"")))))</f>
        <v/>
      </c>
      <c r="J474" s="89">
        <f>IF(I474="","",I474*1700)</f>
        <v/>
      </c>
    </row>
    <row r="475" ht="15" customHeight="1" s="64">
      <c r="I475" s="88">
        <f>IF(H475="Day Pass",5,IF(H475="Half-Day/Evening",3,IF(H475="Monthly Flex (8 days)",30,IF(H475="Monthly Unlimited",60,IF(H475="Dedicated Desk",90,"")))))</f>
        <v/>
      </c>
      <c r="J475" s="89">
        <f>IF(I475="","",I475*1700)</f>
        <v/>
      </c>
    </row>
    <row r="476" ht="15" customHeight="1" s="64">
      <c r="I476" s="88">
        <f>IF(H476="Day Pass",5,IF(H476="Half-Day/Evening",3,IF(H476="Monthly Flex (8 days)",30,IF(H476="Monthly Unlimited",60,IF(H476="Dedicated Desk",90,"")))))</f>
        <v/>
      </c>
      <c r="J476" s="89">
        <f>IF(I476="","",I476*1700)</f>
        <v/>
      </c>
    </row>
    <row r="477" ht="15" customHeight="1" s="64">
      <c r="I477" s="88">
        <f>IF(H477="Day Pass",5,IF(H477="Half-Day/Evening",3,IF(H477="Monthly Flex (8 days)",30,IF(H477="Monthly Unlimited",60,IF(H477="Dedicated Desk",90,"")))))</f>
        <v/>
      </c>
      <c r="J477" s="89">
        <f>IF(I477="","",I477*1700)</f>
        <v/>
      </c>
    </row>
    <row r="478" ht="15" customHeight="1" s="64">
      <c r="I478" s="88">
        <f>IF(H478="Day Pass",5,IF(H478="Half-Day/Evening",3,IF(H478="Monthly Flex (8 days)",30,IF(H478="Monthly Unlimited",60,IF(H478="Dedicated Desk",90,"")))))</f>
        <v/>
      </c>
      <c r="J478" s="89">
        <f>IF(I478="","",I478*1700)</f>
        <v/>
      </c>
    </row>
    <row r="479" ht="15" customHeight="1" s="64">
      <c r="I479" s="88">
        <f>IF(H479="Day Pass",5,IF(H479="Half-Day/Evening",3,IF(H479="Monthly Flex (8 days)",30,IF(H479="Monthly Unlimited",60,IF(H479="Dedicated Desk",90,"")))))</f>
        <v/>
      </c>
      <c r="J479" s="89">
        <f>IF(I479="","",I479*1700)</f>
        <v/>
      </c>
    </row>
    <row r="480" ht="15" customHeight="1" s="64">
      <c r="I480" s="88">
        <f>IF(H480="Day Pass",5,IF(H480="Half-Day/Evening",3,IF(H480="Monthly Flex (8 days)",30,IF(H480="Monthly Unlimited",60,IF(H480="Dedicated Desk",90,"")))))</f>
        <v/>
      </c>
      <c r="J480" s="89">
        <f>IF(I480="","",I480*1700)</f>
        <v/>
      </c>
    </row>
    <row r="481" ht="15" customHeight="1" s="64">
      <c r="I481" s="88">
        <f>IF(H481="Day Pass",5,IF(H481="Half-Day/Evening",3,IF(H481="Monthly Flex (8 days)",30,IF(H481="Monthly Unlimited",60,IF(H481="Dedicated Desk",90,"")))))</f>
        <v/>
      </c>
      <c r="J481" s="89">
        <f>IF(I481="","",I481*1700)</f>
        <v/>
      </c>
    </row>
    <row r="482" ht="15" customHeight="1" s="64">
      <c r="I482" s="88">
        <f>IF(H482="Day Pass",5,IF(H482="Half-Day/Evening",3,IF(H482="Monthly Flex (8 days)",30,IF(H482="Monthly Unlimited",60,IF(H482="Dedicated Desk",90,"")))))</f>
        <v/>
      </c>
      <c r="J482" s="89">
        <f>IF(I482="","",I482*1700)</f>
        <v/>
      </c>
    </row>
    <row r="483" ht="15" customHeight="1" s="64">
      <c r="I483" s="88">
        <f>IF(H483="Day Pass",5,IF(H483="Half-Day/Evening",3,IF(H483="Monthly Flex (8 days)",30,IF(H483="Monthly Unlimited",60,IF(H483="Dedicated Desk",90,"")))))</f>
        <v/>
      </c>
      <c r="J483" s="89">
        <f>IF(I483="","",I483*1700)</f>
        <v/>
      </c>
    </row>
    <row r="484" ht="15" customHeight="1" s="64">
      <c r="I484" s="88">
        <f>IF(H484="Day Pass",5,IF(H484="Half-Day/Evening",3,IF(H484="Monthly Flex (8 days)",30,IF(H484="Monthly Unlimited",60,IF(H484="Dedicated Desk",90,"")))))</f>
        <v/>
      </c>
      <c r="J484" s="89">
        <f>IF(I484="","",I484*1700)</f>
        <v/>
      </c>
    </row>
    <row r="485" ht="15" customHeight="1" s="64">
      <c r="I485" s="88">
        <f>IF(H485="Day Pass",5,IF(H485="Half-Day/Evening",3,IF(H485="Monthly Flex (8 days)",30,IF(H485="Monthly Unlimited",60,IF(H485="Dedicated Desk",90,"")))))</f>
        <v/>
      </c>
      <c r="J485" s="89">
        <f>IF(I485="","",I485*1700)</f>
        <v/>
      </c>
    </row>
    <row r="486" ht="15" customHeight="1" s="64">
      <c r="I486" s="88">
        <f>IF(H486="Day Pass",5,IF(H486="Half-Day/Evening",3,IF(H486="Monthly Flex (8 days)",30,IF(H486="Monthly Unlimited",60,IF(H486="Dedicated Desk",90,"")))))</f>
        <v/>
      </c>
      <c r="J486" s="89">
        <f>IF(I486="","",I486*1700)</f>
        <v/>
      </c>
    </row>
    <row r="487" ht="15" customHeight="1" s="64">
      <c r="I487" s="88">
        <f>IF(H487="Day Pass",5,IF(H487="Half-Day/Evening",3,IF(H487="Monthly Flex (8 days)",30,IF(H487="Monthly Unlimited",60,IF(H487="Dedicated Desk",90,"")))))</f>
        <v/>
      </c>
      <c r="J487" s="89">
        <f>IF(I487="","",I487*1700)</f>
        <v/>
      </c>
    </row>
    <row r="488" ht="15" customHeight="1" s="64">
      <c r="I488" s="88">
        <f>IF(H488="Day Pass",5,IF(H488="Half-Day/Evening",3,IF(H488="Monthly Flex (8 days)",30,IF(H488="Monthly Unlimited",60,IF(H488="Dedicated Desk",90,"")))))</f>
        <v/>
      </c>
      <c r="J488" s="89">
        <f>IF(I488="","",I488*1700)</f>
        <v/>
      </c>
    </row>
    <row r="489" ht="15" customHeight="1" s="64">
      <c r="I489" s="88">
        <f>IF(H489="Day Pass",5,IF(H489="Half-Day/Evening",3,IF(H489="Monthly Flex (8 days)",30,IF(H489="Monthly Unlimited",60,IF(H489="Dedicated Desk",90,"")))))</f>
        <v/>
      </c>
      <c r="J489" s="89">
        <f>IF(I489="","",I489*1700)</f>
        <v/>
      </c>
    </row>
    <row r="490" ht="15" customHeight="1" s="64">
      <c r="I490" s="88">
        <f>IF(H490="Day Pass",5,IF(H490="Half-Day/Evening",3,IF(H490="Monthly Flex (8 days)",30,IF(H490="Monthly Unlimited",60,IF(H490="Dedicated Desk",90,"")))))</f>
        <v/>
      </c>
      <c r="J490" s="89">
        <f>IF(I490="","",I490*1700)</f>
        <v/>
      </c>
    </row>
    <row r="491" ht="15" customHeight="1" s="64">
      <c r="I491" s="88">
        <f>IF(H491="Day Pass",5,IF(H491="Half-Day/Evening",3,IF(H491="Monthly Flex (8 days)",30,IF(H491="Monthly Unlimited",60,IF(H491="Dedicated Desk",90,"")))))</f>
        <v/>
      </c>
      <c r="J491" s="89">
        <f>IF(I491="","",I491*1700)</f>
        <v/>
      </c>
    </row>
    <row r="492" ht="15" customHeight="1" s="64">
      <c r="I492" s="88">
        <f>IF(H492="Day Pass",5,IF(H492="Half-Day/Evening",3,IF(H492="Monthly Flex (8 days)",30,IF(H492="Monthly Unlimited",60,IF(H492="Dedicated Desk",90,"")))))</f>
        <v/>
      </c>
      <c r="J492" s="89">
        <f>IF(I492="","",I492*1700)</f>
        <v/>
      </c>
    </row>
    <row r="493" ht="15" customHeight="1" s="64">
      <c r="I493" s="88">
        <f>IF(H493="Day Pass",5,IF(H493="Half-Day/Evening",3,IF(H493="Monthly Flex (8 days)",30,IF(H493="Monthly Unlimited",60,IF(H493="Dedicated Desk",90,"")))))</f>
        <v/>
      </c>
      <c r="J493" s="89">
        <f>IF(I493="","",I493*1700)</f>
        <v/>
      </c>
    </row>
    <row r="494" ht="15" customHeight="1" s="64">
      <c r="I494" s="88">
        <f>IF(H494="Day Pass",5,IF(H494="Half-Day/Evening",3,IF(H494="Monthly Flex (8 days)",30,IF(H494="Monthly Unlimited",60,IF(H494="Dedicated Desk",90,"")))))</f>
        <v/>
      </c>
      <c r="J494" s="89">
        <f>IF(I494="","",I494*1700)</f>
        <v/>
      </c>
    </row>
    <row r="495" ht="15" customHeight="1" s="64">
      <c r="I495" s="88">
        <f>IF(H495="Day Pass",5,IF(H495="Half-Day/Evening",3,IF(H495="Monthly Flex (8 days)",30,IF(H495="Monthly Unlimited",60,IF(H495="Dedicated Desk",90,"")))))</f>
        <v/>
      </c>
      <c r="J495" s="89">
        <f>IF(I495="","",I495*1700)</f>
        <v/>
      </c>
    </row>
    <row r="496" ht="15" customHeight="1" s="64">
      <c r="I496" s="88">
        <f>IF(H496="Day Pass",5,IF(H496="Half-Day/Evening",3,IF(H496="Monthly Flex (8 days)",30,IF(H496="Monthly Unlimited",60,IF(H496="Dedicated Desk",90,"")))))</f>
        <v/>
      </c>
      <c r="J496" s="89">
        <f>IF(I496="","",I496*1700)</f>
        <v/>
      </c>
    </row>
    <row r="497" ht="15" customHeight="1" s="64">
      <c r="I497" s="88">
        <f>IF(H497="Day Pass",5,IF(H497="Half-Day/Evening",3,IF(H497="Monthly Flex (8 days)",30,IF(H497="Monthly Unlimited",60,IF(H497="Dedicated Desk",90,"")))))</f>
        <v/>
      </c>
      <c r="J497" s="89">
        <f>IF(I497="","",I497*1700)</f>
        <v/>
      </c>
    </row>
    <row r="498" ht="15" customHeight="1" s="64">
      <c r="I498" s="88">
        <f>IF(H498="Day Pass",5,IF(H498="Half-Day/Evening",3,IF(H498="Monthly Flex (8 days)",30,IF(H498="Monthly Unlimited",60,IF(H498="Dedicated Desk",90,"")))))</f>
        <v/>
      </c>
      <c r="J498" s="89">
        <f>IF(I498="","",I498*1700)</f>
        <v/>
      </c>
    </row>
    <row r="499" ht="15" customHeight="1" s="64">
      <c r="I499" s="88">
        <f>IF(H499="Day Pass",5,IF(H499="Half-Day/Evening",3,IF(H499="Monthly Flex (8 days)",30,IF(H499="Monthly Unlimited",60,IF(H499="Dedicated Desk",90,"")))))</f>
        <v/>
      </c>
      <c r="J499" s="89">
        <f>IF(I499="","",I499*1700)</f>
        <v/>
      </c>
    </row>
    <row r="500" ht="15" customHeight="1" s="64">
      <c r="I500" s="88">
        <f>IF(H500="Day Pass",5,IF(H500="Half-Day/Evening",3,IF(H500="Monthly Flex (8 days)",30,IF(H500="Monthly Unlimited",60,IF(H500="Dedicated Desk",90,"")))))</f>
        <v/>
      </c>
      <c r="J500" s="89">
        <f>IF(I500="","",I500*1700)</f>
        <v/>
      </c>
    </row>
    <row r="501" ht="15" customHeight="1" s="64">
      <c r="I501" s="88">
        <f>IF(H501="Day Pass",5,IF(H501="Half-Day/Evening",3,IF(H501="Monthly Flex (8 days)",30,IF(H501="Monthly Unlimited",60,IF(H501="Dedicated Desk",90,"")))))</f>
        <v/>
      </c>
      <c r="J501" s="89">
        <f>IF(I501="","",I501*1700)</f>
        <v/>
      </c>
    </row>
    <row r="502" ht="15" customHeight="1" s="64">
      <c r="I502" s="88">
        <f>IF(H502="Day Pass",5,IF(H502="Half-Day/Evening",3,IF(H502="Monthly Flex (8 days)",30,IF(H502="Monthly Unlimited",60,IF(H502="Dedicated Desk",90,"")))))</f>
        <v/>
      </c>
      <c r="J502" s="89">
        <f>IF(I502="","",I502*1700)</f>
        <v/>
      </c>
    </row>
    <row r="503" ht="15" customHeight="1" s="64">
      <c r="I503" s="88">
        <f>IF(H503="Day Pass",5,IF(H503="Half-Day/Evening",3,IF(H503="Monthly Flex (8 days)",30,IF(H503="Monthly Unlimited",60,IF(H503="Dedicated Desk",90,"")))))</f>
        <v/>
      </c>
      <c r="J503" s="89">
        <f>IF(I503="","",I503*1700)</f>
        <v/>
      </c>
    </row>
    <row r="504" ht="15" customHeight="1" s="64">
      <c r="I504" s="88">
        <f>IF(H504="Day Pass",5,IF(H504="Half-Day/Evening",3,IF(H504="Monthly Flex (8 days)",30,IF(H504="Monthly Unlimited",60,IF(H504="Dedicated Desk",90,"")))))</f>
        <v/>
      </c>
      <c r="J504" s="89">
        <f>IF(I504="","",I504*1700)</f>
        <v/>
      </c>
    </row>
    <row r="505" ht="15" customHeight="1" s="64">
      <c r="I505" s="88">
        <f>IF(H505="Day Pass",5,IF(H505="Half-Day/Evening",3,IF(H505="Monthly Flex (8 days)",30,IF(H505="Monthly Unlimited",60,IF(H505="Dedicated Desk",90,"")))))</f>
        <v/>
      </c>
      <c r="J505" s="89">
        <f>IF(I505="","",I505*1700)</f>
        <v/>
      </c>
    </row>
  </sheetData>
  <mergeCells count="3">
    <mergeCell ref="A3:N3"/>
    <mergeCell ref="A2:N2"/>
    <mergeCell ref="A1:N1"/>
  </mergeCells>
  <conditionalFormatting sqref="M6:M505">
    <cfRule type="cellIs" rank="0" priority="2" equalAverage="0" operator="equal" aboveAverage="0" dxfId="0" text="" percent="0" bottom="0">
      <formula>"Expired"</formula>
    </cfRule>
    <cfRule type="cellIs" rank="0" priority="3" equalAverage="0" operator="equal" aboveAverage="0" dxfId="1" text="" percent="0" bottom="0">
      <formula>"Active"</formula>
    </cfRule>
    <cfRule type="cellIs" rank="0" priority="4" equalAverage="0" operator="equal" aboveAverage="0" dxfId="2" text="" percent="0" bottom="0">
      <formula>"Suspended"</formula>
    </cfRule>
    <cfRule type="cellIs" rank="0" priority="5" equalAverage="0" operator="equal" aboveAverage="0" dxfId="3" text="" percent="0" bottom="0">
      <formula>"Terminated"</formula>
    </cfRule>
  </conditionalFormatting>
  <conditionalFormatting sqref="O6:O505">
    <cfRule type="cellIs" rank="0" priority="6" equalAverage="0" operator="equal" aboveAverage="0" dxfId="4" text="" percent="0" bottom="0">
      <formula>"Overdue"</formula>
    </cfRule>
    <cfRule type="cellIs" rank="0" priority="7" equalAverage="0" operator="equal" aboveAverage="0" dxfId="1" text="" percent="0" bottom="0">
      <formula>"Paid"</formula>
    </cfRule>
  </conditionalFormatting>
  <dataValidations count="7">
    <dataValidation sqref="H6:H505" showDropDown="0" showInputMessage="0" showErrorMessage="0" allowBlank="1" errorTitle="Invalid Plan" error="Select a valid membership plan | اختر خطة عضوية صحيحة" type="list" errorStyle="stop" operator="between">
      <formula1>"Day Pass,Half-Day/Evening,Monthly Flex (8 days),Monthly Unlimited,Dedicated Desk"</formula1>
      <formula2>0</formula2>
    </dataValidation>
    <dataValidation sqref="M6:M505" showDropDown="0" showInputMessage="0" showErrorMessage="0" allowBlank="1" error="Select a valid status | اختر حالة صحيحة" type="list" errorStyle="stop" operator="between">
      <formula1>"Active,Expired,Suspended,Terminated,Pending"</formula1>
      <formula2>0</formula2>
    </dataValidation>
    <dataValidation sqref="N6:N505" showDropDown="0" showInputMessage="0" showErrorMessage="0" allowBlank="1" type="list" errorStyle="stop" operator="between">
      <formula1>"Cash YER,Cash USD,Bank Transfer,Mobile Payment"</formula1>
      <formula2>0</formula2>
    </dataValidation>
    <dataValidation sqref="O6:O505" showDropDown="0" showInputMessage="0" showErrorMessage="0" allowBlank="1" type="list" errorStyle="stop" operator="between">
      <formula1>"Paid,Pending,Overdue,Refunded,Waived"</formula1>
      <formula2>0</formula2>
    </dataValidation>
    <dataValidation sqref="T6:U505" showDropDown="0" showInputMessage="0" showErrorMessage="0" allowBlank="1" type="list" errorStyle="stop" operator="between">
      <formula1>"Yes,No,Opt-Out"</formula1>
      <formula2>0</formula2>
    </dataValidation>
    <dataValidation sqref="V6:W505" showDropDown="0" showInputMessage="0" showErrorMessage="0" allowBlank="1" type="list" errorStyle="stop" operator="between">
      <formula1>"Yes,No,Pending"</formula1>
      <formula2>0</formula2>
    </dataValidation>
    <dataValidation sqref="C5:C504 Y6:Y505" showDropDown="0" showInputMessage="0" showErrorMessage="0" allowBlank="1" type="list" errorStyle="stop" operator="between">
      <formula1>"Walk-in,Referral,Social Media,Open Doors Day,Event,WhatsApp,Website,University,INGO,Partner,Returning"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19558"/>
    <outlinePr summaryBelow="1" summaryRight="1"/>
    <pageSetUpPr fitToPage="0"/>
  </sheetPr>
  <dimension ref="A1:N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63" min="1" max="1"/>
    <col width="14" customWidth="1" style="63" min="2" max="2"/>
    <col width="22" customWidth="1" style="63" min="3" max="3"/>
    <col width="14" customWidth="1" style="63" min="4" max="4"/>
    <col width="11" customWidth="1" style="63" min="5" max="6"/>
    <col width="10" customWidth="1" style="63" min="7" max="7"/>
    <col width="14" customWidth="1" style="63" min="8" max="8"/>
    <col width="12" customWidth="1" style="63" min="9" max="9"/>
    <col width="18" customWidth="1" style="63" min="10" max="10"/>
    <col width="14" customWidth="1" style="63" min="11" max="12"/>
    <col width="20" customWidth="1" style="63" min="13" max="13"/>
    <col width="14" customWidth="1" style="63" min="14" max="14"/>
  </cols>
  <sheetData>
    <row r="1" ht="17.15" customHeight="1" s="64">
      <c r="A1" s="90" t="inlineStr">
        <is>
          <t>DAILY CHECK-IN LOG  |  سجل تسجيل الدخول اليومي  |  KAY-OPS-MMS-001 Tab 3</t>
        </is>
      </c>
    </row>
    <row r="2" ht="15" customHeight="1" s="64">
      <c r="A2" s="68" t="inlineStr">
        <is>
          <t>PURPOSE: Security (who is in the building at any time) + Utilization (occupancy KPIs) + Community (greet everyone by name)</t>
        </is>
      </c>
    </row>
    <row r="3" ht="15" customHeight="1" s="64">
      <c r="A3" s="79" t="inlineStr">
        <is>
          <t>⚠ LOG EVERY PERSON. No exceptions. Guests must show valid ID at reception. Max 2 guests per member. &gt;2 hours or &gt;2 guests = Day Pass required.</t>
        </is>
      </c>
    </row>
    <row r="4" ht="50.7" customHeight="1" s="64">
      <c r="A4" s="80" t="inlineStr">
        <is>
          <t>Date
التاريخ</t>
        </is>
      </c>
      <c r="B4" s="80" t="inlineStr">
        <is>
          <t>Member ID
رقم العضوية</t>
        </is>
      </c>
      <c r="C4" s="80" t="inlineStr">
        <is>
          <t>Name
الاسم</t>
        </is>
      </c>
      <c r="D4" s="80" t="inlineStr">
        <is>
          <t>Plan Type
نوع العضوية</t>
        </is>
      </c>
      <c r="E4" s="80" t="inlineStr">
        <is>
          <t>Check-In Time
وقت الدخول</t>
        </is>
      </c>
      <c r="F4" s="80" t="inlineStr">
        <is>
          <t>Check-Out Time
وقت الخروج</t>
        </is>
      </c>
      <c r="G4" s="80" t="inlineStr">
        <is>
          <t>Hours
الساعات</t>
        </is>
      </c>
      <c r="H4" s="80" t="inlineStr">
        <is>
          <t>Zone Used
المنطقة</t>
        </is>
      </c>
      <c r="I4" s="80" t="inlineStr">
        <is>
          <t>Guest?
ضيف؟</t>
        </is>
      </c>
      <c r="J4" s="80" t="inlineStr">
        <is>
          <t>Guest Name (if yes)
اسم الضيف</t>
        </is>
      </c>
      <c r="K4" s="80" t="inlineStr">
        <is>
          <t>Guest ID Logged?
هوية الضيف مسجلة؟</t>
        </is>
      </c>
      <c r="L4" s="80" t="inlineStr">
        <is>
          <t>Wi-Fi Voucher #
رقم قسيمة الواي فاي</t>
        </is>
      </c>
      <c r="M4" s="80" t="inlineStr">
        <is>
          <t>Notes
ملاحظات</t>
        </is>
      </c>
      <c r="N4" s="80" t="inlineStr">
        <is>
          <t>Logged By
سُجّل بواسطة</t>
        </is>
      </c>
    </row>
    <row r="5" ht="15" customHeight="1" s="64">
      <c r="A5" s="85" t="inlineStr">
        <is>
          <t>2026-06-01</t>
        </is>
      </c>
      <c r="B5" s="85" t="inlineStr">
        <is>
          <t>KAY-M001</t>
        </is>
      </c>
      <c r="C5" s="85" t="inlineStr">
        <is>
          <t>Nasser Al-Awlaki</t>
        </is>
      </c>
      <c r="D5" s="85" t="inlineStr">
        <is>
          <t>Dedicated Desk</t>
        </is>
      </c>
      <c r="E5" s="85" t="inlineStr">
        <is>
          <t>09:00</t>
        </is>
      </c>
      <c r="F5" s="85" t="inlineStr">
        <is>
          <t>16:00</t>
        </is>
      </c>
      <c r="G5" s="91">
        <f>7</f>
        <v/>
      </c>
      <c r="H5" s="85" t="inlineStr">
        <is>
          <t>Dedicated Desk</t>
        </is>
      </c>
      <c r="I5" s="85" t="inlineStr">
        <is>
          <t>No</t>
        </is>
      </c>
      <c r="J5" s="85" t="n"/>
      <c r="K5" s="85" t="n"/>
      <c r="L5" s="85" t="inlineStr">
        <is>
          <t>WF-003</t>
        </is>
      </c>
      <c r="M5" s="85" t="n"/>
      <c r="N5" s="85" t="n"/>
    </row>
    <row r="6" ht="15" customHeight="1" s="64">
      <c r="A6" s="81" t="inlineStr">
        <is>
          <t>2026-06-01</t>
        </is>
      </c>
      <c r="B6" s="81" t="inlineStr">
        <is>
          <t>KAY-M005</t>
        </is>
      </c>
      <c r="C6" s="81" t="inlineStr">
        <is>
          <t>Khaled Al-Jabri</t>
        </is>
      </c>
      <c r="D6" s="81" t="inlineStr">
        <is>
          <t>Dedicated Desk</t>
        </is>
      </c>
      <c r="E6" s="81" t="inlineStr">
        <is>
          <t>08:00</t>
        </is>
      </c>
      <c r="F6" s="81" t="inlineStr">
        <is>
          <t>14:00</t>
        </is>
      </c>
      <c r="G6" s="92">
        <f>6</f>
        <v/>
      </c>
      <c r="H6" s="81" t="inlineStr">
        <is>
          <t>Meeting Room</t>
        </is>
      </c>
      <c r="I6" s="81" t="inlineStr">
        <is>
          <t>No</t>
        </is>
      </c>
      <c r="J6" s="81" t="n"/>
      <c r="K6" s="81" t="n"/>
      <c r="L6" s="81" t="inlineStr">
        <is>
          <t>WF-003</t>
        </is>
      </c>
      <c r="M6" s="81" t="n"/>
      <c r="N6" s="81" t="n"/>
    </row>
    <row r="7" ht="15" customHeight="1" s="64">
      <c r="A7" s="85" t="inlineStr">
        <is>
          <t>2026-06-01</t>
        </is>
      </c>
      <c r="B7" s="85" t="inlineStr">
        <is>
          <t>KAY-M006</t>
        </is>
      </c>
      <c r="C7" s="85" t="inlineStr">
        <is>
          <t>Samira Ahmed Hassan</t>
        </is>
      </c>
      <c r="D7" s="85" t="inlineStr">
        <is>
          <t>Flex Monthly</t>
        </is>
      </c>
      <c r="E7" s="85" t="inlineStr">
        <is>
          <t>08:30</t>
        </is>
      </c>
      <c r="F7" s="85" t="inlineStr">
        <is>
          <t>18:00</t>
        </is>
      </c>
      <c r="G7" s="91">
        <f>10</f>
        <v/>
      </c>
      <c r="H7" s="85" t="inlineStr">
        <is>
          <t>Dedicated Desk</t>
        </is>
      </c>
      <c r="I7" s="85" t="inlineStr">
        <is>
          <t>No</t>
        </is>
      </c>
      <c r="J7" s="85" t="n"/>
      <c r="K7" s="85" t="n"/>
      <c r="L7" s="85" t="inlineStr">
        <is>
          <t>WF-003</t>
        </is>
      </c>
      <c r="M7" s="85" t="n"/>
      <c r="N7" s="85" t="n"/>
    </row>
    <row r="8" ht="15" customHeight="1" s="64">
      <c r="A8" s="81" t="inlineStr">
        <is>
          <t>2026-06-01</t>
        </is>
      </c>
      <c r="B8" s="81" t="inlineStr">
        <is>
          <t>KAY-M004</t>
        </is>
      </c>
      <c r="C8" s="81" t="inlineStr">
        <is>
          <t>Aisha Mohammed Qassem</t>
        </is>
      </c>
      <c r="D8" s="81" t="inlineStr">
        <is>
          <t>Flex Monthly</t>
        </is>
      </c>
      <c r="E8" s="81" t="inlineStr">
        <is>
          <t>10:00</t>
        </is>
      </c>
      <c r="F8" s="81" t="inlineStr">
        <is>
          <t>18:00</t>
        </is>
      </c>
      <c r="G8" s="92">
        <f>8</f>
        <v/>
      </c>
      <c r="H8" s="81" t="inlineStr">
        <is>
          <t>Dedicated Desk</t>
        </is>
      </c>
      <c r="I8" s="81" t="inlineStr">
        <is>
          <t>No</t>
        </is>
      </c>
      <c r="J8" s="81" t="n"/>
      <c r="K8" s="81" t="n"/>
      <c r="L8" s="81" t="inlineStr">
        <is>
          <t>WF-002</t>
        </is>
      </c>
      <c r="M8" s="81" t="n"/>
      <c r="N8" s="81" t="n"/>
    </row>
    <row r="9" ht="15" customHeight="1" s="64">
      <c r="A9" s="85" t="inlineStr">
        <is>
          <t>2026-06-02</t>
        </is>
      </c>
      <c r="B9" s="85" t="inlineStr">
        <is>
          <t>KAY-M003</t>
        </is>
      </c>
      <c r="C9" s="85" t="inlineStr">
        <is>
          <t>Omar Saeed Bin Laden</t>
        </is>
      </c>
      <c r="D9" s="85" t="inlineStr">
        <is>
          <t>Dedicated Desk</t>
        </is>
      </c>
      <c r="E9" s="85" t="inlineStr">
        <is>
          <t>08:00</t>
        </is>
      </c>
      <c r="F9" s="85" t="inlineStr">
        <is>
          <t>18:00</t>
        </is>
      </c>
      <c r="G9" s="91">
        <f>10</f>
        <v/>
      </c>
      <c r="H9" s="85" t="inlineStr">
        <is>
          <t>Dedicated Desk</t>
        </is>
      </c>
      <c r="I9" s="85" t="inlineStr">
        <is>
          <t>No</t>
        </is>
      </c>
      <c r="J9" s="85" t="n"/>
      <c r="K9" s="85" t="n"/>
      <c r="L9" s="85" t="inlineStr">
        <is>
          <t>WF-002</t>
        </is>
      </c>
      <c r="M9" s="85" t="n"/>
      <c r="N9" s="85" t="n"/>
    </row>
    <row r="10" ht="15" customHeight="1" s="64">
      <c r="A10" s="81" t="inlineStr">
        <is>
          <t>2026-06-02</t>
        </is>
      </c>
      <c r="B10" s="81" t="inlineStr">
        <is>
          <t>KAY-M006</t>
        </is>
      </c>
      <c r="C10" s="81" t="inlineStr">
        <is>
          <t>Samira Ahmed Hassan</t>
        </is>
      </c>
      <c r="D10" s="81" t="inlineStr">
        <is>
          <t>Flex Monthly</t>
        </is>
      </c>
      <c r="E10" s="81" t="inlineStr">
        <is>
          <t>09:30</t>
        </is>
      </c>
      <c r="F10" s="81" t="inlineStr">
        <is>
          <t>16:00</t>
        </is>
      </c>
      <c r="G10" s="92">
        <f>7</f>
        <v/>
      </c>
      <c r="H10" s="81" t="inlineStr">
        <is>
          <t>Open Space</t>
        </is>
      </c>
      <c r="I10" s="81" t="inlineStr">
        <is>
          <t>No</t>
        </is>
      </c>
      <c r="J10" s="81" t="n"/>
      <c r="K10" s="81" t="n"/>
      <c r="L10" s="81" t="inlineStr">
        <is>
          <t>WF-001</t>
        </is>
      </c>
      <c r="M10" s="81" t="n"/>
      <c r="N10" s="81" t="n"/>
    </row>
    <row r="11" ht="15" customHeight="1" s="64">
      <c r="A11" s="85" t="inlineStr">
        <is>
          <t>2026-06-02</t>
        </is>
      </c>
      <c r="B11" s="85" t="inlineStr">
        <is>
          <t>KAY-M005</t>
        </is>
      </c>
      <c r="C11" s="85" t="inlineStr">
        <is>
          <t>Khaled Al-Jabri</t>
        </is>
      </c>
      <c r="D11" s="85" t="inlineStr">
        <is>
          <t>Dedicated Desk</t>
        </is>
      </c>
      <c r="E11" s="85" t="inlineStr">
        <is>
          <t>10:00</t>
        </is>
      </c>
      <c r="F11" s="85" t="inlineStr">
        <is>
          <t>16:00</t>
        </is>
      </c>
      <c r="G11" s="91">
        <f>6</f>
        <v/>
      </c>
      <c r="H11" s="85" t="inlineStr">
        <is>
          <t>Dedicated Desk</t>
        </is>
      </c>
      <c r="I11" s="85" t="inlineStr">
        <is>
          <t>No</t>
        </is>
      </c>
      <c r="J11" s="85" t="n"/>
      <c r="K11" s="85" t="n"/>
      <c r="L11" s="85" t="inlineStr">
        <is>
          <t>WF-002</t>
        </is>
      </c>
      <c r="M11" s="85" t="n"/>
      <c r="N11" s="85" t="n"/>
    </row>
    <row r="12" ht="15" customHeight="1" s="64">
      <c r="A12" s="81" t="inlineStr">
        <is>
          <t>2026-06-02</t>
        </is>
      </c>
      <c r="B12" s="81" t="inlineStr">
        <is>
          <t>KAY-M004</t>
        </is>
      </c>
      <c r="C12" s="81" t="inlineStr">
        <is>
          <t>Aisha Mohammed Qassem</t>
        </is>
      </c>
      <c r="D12" s="81" t="inlineStr">
        <is>
          <t>Flex Monthly</t>
        </is>
      </c>
      <c r="E12" s="81" t="inlineStr">
        <is>
          <t>08:30</t>
        </is>
      </c>
      <c r="F12" s="81" t="inlineStr">
        <is>
          <t>15:00</t>
        </is>
      </c>
      <c r="G12" s="92">
        <f>7</f>
        <v/>
      </c>
      <c r="H12" s="81" t="inlineStr">
        <is>
          <t>Dedicated Desk</t>
        </is>
      </c>
      <c r="I12" s="81" t="inlineStr">
        <is>
          <t>No</t>
        </is>
      </c>
      <c r="J12" s="81" t="n"/>
      <c r="K12" s="81" t="n"/>
      <c r="L12" s="81" t="inlineStr">
        <is>
          <t>WF-001</t>
        </is>
      </c>
      <c r="M12" s="81" t="n"/>
      <c r="N12" s="81" t="n"/>
    </row>
    <row r="13" ht="15" customHeight="1" s="64">
      <c r="A13" s="85" t="inlineStr">
        <is>
          <t>2026-06-02</t>
        </is>
      </c>
      <c r="B13" s="85" t="inlineStr">
        <is>
          <t>KAY-M002</t>
        </is>
      </c>
      <c r="C13" s="85" t="inlineStr">
        <is>
          <t>Fatima Al-Zubairi</t>
        </is>
      </c>
      <c r="D13" s="85" t="inlineStr">
        <is>
          <t>Flex Monthly</t>
        </is>
      </c>
      <c r="E13" s="85" t="inlineStr">
        <is>
          <t>08:00</t>
        </is>
      </c>
      <c r="F13" s="85" t="inlineStr">
        <is>
          <t>16:00</t>
        </is>
      </c>
      <c r="G13" s="91">
        <f>8</f>
        <v/>
      </c>
      <c r="H13" s="85" t="inlineStr">
        <is>
          <t>Dedicated Desk</t>
        </is>
      </c>
      <c r="I13" s="85" t="inlineStr">
        <is>
          <t>No</t>
        </is>
      </c>
      <c r="J13" s="85" t="n"/>
      <c r="K13" s="85" t="n"/>
      <c r="L13" s="85" t="inlineStr">
        <is>
          <t>WF-003</t>
        </is>
      </c>
      <c r="M13" s="85" t="n"/>
      <c r="N13" s="85" t="n"/>
    </row>
    <row r="14" ht="15" customHeight="1" s="64">
      <c r="A14" s="81" t="inlineStr">
        <is>
          <t>2026-06-02</t>
        </is>
      </c>
      <c r="B14" s="81" t="inlineStr">
        <is>
          <t>KAY-M007</t>
        </is>
      </c>
      <c r="C14" s="81" t="inlineStr">
        <is>
          <t>Waleed Nasser</t>
        </is>
      </c>
      <c r="D14" s="81" t="inlineStr">
        <is>
          <t>Flex Monthly</t>
        </is>
      </c>
      <c r="E14" s="81" t="inlineStr">
        <is>
          <t>10:00</t>
        </is>
      </c>
      <c r="F14" s="81" t="inlineStr">
        <is>
          <t>15:00</t>
        </is>
      </c>
      <c r="G14" s="92">
        <f>5</f>
        <v/>
      </c>
      <c r="H14" s="81" t="inlineStr">
        <is>
          <t>Meeting Room</t>
        </is>
      </c>
      <c r="I14" s="81" t="inlineStr">
        <is>
          <t>No</t>
        </is>
      </c>
      <c r="J14" s="81" t="n"/>
      <c r="K14" s="81" t="n"/>
      <c r="L14" s="81" t="inlineStr">
        <is>
          <t>WF-002</t>
        </is>
      </c>
      <c r="M14" s="81" t="n"/>
      <c r="N14" s="81" t="n"/>
    </row>
    <row r="15" ht="15" customHeight="1" s="64">
      <c r="A15" s="85" t="inlineStr">
        <is>
          <t>2026-06-03</t>
        </is>
      </c>
      <c r="B15" s="85" t="inlineStr">
        <is>
          <t>KAY-M003</t>
        </is>
      </c>
      <c r="C15" s="85" t="inlineStr">
        <is>
          <t>Omar Saeed Bin Laden</t>
        </is>
      </c>
      <c r="D15" s="85" t="inlineStr">
        <is>
          <t>Dedicated Desk</t>
        </is>
      </c>
      <c r="E15" s="85" t="inlineStr">
        <is>
          <t>09:30</t>
        </is>
      </c>
      <c r="F15" s="85" t="inlineStr">
        <is>
          <t>18:00</t>
        </is>
      </c>
      <c r="G15" s="91">
        <f>9</f>
        <v/>
      </c>
      <c r="H15" s="85" t="inlineStr">
        <is>
          <t>Open Space</t>
        </is>
      </c>
      <c r="I15" s="85" t="inlineStr">
        <is>
          <t>No</t>
        </is>
      </c>
      <c r="J15" s="85" t="n"/>
      <c r="K15" s="85" t="n"/>
      <c r="L15" s="85" t="inlineStr">
        <is>
          <t>WF-002</t>
        </is>
      </c>
      <c r="M15" s="85" t="n"/>
      <c r="N15" s="85" t="n"/>
    </row>
    <row r="16" ht="15" customHeight="1" s="64">
      <c r="A16" s="81" t="inlineStr">
        <is>
          <t>2026-06-03</t>
        </is>
      </c>
      <c r="B16" s="81" t="inlineStr">
        <is>
          <t>KAY-M002</t>
        </is>
      </c>
      <c r="C16" s="81" t="inlineStr">
        <is>
          <t>Fatima Al-Zubairi</t>
        </is>
      </c>
      <c r="D16" s="81" t="inlineStr">
        <is>
          <t>Flex Monthly</t>
        </is>
      </c>
      <c r="E16" s="81" t="inlineStr">
        <is>
          <t>08:30</t>
        </is>
      </c>
      <c r="F16" s="81" t="inlineStr">
        <is>
          <t>15:00</t>
        </is>
      </c>
      <c r="G16" s="92">
        <f>7</f>
        <v/>
      </c>
      <c r="H16" s="81" t="inlineStr">
        <is>
          <t>Meeting Room</t>
        </is>
      </c>
      <c r="I16" s="81" t="inlineStr">
        <is>
          <t>No</t>
        </is>
      </c>
      <c r="J16" s="81" t="n"/>
      <c r="K16" s="81" t="n"/>
      <c r="L16" s="81" t="inlineStr">
        <is>
          <t>WF-001</t>
        </is>
      </c>
      <c r="M16" s="81" t="n"/>
      <c r="N16" s="81" t="n"/>
    </row>
    <row r="17" ht="15" customHeight="1" s="64">
      <c r="A17" s="85" t="inlineStr">
        <is>
          <t>2026-06-03</t>
        </is>
      </c>
      <c r="B17" s="85" t="inlineStr">
        <is>
          <t>KAY-M001</t>
        </is>
      </c>
      <c r="C17" s="85" t="inlineStr">
        <is>
          <t>Nasser Al-Awlaki</t>
        </is>
      </c>
      <c r="D17" s="85" t="inlineStr">
        <is>
          <t>Dedicated Desk</t>
        </is>
      </c>
      <c r="E17" s="85" t="inlineStr">
        <is>
          <t>09:00</t>
        </is>
      </c>
      <c r="F17" s="85" t="inlineStr">
        <is>
          <t>15:00</t>
        </is>
      </c>
      <c r="G17" s="91">
        <f>6</f>
        <v/>
      </c>
      <c r="H17" s="85" t="inlineStr">
        <is>
          <t>Open Space</t>
        </is>
      </c>
      <c r="I17" s="85" t="inlineStr">
        <is>
          <t>No</t>
        </is>
      </c>
      <c r="J17" s="85" t="n"/>
      <c r="K17" s="85" t="n"/>
      <c r="L17" s="85" t="inlineStr">
        <is>
          <t>WF-002</t>
        </is>
      </c>
      <c r="M17" s="85" t="n"/>
      <c r="N17" s="85" t="n"/>
    </row>
    <row r="18" ht="15" customHeight="1" s="64">
      <c r="A18" s="81" t="inlineStr">
        <is>
          <t>2026-06-04</t>
        </is>
      </c>
      <c r="B18" s="81" t="inlineStr">
        <is>
          <t>KAY-M004</t>
        </is>
      </c>
      <c r="C18" s="81" t="inlineStr">
        <is>
          <t>Aisha Mohammed Qassem</t>
        </is>
      </c>
      <c r="D18" s="81" t="inlineStr">
        <is>
          <t>Flex Monthly</t>
        </is>
      </c>
      <c r="E18" s="81" t="inlineStr">
        <is>
          <t>10:00</t>
        </is>
      </c>
      <c r="F18" s="81" t="inlineStr">
        <is>
          <t>15:00</t>
        </is>
      </c>
      <c r="G18" s="92">
        <f>5</f>
        <v/>
      </c>
      <c r="H18" s="81" t="inlineStr">
        <is>
          <t>Open Space</t>
        </is>
      </c>
      <c r="I18" s="81" t="inlineStr">
        <is>
          <t>No</t>
        </is>
      </c>
      <c r="J18" s="81" t="n"/>
      <c r="K18" s="81" t="n"/>
      <c r="L18" s="81" t="inlineStr">
        <is>
          <t>WF-002</t>
        </is>
      </c>
      <c r="M18" s="81" t="n"/>
      <c r="N18" s="81" t="n"/>
    </row>
    <row r="19" ht="15" customHeight="1" s="64">
      <c r="A19" s="85" t="inlineStr">
        <is>
          <t>2026-06-04</t>
        </is>
      </c>
      <c r="B19" s="85" t="inlineStr">
        <is>
          <t>KAY-M007</t>
        </is>
      </c>
      <c r="C19" s="85" t="inlineStr">
        <is>
          <t>Waleed Nasser</t>
        </is>
      </c>
      <c r="D19" s="85" t="inlineStr">
        <is>
          <t>Flex Monthly</t>
        </is>
      </c>
      <c r="E19" s="85" t="inlineStr">
        <is>
          <t>08:30</t>
        </is>
      </c>
      <c r="F19" s="85" t="inlineStr">
        <is>
          <t>17:00</t>
        </is>
      </c>
      <c r="G19" s="91">
        <f>9</f>
        <v/>
      </c>
      <c r="H19" s="85" t="inlineStr">
        <is>
          <t>Meeting Room</t>
        </is>
      </c>
      <c r="I19" s="85" t="inlineStr">
        <is>
          <t>No</t>
        </is>
      </c>
      <c r="J19" s="85" t="n"/>
      <c r="K19" s="85" t="n"/>
      <c r="L19" s="85" t="inlineStr">
        <is>
          <t>WF-003</t>
        </is>
      </c>
      <c r="M19" s="85" t="n"/>
      <c r="N19" s="85" t="n"/>
    </row>
    <row r="20" ht="15" customHeight="1" s="64">
      <c r="A20" s="81" t="inlineStr">
        <is>
          <t>2026-06-04</t>
        </is>
      </c>
      <c r="B20" s="81" t="inlineStr">
        <is>
          <t>KAY-M002</t>
        </is>
      </c>
      <c r="C20" s="81" t="inlineStr">
        <is>
          <t>Fatima Al-Zubairi</t>
        </is>
      </c>
      <c r="D20" s="81" t="inlineStr">
        <is>
          <t>Flex Monthly</t>
        </is>
      </c>
      <c r="E20" s="81" t="inlineStr">
        <is>
          <t>10:00</t>
        </is>
      </c>
      <c r="F20" s="81" t="inlineStr">
        <is>
          <t>15:00</t>
        </is>
      </c>
      <c r="G20" s="92">
        <f>5</f>
        <v/>
      </c>
      <c r="H20" s="81" t="inlineStr">
        <is>
          <t>Meeting Room</t>
        </is>
      </c>
      <c r="I20" s="81" t="inlineStr">
        <is>
          <t>No</t>
        </is>
      </c>
      <c r="J20" s="81" t="n"/>
      <c r="K20" s="81" t="n"/>
      <c r="L20" s="81" t="inlineStr">
        <is>
          <t>WF-003</t>
        </is>
      </c>
      <c r="M20" s="81" t="n"/>
      <c r="N20" s="81" t="n"/>
    </row>
    <row r="21" ht="15" customHeight="1" s="64">
      <c r="A21" s="85" t="inlineStr">
        <is>
          <t>2026-06-04</t>
        </is>
      </c>
      <c r="B21" s="85" t="inlineStr">
        <is>
          <t>KAY-M005</t>
        </is>
      </c>
      <c r="C21" s="85" t="inlineStr">
        <is>
          <t>Khaled Al-Jabri</t>
        </is>
      </c>
      <c r="D21" s="85" t="inlineStr">
        <is>
          <t>Dedicated Desk</t>
        </is>
      </c>
      <c r="E21" s="85" t="inlineStr">
        <is>
          <t>10:00</t>
        </is>
      </c>
      <c r="F21" s="85" t="inlineStr">
        <is>
          <t>17:00</t>
        </is>
      </c>
      <c r="G21" s="91">
        <f>7</f>
        <v/>
      </c>
      <c r="H21" s="85" t="inlineStr">
        <is>
          <t>Open Space</t>
        </is>
      </c>
      <c r="I21" s="85" t="inlineStr">
        <is>
          <t>No</t>
        </is>
      </c>
      <c r="J21" s="85" t="n"/>
      <c r="K21" s="85" t="n"/>
      <c r="L21" s="85" t="inlineStr">
        <is>
          <t>WF-003</t>
        </is>
      </c>
      <c r="M21" s="85" t="n"/>
      <c r="N21" s="85" t="n"/>
    </row>
    <row r="22" ht="15" customHeight="1" s="64">
      <c r="A22" s="81" t="inlineStr">
        <is>
          <t>2026-06-04</t>
        </is>
      </c>
      <c r="B22" s="81" t="inlineStr">
        <is>
          <t>KAY-M001</t>
        </is>
      </c>
      <c r="C22" s="81" t="inlineStr">
        <is>
          <t>Nasser Al-Awlaki</t>
        </is>
      </c>
      <c r="D22" s="81" t="inlineStr">
        <is>
          <t>Dedicated Desk</t>
        </is>
      </c>
      <c r="E22" s="81" t="inlineStr">
        <is>
          <t>08:30</t>
        </is>
      </c>
      <c r="F22" s="81" t="inlineStr">
        <is>
          <t>16:00</t>
        </is>
      </c>
      <c r="G22" s="92">
        <f>8</f>
        <v/>
      </c>
      <c r="H22" s="81" t="inlineStr">
        <is>
          <t>Dedicated Desk</t>
        </is>
      </c>
      <c r="I22" s="81" t="inlineStr">
        <is>
          <t>No</t>
        </is>
      </c>
      <c r="J22" s="81" t="n"/>
      <c r="K22" s="81" t="n"/>
      <c r="L22" s="81" t="inlineStr">
        <is>
          <t>WF-002</t>
        </is>
      </c>
      <c r="M22" s="81" t="n"/>
      <c r="N22" s="81" t="n"/>
    </row>
    <row r="23" ht="15" customHeight="1" s="64">
      <c r="A23" s="85" t="inlineStr">
        <is>
          <t>2026-06-04</t>
        </is>
      </c>
      <c r="B23" s="85" t="inlineStr">
        <is>
          <t>KAY-M008</t>
        </is>
      </c>
      <c r="C23" s="85" t="inlineStr">
        <is>
          <t>Huda Al-Salahi</t>
        </is>
      </c>
      <c r="D23" s="85" t="inlineStr">
        <is>
          <t>Day Pass Conversion</t>
        </is>
      </c>
      <c r="E23" s="85" t="inlineStr">
        <is>
          <t>08:00</t>
        </is>
      </c>
      <c r="F23" s="85" t="inlineStr">
        <is>
          <t>17:00</t>
        </is>
      </c>
      <c r="G23" s="91">
        <f>9</f>
        <v/>
      </c>
      <c r="H23" s="85" t="inlineStr">
        <is>
          <t>Dedicated Desk</t>
        </is>
      </c>
      <c r="I23" s="85" t="inlineStr">
        <is>
          <t>No</t>
        </is>
      </c>
      <c r="J23" s="85" t="n"/>
      <c r="K23" s="85" t="n"/>
      <c r="L23" s="85" t="inlineStr">
        <is>
          <t>WF-001</t>
        </is>
      </c>
      <c r="M23" s="85" t="n"/>
      <c r="N23" s="85" t="n"/>
    </row>
    <row r="24" ht="15" customHeight="1" s="64">
      <c r="A24" s="81" t="inlineStr">
        <is>
          <t>2026-06-06</t>
        </is>
      </c>
      <c r="B24" s="81" t="inlineStr">
        <is>
          <t>KAY-M003</t>
        </is>
      </c>
      <c r="C24" s="81" t="inlineStr">
        <is>
          <t>Omar Saeed Bin Laden</t>
        </is>
      </c>
      <c r="D24" s="81" t="inlineStr">
        <is>
          <t>Dedicated Desk</t>
        </is>
      </c>
      <c r="E24" s="81" t="inlineStr">
        <is>
          <t>08:00</t>
        </is>
      </c>
      <c r="F24" s="81" t="inlineStr">
        <is>
          <t>15:00</t>
        </is>
      </c>
      <c r="G24" s="92">
        <f>7</f>
        <v/>
      </c>
      <c r="H24" s="81" t="inlineStr">
        <is>
          <t>Dedicated Desk</t>
        </is>
      </c>
      <c r="I24" s="81" t="inlineStr">
        <is>
          <t>No</t>
        </is>
      </c>
      <c r="J24" s="81" t="n"/>
      <c r="K24" s="81" t="n"/>
      <c r="L24" s="81" t="inlineStr">
        <is>
          <t>WF-003</t>
        </is>
      </c>
      <c r="M24" s="81" t="n"/>
      <c r="N24" s="81" t="n"/>
    </row>
    <row r="25" ht="15" customHeight="1" s="64">
      <c r="A25" s="85" t="inlineStr">
        <is>
          <t>2026-06-06</t>
        </is>
      </c>
      <c r="B25" s="85" t="inlineStr">
        <is>
          <t>KAY-M001</t>
        </is>
      </c>
      <c r="C25" s="85" t="inlineStr">
        <is>
          <t>Nasser Al-Awlaki</t>
        </is>
      </c>
      <c r="D25" s="85" t="inlineStr">
        <is>
          <t>Dedicated Desk</t>
        </is>
      </c>
      <c r="E25" s="85" t="inlineStr">
        <is>
          <t>10:00</t>
        </is>
      </c>
      <c r="F25" s="85" t="inlineStr">
        <is>
          <t>18:00</t>
        </is>
      </c>
      <c r="G25" s="91">
        <f>8</f>
        <v/>
      </c>
      <c r="H25" s="85" t="inlineStr">
        <is>
          <t>Dedicated Desk</t>
        </is>
      </c>
      <c r="I25" s="85" t="inlineStr">
        <is>
          <t>No</t>
        </is>
      </c>
      <c r="J25" s="85" t="n"/>
      <c r="K25" s="85" t="n"/>
      <c r="L25" s="85" t="inlineStr">
        <is>
          <t>WF-002</t>
        </is>
      </c>
      <c r="M25" s="85" t="n"/>
      <c r="N25" s="85" t="n"/>
    </row>
    <row r="26" ht="15" customHeight="1" s="64">
      <c r="A26" s="81" t="inlineStr">
        <is>
          <t>2026-06-06</t>
        </is>
      </c>
      <c r="B26" s="81" t="inlineStr">
        <is>
          <t>KAY-M006</t>
        </is>
      </c>
      <c r="C26" s="81" t="inlineStr">
        <is>
          <t>Samira Ahmed Hassan</t>
        </is>
      </c>
      <c r="D26" s="81" t="inlineStr">
        <is>
          <t>Flex Monthly</t>
        </is>
      </c>
      <c r="E26" s="81" t="inlineStr">
        <is>
          <t>08:30</t>
        </is>
      </c>
      <c r="F26" s="81" t="inlineStr">
        <is>
          <t>18:00</t>
        </is>
      </c>
      <c r="G26" s="92">
        <f>10</f>
        <v/>
      </c>
      <c r="H26" s="81" t="inlineStr">
        <is>
          <t>Dedicated Desk</t>
        </is>
      </c>
      <c r="I26" s="81" t="inlineStr">
        <is>
          <t>No</t>
        </is>
      </c>
      <c r="J26" s="81" t="n"/>
      <c r="K26" s="81" t="n"/>
      <c r="L26" s="81" t="inlineStr">
        <is>
          <t>WF-002</t>
        </is>
      </c>
      <c r="M26" s="81" t="n"/>
      <c r="N26" s="81" t="n"/>
    </row>
    <row r="27" ht="15" customHeight="1" s="64">
      <c r="A27" s="85" t="inlineStr">
        <is>
          <t>2026-06-06</t>
        </is>
      </c>
      <c r="B27" s="85" t="inlineStr">
        <is>
          <t>KAY-M007</t>
        </is>
      </c>
      <c r="C27" s="85" t="inlineStr">
        <is>
          <t>Waleed Nasser</t>
        </is>
      </c>
      <c r="D27" s="85" t="inlineStr">
        <is>
          <t>Flex Monthly</t>
        </is>
      </c>
      <c r="E27" s="85" t="inlineStr">
        <is>
          <t>08:00</t>
        </is>
      </c>
      <c r="F27" s="85" t="inlineStr">
        <is>
          <t>18:00</t>
        </is>
      </c>
      <c r="G27" s="91">
        <f>10</f>
        <v/>
      </c>
      <c r="H27" s="85" t="inlineStr">
        <is>
          <t>Meeting Room</t>
        </is>
      </c>
      <c r="I27" s="85" t="inlineStr">
        <is>
          <t>No</t>
        </is>
      </c>
      <c r="J27" s="85" t="n"/>
      <c r="K27" s="85" t="n"/>
      <c r="L27" s="85" t="inlineStr">
        <is>
          <t>WF-001</t>
        </is>
      </c>
      <c r="M27" s="85" t="n"/>
      <c r="N27" s="85" t="n"/>
    </row>
    <row r="28" ht="15" customHeight="1" s="64">
      <c r="A28" s="81" t="inlineStr">
        <is>
          <t>2026-06-06</t>
        </is>
      </c>
      <c r="B28" s="81" t="inlineStr">
        <is>
          <t>KAY-M004</t>
        </is>
      </c>
      <c r="C28" s="81" t="inlineStr">
        <is>
          <t>Aisha Mohammed Qassem</t>
        </is>
      </c>
      <c r="D28" s="81" t="inlineStr">
        <is>
          <t>Flex Monthly</t>
        </is>
      </c>
      <c r="E28" s="81" t="inlineStr">
        <is>
          <t>09:00</t>
        </is>
      </c>
      <c r="F28" s="81" t="inlineStr">
        <is>
          <t>16:00</t>
        </is>
      </c>
      <c r="G28" s="92">
        <f>7</f>
        <v/>
      </c>
      <c r="H28" s="81" t="inlineStr">
        <is>
          <t>Open Space</t>
        </is>
      </c>
      <c r="I28" s="81" t="inlineStr">
        <is>
          <t>No</t>
        </is>
      </c>
      <c r="J28" s="81" t="n"/>
      <c r="K28" s="81" t="n"/>
      <c r="L28" s="81" t="inlineStr">
        <is>
          <t>WF-002</t>
        </is>
      </c>
      <c r="M28" s="81" t="n"/>
      <c r="N28" s="81" t="n"/>
    </row>
    <row r="29" ht="15" customHeight="1" s="64">
      <c r="A29" s="85" t="inlineStr">
        <is>
          <t>2026-06-07</t>
        </is>
      </c>
      <c r="B29" s="85" t="inlineStr">
        <is>
          <t>KAY-M003</t>
        </is>
      </c>
      <c r="C29" s="85" t="inlineStr">
        <is>
          <t>Omar Saeed Bin Laden</t>
        </is>
      </c>
      <c r="D29" s="85" t="inlineStr">
        <is>
          <t>Dedicated Desk</t>
        </is>
      </c>
      <c r="E29" s="85" t="inlineStr">
        <is>
          <t>09:00</t>
        </is>
      </c>
      <c r="F29" s="85" t="inlineStr">
        <is>
          <t>14:00</t>
        </is>
      </c>
      <c r="G29" s="91">
        <f>5</f>
        <v/>
      </c>
      <c r="H29" s="85" t="inlineStr">
        <is>
          <t>Open Space</t>
        </is>
      </c>
      <c r="I29" s="85" t="inlineStr">
        <is>
          <t>No</t>
        </is>
      </c>
      <c r="J29" s="85" t="n"/>
      <c r="K29" s="85" t="n"/>
      <c r="L29" s="85" t="inlineStr">
        <is>
          <t>WF-001</t>
        </is>
      </c>
      <c r="M29" s="85" t="n"/>
      <c r="N29" s="85" t="n"/>
    </row>
    <row r="30" ht="15" customHeight="1" s="64">
      <c r="A30" s="81" t="inlineStr">
        <is>
          <t>2026-06-07</t>
        </is>
      </c>
      <c r="B30" s="81" t="inlineStr">
        <is>
          <t>KAY-M002</t>
        </is>
      </c>
      <c r="C30" s="81" t="inlineStr">
        <is>
          <t>Fatima Al-Zubairi</t>
        </is>
      </c>
      <c r="D30" s="81" t="inlineStr">
        <is>
          <t>Flex Monthly</t>
        </is>
      </c>
      <c r="E30" s="81" t="inlineStr">
        <is>
          <t>08:30</t>
        </is>
      </c>
      <c r="F30" s="81" t="inlineStr">
        <is>
          <t>15:00</t>
        </is>
      </c>
      <c r="G30" s="92">
        <f>7</f>
        <v/>
      </c>
      <c r="H30" s="81" t="inlineStr">
        <is>
          <t>Dedicated Desk</t>
        </is>
      </c>
      <c r="I30" s="81" t="inlineStr">
        <is>
          <t>No</t>
        </is>
      </c>
      <c r="J30" s="81" t="n"/>
      <c r="K30" s="81" t="n"/>
      <c r="L30" s="81" t="inlineStr">
        <is>
          <t>WF-002</t>
        </is>
      </c>
      <c r="M30" s="81" t="n"/>
      <c r="N30" s="81" t="n"/>
    </row>
    <row r="31" ht="15" customHeight="1" s="64">
      <c r="A31" s="85" t="inlineStr">
        <is>
          <t>2026-06-07</t>
        </is>
      </c>
      <c r="B31" s="85" t="inlineStr">
        <is>
          <t>KAY-M001</t>
        </is>
      </c>
      <c r="C31" s="85" t="inlineStr">
        <is>
          <t>Nasser Al-Awlaki</t>
        </is>
      </c>
      <c r="D31" s="85" t="inlineStr">
        <is>
          <t>Dedicated Desk</t>
        </is>
      </c>
      <c r="E31" s="85" t="inlineStr">
        <is>
          <t>08:30</t>
        </is>
      </c>
      <c r="F31" s="85" t="inlineStr">
        <is>
          <t>14:00</t>
        </is>
      </c>
      <c r="G31" s="91">
        <f>6</f>
        <v/>
      </c>
      <c r="H31" s="85" t="inlineStr">
        <is>
          <t>Open Space</t>
        </is>
      </c>
      <c r="I31" s="85" t="inlineStr">
        <is>
          <t>No</t>
        </is>
      </c>
      <c r="J31" s="85" t="n"/>
      <c r="K31" s="85" t="n"/>
      <c r="L31" s="85" t="inlineStr">
        <is>
          <t>WF-003</t>
        </is>
      </c>
      <c r="M31" s="85" t="n"/>
      <c r="N31" s="85" t="n"/>
    </row>
    <row r="32" ht="15" customHeight="1" s="64">
      <c r="A32" s="81" t="inlineStr">
        <is>
          <t>2026-06-08</t>
        </is>
      </c>
      <c r="B32" s="81" t="inlineStr">
        <is>
          <t>KAY-M003</t>
        </is>
      </c>
      <c r="C32" s="81" t="inlineStr">
        <is>
          <t>Omar Saeed Bin Laden</t>
        </is>
      </c>
      <c r="D32" s="81" t="inlineStr">
        <is>
          <t>Dedicated Desk</t>
        </is>
      </c>
      <c r="E32" s="81" t="inlineStr">
        <is>
          <t>10:00</t>
        </is>
      </c>
      <c r="F32" s="81" t="inlineStr">
        <is>
          <t>17:00</t>
        </is>
      </c>
      <c r="G32" s="92">
        <f>7</f>
        <v/>
      </c>
      <c r="H32" s="81" t="inlineStr">
        <is>
          <t>Meeting Room</t>
        </is>
      </c>
      <c r="I32" s="81" t="inlineStr">
        <is>
          <t>No</t>
        </is>
      </c>
      <c r="J32" s="81" t="n"/>
      <c r="K32" s="81" t="n"/>
      <c r="L32" s="81" t="inlineStr">
        <is>
          <t>WF-003</t>
        </is>
      </c>
      <c r="M32" s="81" t="n"/>
      <c r="N32" s="81" t="n"/>
    </row>
    <row r="33" ht="15" customHeight="1" s="64">
      <c r="A33" s="85" t="inlineStr">
        <is>
          <t>2026-06-08</t>
        </is>
      </c>
      <c r="B33" s="85" t="inlineStr">
        <is>
          <t>KAY-M001</t>
        </is>
      </c>
      <c r="C33" s="85" t="inlineStr">
        <is>
          <t>Nasser Al-Awlaki</t>
        </is>
      </c>
      <c r="D33" s="85" t="inlineStr">
        <is>
          <t>Dedicated Desk</t>
        </is>
      </c>
      <c r="E33" s="85" t="inlineStr">
        <is>
          <t>08:00</t>
        </is>
      </c>
      <c r="F33" s="85" t="inlineStr">
        <is>
          <t>17:00</t>
        </is>
      </c>
      <c r="G33" s="91">
        <f>9</f>
        <v/>
      </c>
      <c r="H33" s="85" t="inlineStr">
        <is>
          <t>Dedicated Desk</t>
        </is>
      </c>
      <c r="I33" s="85" t="inlineStr">
        <is>
          <t>No</t>
        </is>
      </c>
      <c r="J33" s="85" t="n"/>
      <c r="K33" s="85" t="n"/>
      <c r="L33" s="85" t="inlineStr">
        <is>
          <t>WF-003</t>
        </is>
      </c>
      <c r="M33" s="85" t="n"/>
      <c r="N33" s="85" t="n"/>
    </row>
    <row r="34" ht="15" customHeight="1" s="64">
      <c r="A34" s="81" t="inlineStr">
        <is>
          <t>2026-06-08</t>
        </is>
      </c>
      <c r="B34" s="81" t="inlineStr">
        <is>
          <t>KAY-M004</t>
        </is>
      </c>
      <c r="C34" s="81" t="inlineStr">
        <is>
          <t>Aisha Mohammed Qassem</t>
        </is>
      </c>
      <c r="D34" s="81" t="inlineStr">
        <is>
          <t>Flex Monthly</t>
        </is>
      </c>
      <c r="E34" s="81" t="inlineStr">
        <is>
          <t>10:00</t>
        </is>
      </c>
      <c r="F34" s="81" t="inlineStr">
        <is>
          <t>15:00</t>
        </is>
      </c>
      <c r="G34" s="92">
        <f>5</f>
        <v/>
      </c>
      <c r="H34" s="81" t="inlineStr">
        <is>
          <t>Open Space</t>
        </is>
      </c>
      <c r="I34" s="81" t="inlineStr">
        <is>
          <t>No</t>
        </is>
      </c>
      <c r="J34" s="81" t="n"/>
      <c r="K34" s="81" t="n"/>
      <c r="L34" s="81" t="inlineStr">
        <is>
          <t>WF-001</t>
        </is>
      </c>
      <c r="M34" s="81" t="n"/>
      <c r="N34" s="81" t="n"/>
    </row>
    <row r="35" ht="15" customHeight="1" s="64">
      <c r="A35" s="85" t="inlineStr">
        <is>
          <t>2026-06-08</t>
        </is>
      </c>
      <c r="B35" s="85" t="inlineStr">
        <is>
          <t>KAY-M006</t>
        </is>
      </c>
      <c r="C35" s="85" t="inlineStr">
        <is>
          <t>Samira Ahmed Hassan</t>
        </is>
      </c>
      <c r="D35" s="85" t="inlineStr">
        <is>
          <t>Flex Monthly</t>
        </is>
      </c>
      <c r="E35" s="85" t="inlineStr">
        <is>
          <t>10:00</t>
        </is>
      </c>
      <c r="F35" s="85" t="inlineStr">
        <is>
          <t>15:00</t>
        </is>
      </c>
      <c r="G35" s="91">
        <f>5</f>
        <v/>
      </c>
      <c r="H35" s="85" t="inlineStr">
        <is>
          <t>Open Space</t>
        </is>
      </c>
      <c r="I35" s="85" t="inlineStr">
        <is>
          <t>No</t>
        </is>
      </c>
      <c r="J35" s="85" t="n"/>
      <c r="K35" s="85" t="n"/>
      <c r="L35" s="85" t="inlineStr">
        <is>
          <t>WF-003</t>
        </is>
      </c>
      <c r="M35" s="85" t="n"/>
      <c r="N35" s="85" t="n"/>
    </row>
    <row r="36" ht="15" customHeight="1" s="64">
      <c r="A36" s="81" t="inlineStr">
        <is>
          <t>2026-06-09</t>
        </is>
      </c>
      <c r="B36" s="81" t="inlineStr">
        <is>
          <t>KAY-M003</t>
        </is>
      </c>
      <c r="C36" s="81" t="inlineStr">
        <is>
          <t>Omar Saeed Bin Laden</t>
        </is>
      </c>
      <c r="D36" s="81" t="inlineStr">
        <is>
          <t>Dedicated Desk</t>
        </is>
      </c>
      <c r="E36" s="81" t="inlineStr">
        <is>
          <t>08:00</t>
        </is>
      </c>
      <c r="F36" s="81" t="inlineStr">
        <is>
          <t>18:00</t>
        </is>
      </c>
      <c r="G36" s="92">
        <f>10</f>
        <v/>
      </c>
      <c r="H36" s="81" t="inlineStr">
        <is>
          <t>Meeting Room</t>
        </is>
      </c>
      <c r="I36" s="81" t="inlineStr">
        <is>
          <t>No</t>
        </is>
      </c>
      <c r="J36" s="81" t="n"/>
      <c r="K36" s="81" t="n"/>
      <c r="L36" s="81" t="inlineStr">
        <is>
          <t>WF-003</t>
        </is>
      </c>
      <c r="M36" s="81" t="n"/>
      <c r="N36" s="81" t="n"/>
    </row>
    <row r="37" ht="15" customHeight="1" s="64">
      <c r="A37" s="85" t="inlineStr">
        <is>
          <t>2026-06-09</t>
        </is>
      </c>
      <c r="B37" s="85" t="inlineStr">
        <is>
          <t>KAY-M001</t>
        </is>
      </c>
      <c r="C37" s="85" t="inlineStr">
        <is>
          <t>Nasser Al-Awlaki</t>
        </is>
      </c>
      <c r="D37" s="85" t="inlineStr">
        <is>
          <t>Dedicated Desk</t>
        </is>
      </c>
      <c r="E37" s="85" t="inlineStr">
        <is>
          <t>09:00</t>
        </is>
      </c>
      <c r="F37" s="85" t="inlineStr">
        <is>
          <t>16:00</t>
        </is>
      </c>
      <c r="G37" s="91">
        <f>7</f>
        <v/>
      </c>
      <c r="H37" s="85" t="inlineStr">
        <is>
          <t>Meeting Room</t>
        </is>
      </c>
      <c r="I37" s="85" t="inlineStr">
        <is>
          <t>No</t>
        </is>
      </c>
      <c r="J37" s="85" t="n"/>
      <c r="K37" s="85" t="n"/>
      <c r="L37" s="85" t="inlineStr">
        <is>
          <t>WF-001</t>
        </is>
      </c>
      <c r="M37" s="85" t="n"/>
      <c r="N37" s="85" t="n"/>
    </row>
    <row r="38" ht="15" customHeight="1" s="64">
      <c r="A38" s="81" t="inlineStr">
        <is>
          <t>2026-06-09</t>
        </is>
      </c>
      <c r="B38" s="81" t="inlineStr">
        <is>
          <t>KAY-M004</t>
        </is>
      </c>
      <c r="C38" s="81" t="inlineStr">
        <is>
          <t>Aisha Mohammed Qassem</t>
        </is>
      </c>
      <c r="D38" s="81" t="inlineStr">
        <is>
          <t>Flex Monthly</t>
        </is>
      </c>
      <c r="E38" s="81" t="inlineStr">
        <is>
          <t>09:00</t>
        </is>
      </c>
      <c r="F38" s="81" t="inlineStr">
        <is>
          <t>17:00</t>
        </is>
      </c>
      <c r="G38" s="92">
        <f>8</f>
        <v/>
      </c>
      <c r="H38" s="81" t="inlineStr">
        <is>
          <t>Open Space</t>
        </is>
      </c>
      <c r="I38" s="81" t="inlineStr">
        <is>
          <t>No</t>
        </is>
      </c>
      <c r="J38" s="81" t="n"/>
      <c r="K38" s="81" t="n"/>
      <c r="L38" s="81" t="inlineStr">
        <is>
          <t>WF-001</t>
        </is>
      </c>
      <c r="M38" s="81" t="n"/>
      <c r="N38" s="81" t="n"/>
    </row>
    <row r="39" ht="15" customHeight="1" s="64">
      <c r="A39" s="85" t="inlineStr">
        <is>
          <t>2026-06-10</t>
        </is>
      </c>
      <c r="B39" s="85" t="inlineStr">
        <is>
          <t>KAY-M004</t>
        </is>
      </c>
      <c r="C39" s="85" t="inlineStr">
        <is>
          <t>Aisha Mohammed Qassem</t>
        </is>
      </c>
      <c r="D39" s="85" t="inlineStr">
        <is>
          <t>Flex Monthly</t>
        </is>
      </c>
      <c r="E39" s="85" t="inlineStr">
        <is>
          <t>09:00</t>
        </is>
      </c>
      <c r="F39" s="85" t="inlineStr">
        <is>
          <t>17:00</t>
        </is>
      </c>
      <c r="G39" s="91">
        <f>8</f>
        <v/>
      </c>
      <c r="H39" s="85" t="inlineStr">
        <is>
          <t>Open Space</t>
        </is>
      </c>
      <c r="I39" s="85" t="inlineStr">
        <is>
          <t>No</t>
        </is>
      </c>
      <c r="J39" s="85" t="n"/>
      <c r="K39" s="85" t="n"/>
      <c r="L39" s="85" t="inlineStr">
        <is>
          <t>WF-001</t>
        </is>
      </c>
      <c r="M39" s="85" t="n"/>
      <c r="N39" s="85" t="n"/>
    </row>
    <row r="40" ht="15" customHeight="1" s="64">
      <c r="A40" s="81" t="inlineStr">
        <is>
          <t>2026-06-10</t>
        </is>
      </c>
      <c r="B40" s="81" t="inlineStr">
        <is>
          <t>KAY-M002</t>
        </is>
      </c>
      <c r="C40" s="81" t="inlineStr">
        <is>
          <t>Fatima Al-Zubairi</t>
        </is>
      </c>
      <c r="D40" s="81" t="inlineStr">
        <is>
          <t>Flex Monthly</t>
        </is>
      </c>
      <c r="E40" s="81" t="inlineStr">
        <is>
          <t>10:00</t>
        </is>
      </c>
      <c r="F40" s="81" t="inlineStr">
        <is>
          <t>16:00</t>
        </is>
      </c>
      <c r="G40" s="92">
        <f>6</f>
        <v/>
      </c>
      <c r="H40" s="81" t="inlineStr">
        <is>
          <t>Open Space</t>
        </is>
      </c>
      <c r="I40" s="81" t="inlineStr">
        <is>
          <t>No</t>
        </is>
      </c>
      <c r="J40" s="81" t="n"/>
      <c r="K40" s="81" t="n"/>
      <c r="L40" s="81" t="inlineStr">
        <is>
          <t>WF-003</t>
        </is>
      </c>
      <c r="M40" s="81" t="n"/>
      <c r="N40" s="81" t="n"/>
    </row>
    <row r="41" ht="15" customHeight="1" s="64">
      <c r="A41" s="85" t="inlineStr">
        <is>
          <t>2026-06-10</t>
        </is>
      </c>
      <c r="B41" s="85" t="inlineStr">
        <is>
          <t>KAY-M001</t>
        </is>
      </c>
      <c r="C41" s="85" t="inlineStr">
        <is>
          <t>Nasser Al-Awlaki</t>
        </is>
      </c>
      <c r="D41" s="85" t="inlineStr">
        <is>
          <t>Dedicated Desk</t>
        </is>
      </c>
      <c r="E41" s="85" t="inlineStr">
        <is>
          <t>08:30</t>
        </is>
      </c>
      <c r="F41" s="85" t="inlineStr">
        <is>
          <t>16:00</t>
        </is>
      </c>
      <c r="G41" s="91">
        <f>8</f>
        <v/>
      </c>
      <c r="H41" s="85" t="inlineStr">
        <is>
          <t>Meeting Room</t>
        </is>
      </c>
      <c r="I41" s="85" t="inlineStr">
        <is>
          <t>No</t>
        </is>
      </c>
      <c r="J41" s="85" t="n"/>
      <c r="K41" s="85" t="n"/>
      <c r="L41" s="85" t="inlineStr">
        <is>
          <t>WF-002</t>
        </is>
      </c>
      <c r="M41" s="85" t="n"/>
      <c r="N41" s="85" t="n"/>
    </row>
    <row r="42" ht="15" customHeight="1" s="64">
      <c r="A42" s="81" t="inlineStr">
        <is>
          <t>2026-06-11</t>
        </is>
      </c>
      <c r="B42" s="81" t="inlineStr">
        <is>
          <t>KAY-M001</t>
        </is>
      </c>
      <c r="C42" s="81" t="inlineStr">
        <is>
          <t>Nasser Al-Awlaki</t>
        </is>
      </c>
      <c r="D42" s="81" t="inlineStr">
        <is>
          <t>Dedicated Desk</t>
        </is>
      </c>
      <c r="E42" s="81" t="inlineStr">
        <is>
          <t>08:00</t>
        </is>
      </c>
      <c r="F42" s="81" t="inlineStr">
        <is>
          <t>16:00</t>
        </is>
      </c>
      <c r="G42" s="92">
        <f>8</f>
        <v/>
      </c>
      <c r="H42" s="81" t="inlineStr">
        <is>
          <t>Open Space</t>
        </is>
      </c>
      <c r="I42" s="81" t="inlineStr">
        <is>
          <t>No</t>
        </is>
      </c>
      <c r="J42" s="81" t="n"/>
      <c r="K42" s="81" t="n"/>
      <c r="L42" s="81" t="inlineStr">
        <is>
          <t>WF-002</t>
        </is>
      </c>
      <c r="M42" s="81" t="n"/>
      <c r="N42" s="81" t="n"/>
    </row>
    <row r="43" ht="15" customHeight="1" s="64">
      <c r="A43" s="85" t="inlineStr">
        <is>
          <t>2026-06-11</t>
        </is>
      </c>
      <c r="B43" s="85" t="inlineStr">
        <is>
          <t>KAY-M004</t>
        </is>
      </c>
      <c r="C43" s="85" t="inlineStr">
        <is>
          <t>Aisha Mohammed Qassem</t>
        </is>
      </c>
      <c r="D43" s="85" t="inlineStr">
        <is>
          <t>Flex Monthly</t>
        </is>
      </c>
      <c r="E43" s="85" t="inlineStr">
        <is>
          <t>08:00</t>
        </is>
      </c>
      <c r="F43" s="85" t="inlineStr">
        <is>
          <t>18:00</t>
        </is>
      </c>
      <c r="G43" s="91">
        <f>10</f>
        <v/>
      </c>
      <c r="H43" s="85" t="inlineStr">
        <is>
          <t>Open Space</t>
        </is>
      </c>
      <c r="I43" s="85" t="inlineStr">
        <is>
          <t>No</t>
        </is>
      </c>
      <c r="J43" s="85" t="n"/>
      <c r="K43" s="85" t="n"/>
      <c r="L43" s="85" t="inlineStr">
        <is>
          <t>WF-001</t>
        </is>
      </c>
      <c r="M43" s="85" t="n"/>
      <c r="N43" s="85" t="n"/>
    </row>
    <row r="44" ht="15" customHeight="1" s="64">
      <c r="A44" s="81" t="inlineStr">
        <is>
          <t>2026-06-11</t>
        </is>
      </c>
      <c r="B44" s="81" t="inlineStr">
        <is>
          <t>KAY-M002</t>
        </is>
      </c>
      <c r="C44" s="81" t="inlineStr">
        <is>
          <t>Fatima Al-Zubairi</t>
        </is>
      </c>
      <c r="D44" s="81" t="inlineStr">
        <is>
          <t>Flex Monthly</t>
        </is>
      </c>
      <c r="E44" s="81" t="inlineStr">
        <is>
          <t>10:00</t>
        </is>
      </c>
      <c r="F44" s="81" t="inlineStr">
        <is>
          <t>14:00</t>
        </is>
      </c>
      <c r="G44" s="92">
        <f>4</f>
        <v/>
      </c>
      <c r="H44" s="81" t="inlineStr">
        <is>
          <t>Open Space</t>
        </is>
      </c>
      <c r="I44" s="81" t="inlineStr">
        <is>
          <t>No</t>
        </is>
      </c>
      <c r="J44" s="81" t="n"/>
      <c r="K44" s="81" t="n"/>
      <c r="L44" s="81" t="inlineStr">
        <is>
          <t>WF-002</t>
        </is>
      </c>
      <c r="M44" s="81" t="n"/>
      <c r="N44" s="81" t="n"/>
    </row>
    <row r="45" ht="15" customHeight="1" s="64">
      <c r="A45" s="85" t="inlineStr">
        <is>
          <t>2026-06-11</t>
        </is>
      </c>
      <c r="B45" s="85" t="inlineStr">
        <is>
          <t>KAY-M008</t>
        </is>
      </c>
      <c r="C45" s="85" t="inlineStr">
        <is>
          <t>Huda Al-Salahi</t>
        </is>
      </c>
      <c r="D45" s="85" t="inlineStr">
        <is>
          <t>Day Pass Conversion</t>
        </is>
      </c>
      <c r="E45" s="85" t="inlineStr">
        <is>
          <t>08:00</t>
        </is>
      </c>
      <c r="F45" s="85" t="inlineStr">
        <is>
          <t>17:00</t>
        </is>
      </c>
      <c r="G45" s="91">
        <f>9</f>
        <v/>
      </c>
      <c r="H45" s="85" t="inlineStr">
        <is>
          <t>Meeting Room</t>
        </is>
      </c>
      <c r="I45" s="85" t="inlineStr">
        <is>
          <t>No</t>
        </is>
      </c>
      <c r="J45" s="85" t="n"/>
      <c r="K45" s="85" t="n"/>
      <c r="L45" s="85" t="inlineStr">
        <is>
          <t>WF-002</t>
        </is>
      </c>
      <c r="M45" s="85" t="n"/>
      <c r="N45" s="85" t="n"/>
    </row>
    <row r="46" ht="15" customHeight="1" s="64">
      <c r="A46" s="81" t="inlineStr">
        <is>
          <t>2026-06-11</t>
        </is>
      </c>
      <c r="B46" s="81" t="inlineStr">
        <is>
          <t>KAY-M003</t>
        </is>
      </c>
      <c r="C46" s="81" t="inlineStr">
        <is>
          <t>Omar Saeed Bin Laden</t>
        </is>
      </c>
      <c r="D46" s="81" t="inlineStr">
        <is>
          <t>Dedicated Desk</t>
        </is>
      </c>
      <c r="E46" s="81" t="inlineStr">
        <is>
          <t>10:00</t>
        </is>
      </c>
      <c r="F46" s="81" t="inlineStr">
        <is>
          <t>16:00</t>
        </is>
      </c>
      <c r="G46" s="92">
        <f>6</f>
        <v/>
      </c>
      <c r="H46" s="81" t="inlineStr">
        <is>
          <t>Meeting Room</t>
        </is>
      </c>
      <c r="I46" s="81" t="inlineStr">
        <is>
          <t>No</t>
        </is>
      </c>
      <c r="J46" s="81" t="n"/>
      <c r="K46" s="81" t="n"/>
      <c r="L46" s="81" t="inlineStr">
        <is>
          <t>WF-002</t>
        </is>
      </c>
      <c r="M46" s="81" t="n"/>
      <c r="N46" s="81" t="n"/>
    </row>
    <row r="47" ht="15" customHeight="1" s="64">
      <c r="A47" s="85" t="inlineStr">
        <is>
          <t>2026-06-11</t>
        </is>
      </c>
      <c r="B47" s="85" t="inlineStr">
        <is>
          <t>KAY-M005</t>
        </is>
      </c>
      <c r="C47" s="85" t="inlineStr">
        <is>
          <t>Khaled Al-Jabri</t>
        </is>
      </c>
      <c r="D47" s="85" t="inlineStr">
        <is>
          <t>Dedicated Desk</t>
        </is>
      </c>
      <c r="E47" s="85" t="inlineStr">
        <is>
          <t>08:00</t>
        </is>
      </c>
      <c r="F47" s="85" t="inlineStr">
        <is>
          <t>14:00</t>
        </is>
      </c>
      <c r="G47" s="91">
        <f>6</f>
        <v/>
      </c>
      <c r="H47" s="85" t="inlineStr">
        <is>
          <t>Open Space</t>
        </is>
      </c>
      <c r="I47" s="85" t="inlineStr">
        <is>
          <t>No</t>
        </is>
      </c>
      <c r="J47" s="85" t="n"/>
      <c r="K47" s="85" t="n"/>
      <c r="L47" s="85" t="inlineStr">
        <is>
          <t>WF-003</t>
        </is>
      </c>
      <c r="M47" s="85" t="n"/>
      <c r="N47" s="85" t="n"/>
    </row>
    <row r="48" ht="15" customHeight="1" s="64">
      <c r="A48" s="81" t="inlineStr">
        <is>
          <t>2026-06-13</t>
        </is>
      </c>
      <c r="B48" s="81" t="inlineStr">
        <is>
          <t>KAY-M003</t>
        </is>
      </c>
      <c r="C48" s="81" t="inlineStr">
        <is>
          <t>Omar Saeed Bin Laden</t>
        </is>
      </c>
      <c r="D48" s="81" t="inlineStr">
        <is>
          <t>Dedicated Desk</t>
        </is>
      </c>
      <c r="E48" s="81" t="inlineStr">
        <is>
          <t>08:00</t>
        </is>
      </c>
      <c r="F48" s="81" t="inlineStr">
        <is>
          <t>16:00</t>
        </is>
      </c>
      <c r="G48" s="92">
        <f>8</f>
        <v/>
      </c>
      <c r="H48" s="81" t="inlineStr">
        <is>
          <t>Open Space</t>
        </is>
      </c>
      <c r="I48" s="81" t="inlineStr">
        <is>
          <t>No</t>
        </is>
      </c>
      <c r="J48" s="81" t="n"/>
      <c r="K48" s="81" t="n"/>
      <c r="L48" s="81" t="inlineStr">
        <is>
          <t>WF-002</t>
        </is>
      </c>
      <c r="M48" s="81" t="n"/>
      <c r="N48" s="81" t="n"/>
    </row>
    <row r="49" ht="15" customHeight="1" s="64">
      <c r="A49" s="85" t="inlineStr">
        <is>
          <t>2026-06-13</t>
        </is>
      </c>
      <c r="B49" s="85" t="inlineStr">
        <is>
          <t>KAY-M005</t>
        </is>
      </c>
      <c r="C49" s="85" t="inlineStr">
        <is>
          <t>Khaled Al-Jabri</t>
        </is>
      </c>
      <c r="D49" s="85" t="inlineStr">
        <is>
          <t>Dedicated Desk</t>
        </is>
      </c>
      <c r="E49" s="85" t="inlineStr">
        <is>
          <t>09:30</t>
        </is>
      </c>
      <c r="F49" s="85" t="inlineStr">
        <is>
          <t>17:00</t>
        </is>
      </c>
      <c r="G49" s="91">
        <f>8</f>
        <v/>
      </c>
      <c r="H49" s="85" t="inlineStr">
        <is>
          <t>Meeting Room</t>
        </is>
      </c>
      <c r="I49" s="85" t="inlineStr">
        <is>
          <t>No</t>
        </is>
      </c>
      <c r="J49" s="85" t="n"/>
      <c r="K49" s="85" t="n"/>
      <c r="L49" s="85" t="inlineStr">
        <is>
          <t>WF-001</t>
        </is>
      </c>
      <c r="M49" s="85" t="n"/>
      <c r="N49" s="85" t="n"/>
    </row>
    <row r="50" ht="15" customHeight="1" s="64">
      <c r="A50" s="81" t="inlineStr">
        <is>
          <t>2026-06-13</t>
        </is>
      </c>
      <c r="B50" s="81" t="inlineStr">
        <is>
          <t>KAY-M001</t>
        </is>
      </c>
      <c r="C50" s="81" t="inlineStr">
        <is>
          <t>Nasser Al-Awlaki</t>
        </is>
      </c>
      <c r="D50" s="81" t="inlineStr">
        <is>
          <t>Dedicated Desk</t>
        </is>
      </c>
      <c r="E50" s="81" t="inlineStr">
        <is>
          <t>09:00</t>
        </is>
      </c>
      <c r="F50" s="81" t="inlineStr">
        <is>
          <t>16:00</t>
        </is>
      </c>
      <c r="G50" s="92">
        <f>7</f>
        <v/>
      </c>
      <c r="H50" s="81" t="inlineStr">
        <is>
          <t>Open Space</t>
        </is>
      </c>
      <c r="I50" s="81" t="inlineStr">
        <is>
          <t>No</t>
        </is>
      </c>
      <c r="J50" s="81" t="n"/>
      <c r="K50" s="81" t="n"/>
      <c r="L50" s="81" t="inlineStr">
        <is>
          <t>WF-003</t>
        </is>
      </c>
      <c r="M50" s="81" t="n"/>
      <c r="N50" s="81" t="n"/>
    </row>
    <row r="51" ht="15" customHeight="1" s="64">
      <c r="A51" s="85" t="inlineStr">
        <is>
          <t>2026-06-13</t>
        </is>
      </c>
      <c r="B51" s="85" t="inlineStr">
        <is>
          <t>KAY-M007</t>
        </is>
      </c>
      <c r="C51" s="85" t="inlineStr">
        <is>
          <t>Waleed Nasser</t>
        </is>
      </c>
      <c r="D51" s="85" t="inlineStr">
        <is>
          <t>Flex Monthly</t>
        </is>
      </c>
      <c r="E51" s="85" t="inlineStr">
        <is>
          <t>09:00</t>
        </is>
      </c>
      <c r="F51" s="85" t="inlineStr">
        <is>
          <t>17:00</t>
        </is>
      </c>
      <c r="G51" s="91">
        <f>8</f>
        <v/>
      </c>
      <c r="H51" s="85" t="inlineStr">
        <is>
          <t>Meeting Room</t>
        </is>
      </c>
      <c r="I51" s="85" t="inlineStr">
        <is>
          <t>No</t>
        </is>
      </c>
      <c r="J51" s="85" t="n"/>
      <c r="K51" s="85" t="n"/>
      <c r="L51" s="85" t="inlineStr">
        <is>
          <t>WF-003</t>
        </is>
      </c>
      <c r="M51" s="85" t="n"/>
      <c r="N51" s="85" t="n"/>
    </row>
    <row r="52" ht="15" customHeight="1" s="64">
      <c r="A52" s="81" t="inlineStr">
        <is>
          <t>2026-06-13</t>
        </is>
      </c>
      <c r="B52" s="81" t="inlineStr">
        <is>
          <t>KAY-M004</t>
        </is>
      </c>
      <c r="C52" s="81" t="inlineStr">
        <is>
          <t>Aisha Mohammed Qassem</t>
        </is>
      </c>
      <c r="D52" s="81" t="inlineStr">
        <is>
          <t>Flex Monthly</t>
        </is>
      </c>
      <c r="E52" s="81" t="inlineStr">
        <is>
          <t>09:00</t>
        </is>
      </c>
      <c r="F52" s="81" t="inlineStr">
        <is>
          <t>17:00</t>
        </is>
      </c>
      <c r="G52" s="92">
        <f>8</f>
        <v/>
      </c>
      <c r="H52" s="81" t="inlineStr">
        <is>
          <t>Dedicated Desk</t>
        </is>
      </c>
      <c r="I52" s="81" t="inlineStr">
        <is>
          <t>No</t>
        </is>
      </c>
      <c r="J52" s="81" t="n"/>
      <c r="K52" s="81" t="n"/>
      <c r="L52" s="81" t="inlineStr">
        <is>
          <t>WF-001</t>
        </is>
      </c>
      <c r="M52" s="81" t="n"/>
      <c r="N52" s="81" t="n"/>
    </row>
    <row r="53" ht="15" customHeight="1" s="64">
      <c r="A53" s="85" t="inlineStr">
        <is>
          <t>2026-06-14</t>
        </is>
      </c>
      <c r="B53" s="85" t="inlineStr">
        <is>
          <t>KAY-M002</t>
        </is>
      </c>
      <c r="C53" s="85" t="inlineStr">
        <is>
          <t>Fatima Al-Zubairi</t>
        </is>
      </c>
      <c r="D53" s="85" t="inlineStr">
        <is>
          <t>Flex Monthly</t>
        </is>
      </c>
      <c r="E53" s="85" t="inlineStr">
        <is>
          <t>10:00</t>
        </is>
      </c>
      <c r="F53" s="85" t="inlineStr">
        <is>
          <t>17:00</t>
        </is>
      </c>
      <c r="G53" s="91">
        <f>7</f>
        <v/>
      </c>
      <c r="H53" s="85" t="inlineStr">
        <is>
          <t>Open Space</t>
        </is>
      </c>
      <c r="I53" s="85" t="inlineStr">
        <is>
          <t>No</t>
        </is>
      </c>
      <c r="J53" s="85" t="n"/>
      <c r="K53" s="85" t="n"/>
      <c r="L53" s="85" t="inlineStr">
        <is>
          <t>WF-003</t>
        </is>
      </c>
      <c r="M53" s="85" t="n"/>
      <c r="N53" s="85" t="n"/>
    </row>
    <row r="54" ht="15" customHeight="1" s="64">
      <c r="A54" s="81" t="inlineStr">
        <is>
          <t>2026-06-14</t>
        </is>
      </c>
      <c r="B54" s="81" t="inlineStr">
        <is>
          <t>KAY-M003</t>
        </is>
      </c>
      <c r="C54" s="81" t="inlineStr">
        <is>
          <t>Omar Saeed Bin Laden</t>
        </is>
      </c>
      <c r="D54" s="81" t="inlineStr">
        <is>
          <t>Dedicated Desk</t>
        </is>
      </c>
      <c r="E54" s="81" t="inlineStr">
        <is>
          <t>10:00</t>
        </is>
      </c>
      <c r="F54" s="81" t="inlineStr">
        <is>
          <t>18:00</t>
        </is>
      </c>
      <c r="G54" s="92">
        <f>8</f>
        <v/>
      </c>
      <c r="H54" s="81" t="inlineStr">
        <is>
          <t>Dedicated Desk</t>
        </is>
      </c>
      <c r="I54" s="81" t="inlineStr">
        <is>
          <t>No</t>
        </is>
      </c>
      <c r="J54" s="81" t="n"/>
      <c r="K54" s="81" t="n"/>
      <c r="L54" s="81" t="inlineStr">
        <is>
          <t>WF-002</t>
        </is>
      </c>
      <c r="M54" s="81" t="n"/>
      <c r="N54" s="81" t="n"/>
    </row>
    <row r="55" ht="15" customHeight="1" s="64">
      <c r="A55" s="63" t="inlineStr">
        <is>
          <t>2026-06-14</t>
        </is>
      </c>
      <c r="B55" s="63" t="inlineStr">
        <is>
          <t>KAY-M006</t>
        </is>
      </c>
      <c r="C55" s="63" t="inlineStr">
        <is>
          <t>Samira Ahmed Hassan</t>
        </is>
      </c>
      <c r="D55" s="63" t="inlineStr">
        <is>
          <t>Flex Monthly</t>
        </is>
      </c>
      <c r="E55" s="63" t="inlineStr">
        <is>
          <t>09:00</t>
        </is>
      </c>
      <c r="F55" s="63" t="inlineStr">
        <is>
          <t>17:00</t>
        </is>
      </c>
      <c r="G55" s="93">
        <f>8</f>
        <v/>
      </c>
      <c r="H55" s="63" t="inlineStr">
        <is>
          <t>Dedicated Desk</t>
        </is>
      </c>
      <c r="I55" s="63" t="inlineStr">
        <is>
          <t>No</t>
        </is>
      </c>
      <c r="L55" s="63" t="inlineStr">
        <is>
          <t>WF-003</t>
        </is>
      </c>
    </row>
    <row r="56" ht="15" customHeight="1" s="64">
      <c r="A56" s="63" t="inlineStr">
        <is>
          <t>2026-06-14</t>
        </is>
      </c>
      <c r="B56" s="63" t="inlineStr">
        <is>
          <t>KAY-M007</t>
        </is>
      </c>
      <c r="C56" s="63" t="inlineStr">
        <is>
          <t>Waleed Nasser</t>
        </is>
      </c>
      <c r="D56" s="63" t="inlineStr">
        <is>
          <t>Flex Monthly</t>
        </is>
      </c>
      <c r="E56" s="63" t="inlineStr">
        <is>
          <t>09:00</t>
        </is>
      </c>
      <c r="F56" s="63" t="inlineStr">
        <is>
          <t>16:00</t>
        </is>
      </c>
      <c r="G56" s="93">
        <f>7</f>
        <v/>
      </c>
      <c r="H56" s="63" t="inlineStr">
        <is>
          <t>Open Space</t>
        </is>
      </c>
      <c r="I56" s="63" t="inlineStr">
        <is>
          <t>No</t>
        </is>
      </c>
      <c r="L56" s="63" t="inlineStr">
        <is>
          <t>WF-003</t>
        </is>
      </c>
    </row>
    <row r="57" ht="15" customHeight="1" s="64">
      <c r="A57" s="63" t="inlineStr">
        <is>
          <t>2026-06-14</t>
        </is>
      </c>
      <c r="B57" s="63" t="inlineStr">
        <is>
          <t>KAY-M004</t>
        </is>
      </c>
      <c r="C57" s="63" t="inlineStr">
        <is>
          <t>Aisha Mohammed Qassem</t>
        </is>
      </c>
      <c r="D57" s="63" t="inlineStr">
        <is>
          <t>Flex Monthly</t>
        </is>
      </c>
      <c r="E57" s="63" t="inlineStr">
        <is>
          <t>09:30</t>
        </is>
      </c>
      <c r="F57" s="63" t="inlineStr">
        <is>
          <t>17:00</t>
        </is>
      </c>
      <c r="G57" s="93">
        <f>8</f>
        <v/>
      </c>
      <c r="H57" s="63" t="inlineStr">
        <is>
          <t>Open Space</t>
        </is>
      </c>
      <c r="I57" s="63" t="inlineStr">
        <is>
          <t>No</t>
        </is>
      </c>
      <c r="L57" s="63" t="inlineStr">
        <is>
          <t>WF-002</t>
        </is>
      </c>
    </row>
    <row r="58" ht="15" customHeight="1" s="64">
      <c r="A58" s="63" t="inlineStr">
        <is>
          <t>2026-06-14</t>
        </is>
      </c>
      <c r="B58" s="63" t="inlineStr">
        <is>
          <t>KAY-M008</t>
        </is>
      </c>
      <c r="C58" s="63" t="inlineStr">
        <is>
          <t>Huda Al-Salahi</t>
        </is>
      </c>
      <c r="D58" s="63" t="inlineStr">
        <is>
          <t>Day Pass Conversion</t>
        </is>
      </c>
      <c r="E58" s="63" t="inlineStr">
        <is>
          <t>10:00</t>
        </is>
      </c>
      <c r="F58" s="63" t="inlineStr">
        <is>
          <t>15:00</t>
        </is>
      </c>
      <c r="G58" s="93">
        <f>5</f>
        <v/>
      </c>
      <c r="H58" s="63" t="inlineStr">
        <is>
          <t>Open Space</t>
        </is>
      </c>
      <c r="I58" s="63" t="inlineStr">
        <is>
          <t>No</t>
        </is>
      </c>
      <c r="L58" s="63" t="inlineStr">
        <is>
          <t>WF-002</t>
        </is>
      </c>
    </row>
    <row r="59" ht="15" customHeight="1" s="64">
      <c r="G59" s="93">
        <f>IF(AND(E59&lt;&gt;"",F59&lt;&gt;""),ROUND((F59-E59)*24,1),"")</f>
        <v/>
      </c>
    </row>
    <row r="60" ht="15" customHeight="1" s="64">
      <c r="G60" s="93">
        <f>IF(AND(E60&lt;&gt;"",F60&lt;&gt;""),ROUND((F60-E60)*24,1),"")</f>
        <v/>
      </c>
    </row>
    <row r="61" ht="15" customHeight="1" s="64">
      <c r="G61" s="93">
        <f>IF(AND(E61&lt;&gt;"",F61&lt;&gt;""),ROUND((F61-E61)*24,1),"")</f>
        <v/>
      </c>
    </row>
    <row r="62" ht="15" customHeight="1" s="64">
      <c r="G62" s="93">
        <f>IF(AND(E62&lt;&gt;"",F62&lt;&gt;""),ROUND((F62-E62)*24,1),"")</f>
        <v/>
      </c>
    </row>
    <row r="63" ht="15" customHeight="1" s="64">
      <c r="G63" s="93">
        <f>IF(AND(E63&lt;&gt;"",F63&lt;&gt;""),ROUND((F63-E63)*24,1),"")</f>
        <v/>
      </c>
    </row>
    <row r="64" ht="15" customHeight="1" s="64">
      <c r="G64" s="93">
        <f>IF(AND(E64&lt;&gt;"",F64&lt;&gt;""),ROUND((F64-E64)*24,1),"")</f>
        <v/>
      </c>
    </row>
    <row r="65" ht="15" customHeight="1" s="64">
      <c r="G65" s="93">
        <f>IF(AND(E65&lt;&gt;"",F65&lt;&gt;""),ROUND((F65-E65)*24,1),"")</f>
        <v/>
      </c>
    </row>
    <row r="66" ht="15" customHeight="1" s="64">
      <c r="G66" s="93">
        <f>IF(AND(E66&lt;&gt;"",F66&lt;&gt;""),ROUND((F66-E66)*24,1),"")</f>
        <v/>
      </c>
    </row>
    <row r="67" ht="15" customHeight="1" s="64">
      <c r="G67" s="93">
        <f>IF(AND(E67&lt;&gt;"",F67&lt;&gt;""),ROUND((F67-E67)*24,1),"")</f>
        <v/>
      </c>
    </row>
    <row r="68" ht="15" customHeight="1" s="64">
      <c r="G68" s="93">
        <f>IF(AND(E68&lt;&gt;"",F68&lt;&gt;""),ROUND((F68-E68)*24,1),"")</f>
        <v/>
      </c>
    </row>
    <row r="69" ht="15" customHeight="1" s="64">
      <c r="G69" s="93">
        <f>IF(AND(E69&lt;&gt;"",F69&lt;&gt;""),ROUND((F69-E69)*24,1),"")</f>
        <v/>
      </c>
    </row>
    <row r="70" ht="15" customHeight="1" s="64">
      <c r="G70" s="93">
        <f>IF(AND(E70&lt;&gt;"",F70&lt;&gt;""),ROUND((F70-E70)*24,1),"")</f>
        <v/>
      </c>
    </row>
    <row r="71" ht="15" customHeight="1" s="64">
      <c r="G71" s="93">
        <f>IF(AND(E71&lt;&gt;"",F71&lt;&gt;""),ROUND((F71-E71)*24,1),"")</f>
        <v/>
      </c>
    </row>
    <row r="72" ht="15" customHeight="1" s="64">
      <c r="G72" s="93">
        <f>IF(AND(E72&lt;&gt;"",F72&lt;&gt;""),ROUND((F72-E72)*24,1),"")</f>
        <v/>
      </c>
    </row>
    <row r="73" ht="15" customHeight="1" s="64">
      <c r="G73" s="93">
        <f>IF(AND(E73&lt;&gt;"",F73&lt;&gt;""),ROUND((F73-E73)*24,1),"")</f>
        <v/>
      </c>
    </row>
    <row r="74" ht="15" customHeight="1" s="64">
      <c r="G74" s="93">
        <f>IF(AND(E74&lt;&gt;"",F74&lt;&gt;""),ROUND((F74-E74)*24,1),"")</f>
        <v/>
      </c>
    </row>
    <row r="75" ht="15" customHeight="1" s="64">
      <c r="G75" s="93">
        <f>IF(AND(E75&lt;&gt;"",F75&lt;&gt;""),ROUND((F75-E75)*24,1),"")</f>
        <v/>
      </c>
    </row>
    <row r="76" ht="15" customHeight="1" s="64">
      <c r="G76" s="93">
        <f>IF(AND(E76&lt;&gt;"",F76&lt;&gt;""),ROUND((F76-E76)*24,1),"")</f>
        <v/>
      </c>
    </row>
    <row r="77" ht="15" customHeight="1" s="64">
      <c r="G77" s="93">
        <f>IF(AND(E77&lt;&gt;"",F77&lt;&gt;""),ROUND((F77-E77)*24,1),"")</f>
        <v/>
      </c>
    </row>
    <row r="78" ht="15" customHeight="1" s="64">
      <c r="G78" s="93">
        <f>IF(AND(E78&lt;&gt;"",F78&lt;&gt;""),ROUND((F78-E78)*24,1),"")</f>
        <v/>
      </c>
    </row>
    <row r="79" ht="15" customHeight="1" s="64">
      <c r="G79" s="93">
        <f>IF(AND(E79&lt;&gt;"",F79&lt;&gt;""),ROUND((F79-E79)*24,1),"")</f>
        <v/>
      </c>
    </row>
    <row r="80" ht="15" customHeight="1" s="64">
      <c r="G80" s="93">
        <f>IF(AND(E80&lt;&gt;"",F80&lt;&gt;""),ROUND((F80-E80)*24,1),"")</f>
        <v/>
      </c>
    </row>
    <row r="81" ht="15" customHeight="1" s="64">
      <c r="G81" s="93">
        <f>IF(AND(E81&lt;&gt;"",F81&lt;&gt;""),ROUND((F81-E81)*24,1),"")</f>
        <v/>
      </c>
    </row>
    <row r="82" ht="15" customHeight="1" s="64">
      <c r="G82" s="93">
        <f>IF(AND(E82&lt;&gt;"",F82&lt;&gt;""),ROUND((F82-E82)*24,1),"")</f>
        <v/>
      </c>
    </row>
    <row r="83" ht="15" customHeight="1" s="64">
      <c r="G83" s="93">
        <f>IF(AND(E83&lt;&gt;"",F83&lt;&gt;""),ROUND((F83-E83)*24,1),"")</f>
        <v/>
      </c>
    </row>
    <row r="84" ht="15" customHeight="1" s="64">
      <c r="G84" s="93">
        <f>IF(AND(E84&lt;&gt;"",F84&lt;&gt;""),ROUND((F84-E84)*24,1),"")</f>
        <v/>
      </c>
    </row>
    <row r="85" ht="15" customHeight="1" s="64">
      <c r="G85" s="93">
        <f>IF(AND(E85&lt;&gt;"",F85&lt;&gt;""),ROUND((F85-E85)*24,1),"")</f>
        <v/>
      </c>
    </row>
    <row r="86" ht="15" customHeight="1" s="64">
      <c r="G86" s="93">
        <f>IF(AND(E86&lt;&gt;"",F86&lt;&gt;""),ROUND((F86-E86)*24,1),"")</f>
        <v/>
      </c>
    </row>
    <row r="87" ht="15" customHeight="1" s="64">
      <c r="G87" s="93">
        <f>IF(AND(E87&lt;&gt;"",F87&lt;&gt;""),ROUND((F87-E87)*24,1),"")</f>
        <v/>
      </c>
    </row>
    <row r="88" ht="15" customHeight="1" s="64">
      <c r="G88" s="93">
        <f>IF(AND(E88&lt;&gt;"",F88&lt;&gt;""),ROUND((F88-E88)*24,1),"")</f>
        <v/>
      </c>
    </row>
    <row r="89" ht="15" customHeight="1" s="64">
      <c r="G89" s="93">
        <f>IF(AND(E89&lt;&gt;"",F89&lt;&gt;""),ROUND((F89-E89)*24,1),"")</f>
        <v/>
      </c>
    </row>
    <row r="90" ht="15" customHeight="1" s="64">
      <c r="G90" s="93">
        <f>IF(AND(E90&lt;&gt;"",F90&lt;&gt;""),ROUND((F90-E90)*24,1),"")</f>
        <v/>
      </c>
    </row>
    <row r="91" ht="15" customHeight="1" s="64">
      <c r="G91" s="93">
        <f>IF(AND(E91&lt;&gt;"",F91&lt;&gt;""),ROUND((F91-E91)*24,1),"")</f>
        <v/>
      </c>
    </row>
    <row r="92" ht="15" customHeight="1" s="64">
      <c r="G92" s="93">
        <f>IF(AND(E92&lt;&gt;"",F92&lt;&gt;""),ROUND((F92-E92)*24,1),"")</f>
        <v/>
      </c>
    </row>
    <row r="93" ht="15" customHeight="1" s="64">
      <c r="G93" s="93">
        <f>IF(AND(E93&lt;&gt;"",F93&lt;&gt;""),ROUND((F93-E93)*24,1),"")</f>
        <v/>
      </c>
    </row>
    <row r="94" ht="15" customHeight="1" s="64">
      <c r="G94" s="93">
        <f>IF(AND(E94&lt;&gt;"",F94&lt;&gt;""),ROUND((F94-E94)*24,1),"")</f>
        <v/>
      </c>
    </row>
    <row r="95" ht="15" customHeight="1" s="64">
      <c r="G95" s="93">
        <f>IF(AND(E95&lt;&gt;"",F95&lt;&gt;""),ROUND((F95-E95)*24,1),"")</f>
        <v/>
      </c>
    </row>
    <row r="96" ht="15" customHeight="1" s="64">
      <c r="G96" s="93">
        <f>IF(AND(E96&lt;&gt;"",F96&lt;&gt;""),ROUND((F96-E96)*24,1),"")</f>
        <v/>
      </c>
    </row>
    <row r="97" ht="15" customHeight="1" s="64">
      <c r="G97" s="93">
        <f>IF(AND(E97&lt;&gt;"",F97&lt;&gt;""),ROUND((F97-E97)*24,1),"")</f>
        <v/>
      </c>
    </row>
    <row r="98" ht="15" customHeight="1" s="64">
      <c r="G98" s="93">
        <f>IF(AND(E98&lt;&gt;"",F98&lt;&gt;""),ROUND((F98-E98)*24,1),"")</f>
        <v/>
      </c>
    </row>
    <row r="99" ht="15" customHeight="1" s="64">
      <c r="G99" s="93">
        <f>IF(AND(E99&lt;&gt;"",F99&lt;&gt;""),ROUND((F99-E99)*24,1),"")</f>
        <v/>
      </c>
    </row>
    <row r="100" ht="15" customHeight="1" s="64">
      <c r="G100" s="93">
        <f>IF(AND(E100&lt;&gt;"",F100&lt;&gt;""),ROUND((F100-E100)*24,1),"")</f>
        <v/>
      </c>
    </row>
    <row r="101" ht="15" customHeight="1" s="64">
      <c r="G101" s="93">
        <f>IF(AND(E101&lt;&gt;"",F101&lt;&gt;""),ROUND((F101-E101)*24,1),"")</f>
        <v/>
      </c>
    </row>
    <row r="102" ht="15" customHeight="1" s="64">
      <c r="G102" s="93">
        <f>IF(AND(E102&lt;&gt;"",F102&lt;&gt;""),ROUND((F102-E102)*24,1),"")</f>
        <v/>
      </c>
    </row>
    <row r="103" ht="15" customHeight="1" s="64">
      <c r="G103" s="93">
        <f>IF(AND(E103&lt;&gt;"",F103&lt;&gt;""),ROUND((F103-E103)*24,1),"")</f>
        <v/>
      </c>
    </row>
    <row r="104" ht="15" customHeight="1" s="64">
      <c r="G104" s="93">
        <f>IF(AND(E104&lt;&gt;"",F104&lt;&gt;""),ROUND((F104-E104)*24,1),"")</f>
        <v/>
      </c>
    </row>
    <row r="105" ht="15" customHeight="1" s="64">
      <c r="G105" s="93">
        <f>IF(AND(E105&lt;&gt;"",F105&lt;&gt;""),ROUND((F105-E105)*24,1),"")</f>
        <v/>
      </c>
    </row>
    <row r="106" ht="15" customHeight="1" s="64">
      <c r="G106" s="93">
        <f>IF(AND(E106&lt;&gt;"",F106&lt;&gt;""),ROUND((F106-E106)*24,1),"")</f>
        <v/>
      </c>
    </row>
    <row r="107" ht="15" customHeight="1" s="64">
      <c r="G107" s="93">
        <f>IF(AND(E107&lt;&gt;"",F107&lt;&gt;""),ROUND((F107-E107)*24,1),"")</f>
        <v/>
      </c>
    </row>
    <row r="108" ht="15" customHeight="1" s="64">
      <c r="G108" s="93">
        <f>IF(AND(E108&lt;&gt;"",F108&lt;&gt;""),ROUND((F108-E108)*24,1),"")</f>
        <v/>
      </c>
    </row>
    <row r="109" ht="15" customHeight="1" s="64">
      <c r="G109" s="93">
        <f>IF(AND(E109&lt;&gt;"",F109&lt;&gt;""),ROUND((F109-E109)*24,1),"")</f>
        <v/>
      </c>
    </row>
    <row r="110" ht="15" customHeight="1" s="64">
      <c r="G110" s="93">
        <f>IF(AND(E110&lt;&gt;"",F110&lt;&gt;""),ROUND((F110-E110)*24,1),"")</f>
        <v/>
      </c>
    </row>
    <row r="111" ht="15" customHeight="1" s="64">
      <c r="G111" s="93">
        <f>IF(AND(E111&lt;&gt;"",F111&lt;&gt;""),ROUND((F111-E111)*24,1),"")</f>
        <v/>
      </c>
    </row>
    <row r="112" ht="15" customHeight="1" s="64">
      <c r="G112" s="93">
        <f>IF(AND(E112&lt;&gt;"",F112&lt;&gt;""),ROUND((F112-E112)*24,1),"")</f>
        <v/>
      </c>
    </row>
    <row r="113" ht="15" customHeight="1" s="64">
      <c r="G113" s="93">
        <f>IF(AND(E113&lt;&gt;"",F113&lt;&gt;""),ROUND((F113-E113)*24,1),"")</f>
        <v/>
      </c>
    </row>
    <row r="114" ht="15" customHeight="1" s="64">
      <c r="G114" s="93">
        <f>IF(AND(E114&lt;&gt;"",F114&lt;&gt;""),ROUND((F114-E114)*24,1),"")</f>
        <v/>
      </c>
    </row>
    <row r="115" ht="15" customHeight="1" s="64">
      <c r="G115" s="93">
        <f>IF(AND(E115&lt;&gt;"",F115&lt;&gt;""),ROUND((F115-E115)*24,1),"")</f>
        <v/>
      </c>
    </row>
    <row r="116" ht="15" customHeight="1" s="64">
      <c r="G116" s="93">
        <f>IF(AND(E116&lt;&gt;"",F116&lt;&gt;""),ROUND((F116-E116)*24,1),"")</f>
        <v/>
      </c>
    </row>
    <row r="117" ht="15" customHeight="1" s="64">
      <c r="G117" s="93">
        <f>IF(AND(E117&lt;&gt;"",F117&lt;&gt;""),ROUND((F117-E117)*24,1),"")</f>
        <v/>
      </c>
    </row>
    <row r="118" ht="15" customHeight="1" s="64">
      <c r="G118" s="93">
        <f>IF(AND(E118&lt;&gt;"",F118&lt;&gt;""),ROUND((F118-E118)*24,1),"")</f>
        <v/>
      </c>
    </row>
    <row r="119" ht="15" customHeight="1" s="64">
      <c r="G119" s="93">
        <f>IF(AND(E119&lt;&gt;"",F119&lt;&gt;""),ROUND((F119-E119)*24,1),"")</f>
        <v/>
      </c>
    </row>
    <row r="120" ht="15" customHeight="1" s="64">
      <c r="G120" s="93">
        <f>IF(AND(E120&lt;&gt;"",F120&lt;&gt;""),ROUND((F120-E120)*24,1),"")</f>
        <v/>
      </c>
    </row>
    <row r="121" ht="15" customHeight="1" s="64">
      <c r="G121" s="93">
        <f>IF(AND(E121&lt;&gt;"",F121&lt;&gt;""),ROUND((F121-E121)*24,1),"")</f>
        <v/>
      </c>
    </row>
    <row r="122" ht="15" customHeight="1" s="64">
      <c r="G122" s="93">
        <f>IF(AND(E122&lt;&gt;"",F122&lt;&gt;""),ROUND((F122-E122)*24,1),"")</f>
        <v/>
      </c>
    </row>
    <row r="123" ht="15" customHeight="1" s="64">
      <c r="G123" s="93">
        <f>IF(AND(E123&lt;&gt;"",F123&lt;&gt;""),ROUND((F123-E123)*24,1),"")</f>
        <v/>
      </c>
    </row>
    <row r="124" ht="15" customHeight="1" s="64">
      <c r="G124" s="93">
        <f>IF(AND(E124&lt;&gt;"",F124&lt;&gt;""),ROUND((F124-E124)*24,1),"")</f>
        <v/>
      </c>
    </row>
    <row r="125" ht="15" customHeight="1" s="64">
      <c r="G125" s="93">
        <f>IF(AND(E125&lt;&gt;"",F125&lt;&gt;""),ROUND((F125-E125)*24,1),"")</f>
        <v/>
      </c>
    </row>
    <row r="126" ht="15" customHeight="1" s="64">
      <c r="G126" s="93">
        <f>IF(AND(E126&lt;&gt;"",F126&lt;&gt;""),ROUND((F126-E126)*24,1),"")</f>
        <v/>
      </c>
    </row>
    <row r="127" ht="15" customHeight="1" s="64">
      <c r="G127" s="93">
        <f>IF(AND(E127&lt;&gt;"",F127&lt;&gt;""),ROUND((F127-E127)*24,1),"")</f>
        <v/>
      </c>
    </row>
    <row r="128" ht="15" customHeight="1" s="64">
      <c r="G128" s="93">
        <f>IF(AND(E128&lt;&gt;"",F128&lt;&gt;""),ROUND((F128-E128)*24,1),"")</f>
        <v/>
      </c>
    </row>
    <row r="129" ht="15" customHeight="1" s="64">
      <c r="G129" s="93">
        <f>IF(AND(E129&lt;&gt;"",F129&lt;&gt;""),ROUND((F129-E129)*24,1),"")</f>
        <v/>
      </c>
    </row>
    <row r="130" ht="15" customHeight="1" s="64">
      <c r="G130" s="93">
        <f>IF(AND(E130&lt;&gt;"",F130&lt;&gt;""),ROUND((F130-E130)*24,1),"")</f>
        <v/>
      </c>
    </row>
    <row r="131" ht="15" customHeight="1" s="64">
      <c r="G131" s="93">
        <f>IF(AND(E131&lt;&gt;"",F131&lt;&gt;""),ROUND((F131-E131)*24,1),"")</f>
        <v/>
      </c>
    </row>
    <row r="132" ht="15" customHeight="1" s="64">
      <c r="G132" s="93">
        <f>IF(AND(E132&lt;&gt;"",F132&lt;&gt;""),ROUND((F132-E132)*24,1),"")</f>
        <v/>
      </c>
    </row>
    <row r="133" ht="15" customHeight="1" s="64">
      <c r="G133" s="93">
        <f>IF(AND(E133&lt;&gt;"",F133&lt;&gt;""),ROUND((F133-E133)*24,1),"")</f>
        <v/>
      </c>
    </row>
    <row r="134" ht="15" customHeight="1" s="64">
      <c r="G134" s="93">
        <f>IF(AND(E134&lt;&gt;"",F134&lt;&gt;""),ROUND((F134-E134)*24,1),"")</f>
        <v/>
      </c>
    </row>
    <row r="135" ht="15" customHeight="1" s="64">
      <c r="G135" s="93">
        <f>IF(AND(E135&lt;&gt;"",F135&lt;&gt;""),ROUND((F135-E135)*24,1),"")</f>
        <v/>
      </c>
    </row>
    <row r="136" ht="15" customHeight="1" s="64">
      <c r="G136" s="93">
        <f>IF(AND(E136&lt;&gt;"",F136&lt;&gt;""),ROUND((F136-E136)*24,1),"")</f>
        <v/>
      </c>
    </row>
    <row r="137" ht="15" customHeight="1" s="64">
      <c r="G137" s="93">
        <f>IF(AND(E137&lt;&gt;"",F137&lt;&gt;""),ROUND((F137-E137)*24,1),"")</f>
        <v/>
      </c>
    </row>
    <row r="138" ht="15" customHeight="1" s="64">
      <c r="G138" s="93">
        <f>IF(AND(E138&lt;&gt;"",F138&lt;&gt;""),ROUND((F138-E138)*24,1),"")</f>
        <v/>
      </c>
    </row>
    <row r="139" ht="15" customHeight="1" s="64">
      <c r="G139" s="93">
        <f>IF(AND(E139&lt;&gt;"",F139&lt;&gt;""),ROUND((F139-E139)*24,1),"")</f>
        <v/>
      </c>
    </row>
    <row r="140" ht="15" customHeight="1" s="64">
      <c r="G140" s="93">
        <f>IF(AND(E140&lt;&gt;"",F140&lt;&gt;""),ROUND((F140-E140)*24,1),"")</f>
        <v/>
      </c>
    </row>
    <row r="141" ht="15" customHeight="1" s="64">
      <c r="G141" s="93">
        <f>IF(AND(E141&lt;&gt;"",F141&lt;&gt;""),ROUND((F141-E141)*24,1),"")</f>
        <v/>
      </c>
    </row>
    <row r="142" ht="15" customHeight="1" s="64">
      <c r="G142" s="93">
        <f>IF(AND(E142&lt;&gt;"",F142&lt;&gt;""),ROUND((F142-E142)*24,1),"")</f>
        <v/>
      </c>
    </row>
    <row r="143" ht="15" customHeight="1" s="64">
      <c r="G143" s="93">
        <f>IF(AND(E143&lt;&gt;"",F143&lt;&gt;""),ROUND((F143-E143)*24,1),"")</f>
        <v/>
      </c>
    </row>
    <row r="144" ht="15" customHeight="1" s="64">
      <c r="G144" s="93">
        <f>IF(AND(E144&lt;&gt;"",F144&lt;&gt;""),ROUND((F144-E144)*24,1),"")</f>
        <v/>
      </c>
    </row>
    <row r="145" ht="15" customHeight="1" s="64">
      <c r="G145" s="93">
        <f>IF(AND(E145&lt;&gt;"",F145&lt;&gt;""),ROUND((F145-E145)*24,1),"")</f>
        <v/>
      </c>
    </row>
    <row r="146" ht="15" customHeight="1" s="64">
      <c r="G146" s="93">
        <f>IF(AND(E146&lt;&gt;"",F146&lt;&gt;""),ROUND((F146-E146)*24,1),"")</f>
        <v/>
      </c>
    </row>
    <row r="147" ht="15" customHeight="1" s="64">
      <c r="G147" s="93">
        <f>IF(AND(E147&lt;&gt;"",F147&lt;&gt;""),ROUND((F147-E147)*24,1),"")</f>
        <v/>
      </c>
    </row>
    <row r="148" ht="15" customHeight="1" s="64">
      <c r="G148" s="93">
        <f>IF(AND(E148&lt;&gt;"",F148&lt;&gt;""),ROUND((F148-E148)*24,1),"")</f>
        <v/>
      </c>
    </row>
    <row r="149" ht="15" customHeight="1" s="64">
      <c r="G149" s="93">
        <f>IF(AND(E149&lt;&gt;"",F149&lt;&gt;""),ROUND((F149-E149)*24,1),"")</f>
        <v/>
      </c>
    </row>
    <row r="150" ht="15" customHeight="1" s="64">
      <c r="G150" s="93">
        <f>IF(AND(E150&lt;&gt;"",F150&lt;&gt;""),ROUND((F150-E150)*24,1),"")</f>
        <v/>
      </c>
    </row>
    <row r="151" ht="15" customHeight="1" s="64">
      <c r="G151" s="93">
        <f>IF(AND(E151&lt;&gt;"",F151&lt;&gt;""),ROUND((F151-E151)*24,1),"")</f>
        <v/>
      </c>
    </row>
    <row r="152" ht="15" customHeight="1" s="64">
      <c r="G152" s="93">
        <f>IF(AND(E152&lt;&gt;"",F152&lt;&gt;""),ROUND((F152-E152)*24,1),"")</f>
        <v/>
      </c>
    </row>
    <row r="153" ht="15" customHeight="1" s="64">
      <c r="G153" s="93">
        <f>IF(AND(E153&lt;&gt;"",F153&lt;&gt;""),ROUND((F153-E153)*24,1),"")</f>
        <v/>
      </c>
    </row>
    <row r="154" ht="15" customHeight="1" s="64">
      <c r="G154" s="93">
        <f>IF(AND(E154&lt;&gt;"",F154&lt;&gt;""),ROUND((F154-E154)*24,1),"")</f>
        <v/>
      </c>
    </row>
    <row r="155" ht="15" customHeight="1" s="64">
      <c r="G155" s="93">
        <f>IF(AND(E155&lt;&gt;"",F155&lt;&gt;""),ROUND((F155-E155)*24,1),"")</f>
        <v/>
      </c>
    </row>
    <row r="156" ht="15" customHeight="1" s="64">
      <c r="G156" s="93">
        <f>IF(AND(E156&lt;&gt;"",F156&lt;&gt;""),ROUND((F156-E156)*24,1),"")</f>
        <v/>
      </c>
    </row>
    <row r="157" ht="15" customHeight="1" s="64">
      <c r="G157" s="93">
        <f>IF(AND(E157&lt;&gt;"",F157&lt;&gt;""),ROUND((F157-E157)*24,1),"")</f>
        <v/>
      </c>
    </row>
    <row r="158" ht="15" customHeight="1" s="64">
      <c r="G158" s="93">
        <f>IF(AND(E158&lt;&gt;"",F158&lt;&gt;""),ROUND((F158-E158)*24,1),"")</f>
        <v/>
      </c>
    </row>
    <row r="159" ht="15" customHeight="1" s="64">
      <c r="G159" s="93">
        <f>IF(AND(E159&lt;&gt;"",F159&lt;&gt;""),ROUND((F159-E159)*24,1),"")</f>
        <v/>
      </c>
    </row>
    <row r="160" ht="15" customHeight="1" s="64">
      <c r="G160" s="93">
        <f>IF(AND(E160&lt;&gt;"",F160&lt;&gt;""),ROUND((F160-E160)*24,1),"")</f>
        <v/>
      </c>
    </row>
    <row r="161" ht="15" customHeight="1" s="64">
      <c r="G161" s="93">
        <f>IF(AND(E161&lt;&gt;"",F161&lt;&gt;""),ROUND((F161-E161)*24,1),"")</f>
        <v/>
      </c>
    </row>
    <row r="162" ht="15" customHeight="1" s="64">
      <c r="G162" s="93">
        <f>IF(AND(E162&lt;&gt;"",F162&lt;&gt;""),ROUND((F162-E162)*24,1),"")</f>
        <v/>
      </c>
    </row>
    <row r="163" ht="15" customHeight="1" s="64">
      <c r="G163" s="93">
        <f>IF(AND(E163&lt;&gt;"",F163&lt;&gt;""),ROUND((F163-E163)*24,1),"")</f>
        <v/>
      </c>
    </row>
    <row r="164" ht="15" customHeight="1" s="64">
      <c r="G164" s="93">
        <f>IF(AND(E164&lt;&gt;"",F164&lt;&gt;""),ROUND((F164-E164)*24,1),"")</f>
        <v/>
      </c>
    </row>
    <row r="165" ht="15" customHeight="1" s="64">
      <c r="G165" s="93">
        <f>IF(AND(E165&lt;&gt;"",F165&lt;&gt;""),ROUND((F165-E165)*24,1),"")</f>
        <v/>
      </c>
    </row>
    <row r="166" ht="15" customHeight="1" s="64">
      <c r="G166" s="93">
        <f>IF(AND(E166&lt;&gt;"",F166&lt;&gt;""),ROUND((F166-E166)*24,1),"")</f>
        <v/>
      </c>
    </row>
    <row r="167" ht="15" customHeight="1" s="64">
      <c r="G167" s="93">
        <f>IF(AND(E167&lt;&gt;"",F167&lt;&gt;""),ROUND((F167-E167)*24,1),"")</f>
        <v/>
      </c>
    </row>
    <row r="168" ht="15" customHeight="1" s="64">
      <c r="G168" s="93">
        <f>IF(AND(E168&lt;&gt;"",F168&lt;&gt;""),ROUND((F168-E168)*24,1),"")</f>
        <v/>
      </c>
    </row>
    <row r="169" ht="15" customHeight="1" s="64">
      <c r="G169" s="93">
        <f>IF(AND(E169&lt;&gt;"",F169&lt;&gt;""),ROUND((F169-E169)*24,1),"")</f>
        <v/>
      </c>
    </row>
    <row r="170" ht="15" customHeight="1" s="64">
      <c r="G170" s="93">
        <f>IF(AND(E170&lt;&gt;"",F170&lt;&gt;""),ROUND((F170-E170)*24,1),"")</f>
        <v/>
      </c>
    </row>
    <row r="171" ht="15" customHeight="1" s="64">
      <c r="G171" s="93">
        <f>IF(AND(E171&lt;&gt;"",F171&lt;&gt;""),ROUND((F171-E171)*24,1),"")</f>
        <v/>
      </c>
    </row>
    <row r="172" ht="15" customHeight="1" s="64">
      <c r="G172" s="93">
        <f>IF(AND(E172&lt;&gt;"",F172&lt;&gt;""),ROUND((F172-E172)*24,1),"")</f>
        <v/>
      </c>
    </row>
    <row r="173" ht="15" customHeight="1" s="64">
      <c r="G173" s="93">
        <f>IF(AND(E173&lt;&gt;"",F173&lt;&gt;""),ROUND((F173-E173)*24,1),"")</f>
        <v/>
      </c>
    </row>
    <row r="174" ht="15" customHeight="1" s="64">
      <c r="G174" s="93">
        <f>IF(AND(E174&lt;&gt;"",F174&lt;&gt;""),ROUND((F174-E174)*24,1),"")</f>
        <v/>
      </c>
    </row>
    <row r="175" ht="15" customHeight="1" s="64">
      <c r="G175" s="93">
        <f>IF(AND(E175&lt;&gt;"",F175&lt;&gt;""),ROUND((F175-E175)*24,1),"")</f>
        <v/>
      </c>
    </row>
    <row r="176" ht="15" customHeight="1" s="64">
      <c r="G176" s="93">
        <f>IF(AND(E176&lt;&gt;"",F176&lt;&gt;""),ROUND((F176-E176)*24,1),"")</f>
        <v/>
      </c>
    </row>
    <row r="177" ht="15" customHeight="1" s="64">
      <c r="G177" s="93">
        <f>IF(AND(E177&lt;&gt;"",F177&lt;&gt;""),ROUND((F177-E177)*24,1),"")</f>
        <v/>
      </c>
    </row>
    <row r="178" ht="15" customHeight="1" s="64">
      <c r="G178" s="93">
        <f>IF(AND(E178&lt;&gt;"",F178&lt;&gt;""),ROUND((F178-E178)*24,1),"")</f>
        <v/>
      </c>
    </row>
    <row r="179" ht="15" customHeight="1" s="64">
      <c r="G179" s="93">
        <f>IF(AND(E179&lt;&gt;"",F179&lt;&gt;""),ROUND((F179-E179)*24,1),"")</f>
        <v/>
      </c>
    </row>
    <row r="180" ht="15" customHeight="1" s="64">
      <c r="G180" s="93">
        <f>IF(AND(E180&lt;&gt;"",F180&lt;&gt;""),ROUND((F180-E180)*24,1),"")</f>
        <v/>
      </c>
    </row>
    <row r="181" ht="15" customHeight="1" s="64">
      <c r="G181" s="93">
        <f>IF(AND(E181&lt;&gt;"",F181&lt;&gt;""),ROUND((F181-E181)*24,1),"")</f>
        <v/>
      </c>
    </row>
    <row r="182" ht="15" customHeight="1" s="64">
      <c r="G182" s="93">
        <f>IF(AND(E182&lt;&gt;"",F182&lt;&gt;""),ROUND((F182-E182)*24,1),"")</f>
        <v/>
      </c>
    </row>
    <row r="183" ht="15" customHeight="1" s="64">
      <c r="G183" s="93">
        <f>IF(AND(E183&lt;&gt;"",F183&lt;&gt;""),ROUND((F183-E183)*24,1),"")</f>
        <v/>
      </c>
    </row>
    <row r="184" ht="15" customHeight="1" s="64">
      <c r="G184" s="93">
        <f>IF(AND(E184&lt;&gt;"",F184&lt;&gt;""),ROUND((F184-E184)*24,1),"")</f>
        <v/>
      </c>
    </row>
    <row r="185" ht="15" customHeight="1" s="64">
      <c r="G185" s="93">
        <f>IF(AND(E185&lt;&gt;"",F185&lt;&gt;""),ROUND((F185-E185)*24,1),"")</f>
        <v/>
      </c>
    </row>
    <row r="186" ht="15" customHeight="1" s="64">
      <c r="G186" s="93">
        <f>IF(AND(E186&lt;&gt;"",F186&lt;&gt;""),ROUND((F186-E186)*24,1),"")</f>
        <v/>
      </c>
    </row>
    <row r="187" ht="15" customHeight="1" s="64">
      <c r="G187" s="93">
        <f>IF(AND(E187&lt;&gt;"",F187&lt;&gt;""),ROUND((F187-E187)*24,1),"")</f>
        <v/>
      </c>
    </row>
    <row r="188" ht="15" customHeight="1" s="64">
      <c r="G188" s="93">
        <f>IF(AND(E188&lt;&gt;"",F188&lt;&gt;""),ROUND((F188-E188)*24,1),"")</f>
        <v/>
      </c>
    </row>
    <row r="189" ht="15" customHeight="1" s="64">
      <c r="G189" s="93">
        <f>IF(AND(E189&lt;&gt;"",F189&lt;&gt;""),ROUND((F189-E189)*24,1),"")</f>
        <v/>
      </c>
    </row>
    <row r="190" ht="15" customHeight="1" s="64">
      <c r="G190" s="93">
        <f>IF(AND(E190&lt;&gt;"",F190&lt;&gt;""),ROUND((F190-E190)*24,1),"")</f>
        <v/>
      </c>
    </row>
    <row r="191" ht="15" customHeight="1" s="64">
      <c r="G191" s="93">
        <f>IF(AND(E191&lt;&gt;"",F191&lt;&gt;""),ROUND((F191-E191)*24,1),"")</f>
        <v/>
      </c>
    </row>
    <row r="192" ht="15" customHeight="1" s="64">
      <c r="G192" s="93">
        <f>IF(AND(E192&lt;&gt;"",F192&lt;&gt;""),ROUND((F192-E192)*24,1),"")</f>
        <v/>
      </c>
    </row>
    <row r="193" ht="15" customHeight="1" s="64">
      <c r="G193" s="93">
        <f>IF(AND(E193&lt;&gt;"",F193&lt;&gt;""),ROUND((F193-E193)*24,1),"")</f>
        <v/>
      </c>
    </row>
    <row r="194" ht="15" customHeight="1" s="64">
      <c r="G194" s="93">
        <f>IF(AND(E194&lt;&gt;"",F194&lt;&gt;""),ROUND((F194-E194)*24,1),"")</f>
        <v/>
      </c>
    </row>
    <row r="195" ht="15" customHeight="1" s="64">
      <c r="G195" s="93">
        <f>IF(AND(E195&lt;&gt;"",F195&lt;&gt;""),ROUND((F195-E195)*24,1),"")</f>
        <v/>
      </c>
    </row>
    <row r="196" ht="15" customHeight="1" s="64">
      <c r="G196" s="93">
        <f>IF(AND(E196&lt;&gt;"",F196&lt;&gt;""),ROUND((F196-E196)*24,1),"")</f>
        <v/>
      </c>
    </row>
    <row r="197" ht="15" customHeight="1" s="64">
      <c r="G197" s="93">
        <f>IF(AND(E197&lt;&gt;"",F197&lt;&gt;""),ROUND((F197-E197)*24,1),"")</f>
        <v/>
      </c>
    </row>
    <row r="198" ht="15" customHeight="1" s="64">
      <c r="G198" s="93">
        <f>IF(AND(E198&lt;&gt;"",F198&lt;&gt;""),ROUND((F198-E198)*24,1),"")</f>
        <v/>
      </c>
    </row>
    <row r="199" ht="15" customHeight="1" s="64">
      <c r="G199" s="93">
        <f>IF(AND(E199&lt;&gt;"",F199&lt;&gt;""),ROUND((F199-E199)*24,1),"")</f>
        <v/>
      </c>
    </row>
    <row r="200" ht="15" customHeight="1" s="64">
      <c r="G200" s="93">
        <f>IF(AND(E200&lt;&gt;"",F200&lt;&gt;""),ROUND((F200-E200)*24,1),"")</f>
        <v/>
      </c>
    </row>
    <row r="201" ht="15" customHeight="1" s="64">
      <c r="G201" s="93">
        <f>IF(AND(E201&lt;&gt;"",F201&lt;&gt;""),ROUND((F201-E201)*24,1),"")</f>
        <v/>
      </c>
    </row>
    <row r="202" ht="15" customHeight="1" s="64">
      <c r="G202" s="93">
        <f>IF(AND(E202&lt;&gt;"",F202&lt;&gt;""),ROUND((F202-E202)*24,1),"")</f>
        <v/>
      </c>
    </row>
    <row r="203" ht="15" customHeight="1" s="64">
      <c r="G203" s="93">
        <f>IF(AND(E203&lt;&gt;"",F203&lt;&gt;""),ROUND((F203-E203)*24,1),"")</f>
        <v/>
      </c>
    </row>
    <row r="204" ht="15" customHeight="1" s="64">
      <c r="G204" s="93">
        <f>IF(AND(E204&lt;&gt;"",F204&lt;&gt;""),ROUND((F204-E204)*24,1),"")</f>
        <v/>
      </c>
    </row>
    <row r="205" ht="15" customHeight="1" s="64">
      <c r="G205" s="93">
        <f>IF(AND(E205&lt;&gt;"",F205&lt;&gt;""),ROUND((F205-E205)*24,1),"")</f>
        <v/>
      </c>
    </row>
    <row r="206" ht="15" customHeight="1" s="64">
      <c r="G206" s="93">
        <f>IF(AND(E206&lt;&gt;"",F206&lt;&gt;""),ROUND((F206-E206)*24,1),"")</f>
        <v/>
      </c>
    </row>
    <row r="207" ht="15" customHeight="1" s="64">
      <c r="G207" s="93">
        <f>IF(AND(E207&lt;&gt;"",F207&lt;&gt;""),ROUND((F207-E207)*24,1),"")</f>
        <v/>
      </c>
    </row>
    <row r="208" ht="15" customHeight="1" s="64">
      <c r="G208" s="93">
        <f>IF(AND(E208&lt;&gt;"",F208&lt;&gt;""),ROUND((F208-E208)*24,1),"")</f>
        <v/>
      </c>
    </row>
    <row r="209" ht="15" customHeight="1" s="64">
      <c r="G209" s="93">
        <f>IF(AND(E209&lt;&gt;"",F209&lt;&gt;""),ROUND((F209-E209)*24,1),"")</f>
        <v/>
      </c>
    </row>
    <row r="210" ht="15" customHeight="1" s="64">
      <c r="G210" s="93">
        <f>IF(AND(E210&lt;&gt;"",F210&lt;&gt;""),ROUND((F210-E210)*24,1),"")</f>
        <v/>
      </c>
    </row>
    <row r="211" ht="15" customHeight="1" s="64">
      <c r="G211" s="93">
        <f>IF(AND(E211&lt;&gt;"",F211&lt;&gt;""),ROUND((F211-E211)*24,1),"")</f>
        <v/>
      </c>
    </row>
    <row r="212" ht="15" customHeight="1" s="64">
      <c r="G212" s="93">
        <f>IF(AND(E212&lt;&gt;"",F212&lt;&gt;""),ROUND((F212-E212)*24,1),"")</f>
        <v/>
      </c>
    </row>
    <row r="213" ht="15" customHeight="1" s="64">
      <c r="G213" s="93">
        <f>IF(AND(E213&lt;&gt;"",F213&lt;&gt;""),ROUND((F213-E213)*24,1),"")</f>
        <v/>
      </c>
    </row>
    <row r="214" ht="15" customHeight="1" s="64">
      <c r="G214" s="93">
        <f>IF(AND(E214&lt;&gt;"",F214&lt;&gt;""),ROUND((F214-E214)*24,1),"")</f>
        <v/>
      </c>
    </row>
    <row r="215" ht="15" customHeight="1" s="64">
      <c r="G215" s="93">
        <f>IF(AND(E215&lt;&gt;"",F215&lt;&gt;""),ROUND((F215-E215)*24,1),"")</f>
        <v/>
      </c>
    </row>
    <row r="216" ht="15" customHeight="1" s="64">
      <c r="G216" s="93">
        <f>IF(AND(E216&lt;&gt;"",F216&lt;&gt;""),ROUND((F216-E216)*24,1),"")</f>
        <v/>
      </c>
    </row>
    <row r="217" ht="15" customHeight="1" s="64">
      <c r="G217" s="93">
        <f>IF(AND(E217&lt;&gt;"",F217&lt;&gt;""),ROUND((F217-E217)*24,1),"")</f>
        <v/>
      </c>
    </row>
    <row r="218" ht="15" customHeight="1" s="64">
      <c r="G218" s="93">
        <f>IF(AND(E218&lt;&gt;"",F218&lt;&gt;""),ROUND((F218-E218)*24,1),"")</f>
        <v/>
      </c>
    </row>
    <row r="219" ht="15" customHeight="1" s="64">
      <c r="G219" s="93">
        <f>IF(AND(E219&lt;&gt;"",F219&lt;&gt;""),ROUND((F219-E219)*24,1),"")</f>
        <v/>
      </c>
    </row>
    <row r="220" ht="15" customHeight="1" s="64">
      <c r="G220" s="93">
        <f>IF(AND(E220&lt;&gt;"",F220&lt;&gt;""),ROUND((F220-E220)*24,1),"")</f>
        <v/>
      </c>
    </row>
    <row r="221" ht="15" customHeight="1" s="64">
      <c r="G221" s="93">
        <f>IF(AND(E221&lt;&gt;"",F221&lt;&gt;""),ROUND((F221-E221)*24,1),"")</f>
        <v/>
      </c>
    </row>
    <row r="222" ht="15" customHeight="1" s="64">
      <c r="G222" s="93">
        <f>IF(AND(E222&lt;&gt;"",F222&lt;&gt;""),ROUND((F222-E222)*24,1),"")</f>
        <v/>
      </c>
    </row>
    <row r="223" ht="15" customHeight="1" s="64">
      <c r="G223" s="93">
        <f>IF(AND(E223&lt;&gt;"",F223&lt;&gt;""),ROUND((F223-E223)*24,1),"")</f>
        <v/>
      </c>
    </row>
    <row r="224" ht="15" customHeight="1" s="64">
      <c r="G224" s="93">
        <f>IF(AND(E224&lt;&gt;"",F224&lt;&gt;""),ROUND((F224-E224)*24,1),"")</f>
        <v/>
      </c>
    </row>
    <row r="225" ht="15" customHeight="1" s="64">
      <c r="G225" s="93">
        <f>IF(AND(E225&lt;&gt;"",F225&lt;&gt;""),ROUND((F225-E225)*24,1),"")</f>
        <v/>
      </c>
    </row>
    <row r="226" ht="15" customHeight="1" s="64">
      <c r="G226" s="93">
        <f>IF(AND(E226&lt;&gt;"",F226&lt;&gt;""),ROUND((F226-E226)*24,1),"")</f>
        <v/>
      </c>
    </row>
    <row r="227" ht="15" customHeight="1" s="64">
      <c r="G227" s="93">
        <f>IF(AND(E227&lt;&gt;"",F227&lt;&gt;""),ROUND((F227-E227)*24,1),"")</f>
        <v/>
      </c>
    </row>
    <row r="228" ht="15" customHeight="1" s="64">
      <c r="G228" s="93">
        <f>IF(AND(E228&lt;&gt;"",F228&lt;&gt;""),ROUND((F228-E228)*24,1),"")</f>
        <v/>
      </c>
    </row>
    <row r="229" ht="15" customHeight="1" s="64">
      <c r="G229" s="93">
        <f>IF(AND(E229&lt;&gt;"",F229&lt;&gt;""),ROUND((F229-E229)*24,1),"")</f>
        <v/>
      </c>
    </row>
    <row r="230" ht="15" customHeight="1" s="64">
      <c r="G230" s="93">
        <f>IF(AND(E230&lt;&gt;"",F230&lt;&gt;""),ROUND((F230-E230)*24,1),"")</f>
        <v/>
      </c>
    </row>
    <row r="231" ht="15" customHeight="1" s="64">
      <c r="G231" s="93">
        <f>IF(AND(E231&lt;&gt;"",F231&lt;&gt;""),ROUND((F231-E231)*24,1),"")</f>
        <v/>
      </c>
    </row>
    <row r="232" ht="15" customHeight="1" s="64">
      <c r="G232" s="93">
        <f>IF(AND(E232&lt;&gt;"",F232&lt;&gt;""),ROUND((F232-E232)*24,1),"")</f>
        <v/>
      </c>
    </row>
    <row r="233" ht="15" customHeight="1" s="64">
      <c r="G233" s="93">
        <f>IF(AND(E233&lt;&gt;"",F233&lt;&gt;""),ROUND((F233-E233)*24,1),"")</f>
        <v/>
      </c>
    </row>
    <row r="234" ht="15" customHeight="1" s="64">
      <c r="G234" s="93">
        <f>IF(AND(E234&lt;&gt;"",F234&lt;&gt;""),ROUND((F234-E234)*24,1),"")</f>
        <v/>
      </c>
    </row>
    <row r="235" ht="15" customHeight="1" s="64">
      <c r="G235" s="93">
        <f>IF(AND(E235&lt;&gt;"",F235&lt;&gt;""),ROUND((F235-E235)*24,1),"")</f>
        <v/>
      </c>
    </row>
    <row r="236" ht="15" customHeight="1" s="64">
      <c r="G236" s="93">
        <f>IF(AND(E236&lt;&gt;"",F236&lt;&gt;""),ROUND((F236-E236)*24,1),"")</f>
        <v/>
      </c>
    </row>
    <row r="237" ht="15" customHeight="1" s="64">
      <c r="G237" s="93">
        <f>IF(AND(E237&lt;&gt;"",F237&lt;&gt;""),ROUND((F237-E237)*24,1),"")</f>
        <v/>
      </c>
    </row>
    <row r="238" ht="15" customHeight="1" s="64">
      <c r="G238" s="93">
        <f>IF(AND(E238&lt;&gt;"",F238&lt;&gt;""),ROUND((F238-E238)*24,1),"")</f>
        <v/>
      </c>
    </row>
    <row r="239" ht="15" customHeight="1" s="64">
      <c r="G239" s="93">
        <f>IF(AND(E239&lt;&gt;"",F239&lt;&gt;""),ROUND((F239-E239)*24,1),"")</f>
        <v/>
      </c>
    </row>
    <row r="240" ht="15" customHeight="1" s="64">
      <c r="G240" s="93">
        <f>IF(AND(E240&lt;&gt;"",F240&lt;&gt;""),ROUND((F240-E240)*24,1),"")</f>
        <v/>
      </c>
    </row>
    <row r="241" ht="15" customHeight="1" s="64">
      <c r="G241" s="93">
        <f>IF(AND(E241&lt;&gt;"",F241&lt;&gt;""),ROUND((F241-E241)*24,1),"")</f>
        <v/>
      </c>
    </row>
    <row r="242" ht="15" customHeight="1" s="64">
      <c r="G242" s="93">
        <f>IF(AND(E242&lt;&gt;"",F242&lt;&gt;""),ROUND((F242-E242)*24,1),"")</f>
        <v/>
      </c>
    </row>
    <row r="243" ht="15" customHeight="1" s="64">
      <c r="G243" s="93">
        <f>IF(AND(E243&lt;&gt;"",F243&lt;&gt;""),ROUND((F243-E243)*24,1),"")</f>
        <v/>
      </c>
    </row>
    <row r="244" ht="15" customHeight="1" s="64">
      <c r="G244" s="93">
        <f>IF(AND(E244&lt;&gt;"",F244&lt;&gt;""),ROUND((F244-E244)*24,1),"")</f>
        <v/>
      </c>
    </row>
    <row r="245" ht="15" customHeight="1" s="64">
      <c r="G245" s="93">
        <f>IF(AND(E245&lt;&gt;"",F245&lt;&gt;""),ROUND((F245-E245)*24,1),"")</f>
        <v/>
      </c>
    </row>
    <row r="246" ht="15" customHeight="1" s="64">
      <c r="G246" s="93">
        <f>IF(AND(E246&lt;&gt;"",F246&lt;&gt;""),ROUND((F246-E246)*24,1),"")</f>
        <v/>
      </c>
    </row>
    <row r="247" ht="15" customHeight="1" s="64">
      <c r="G247" s="93">
        <f>IF(AND(E247&lt;&gt;"",F247&lt;&gt;""),ROUND((F247-E247)*24,1),"")</f>
        <v/>
      </c>
    </row>
    <row r="248" ht="15" customHeight="1" s="64">
      <c r="G248" s="93">
        <f>IF(AND(E248&lt;&gt;"",F248&lt;&gt;""),ROUND((F248-E248)*24,1),"")</f>
        <v/>
      </c>
    </row>
    <row r="249" ht="15" customHeight="1" s="64">
      <c r="G249" s="93">
        <f>IF(AND(E249&lt;&gt;"",F249&lt;&gt;""),ROUND((F249-E249)*24,1),"")</f>
        <v/>
      </c>
    </row>
    <row r="250" ht="15" customHeight="1" s="64">
      <c r="G250" s="93">
        <f>IF(AND(E250&lt;&gt;"",F250&lt;&gt;""),ROUND((F250-E250)*24,1),"")</f>
        <v/>
      </c>
    </row>
    <row r="251" ht="15" customHeight="1" s="64">
      <c r="G251" s="93">
        <f>IF(AND(E251&lt;&gt;"",F251&lt;&gt;""),ROUND((F251-E251)*24,1),"")</f>
        <v/>
      </c>
    </row>
    <row r="252" ht="15" customHeight="1" s="64">
      <c r="G252" s="93">
        <f>IF(AND(E252&lt;&gt;"",F252&lt;&gt;""),ROUND((F252-E252)*24,1),"")</f>
        <v/>
      </c>
    </row>
    <row r="253" ht="15" customHeight="1" s="64">
      <c r="G253" s="93">
        <f>IF(AND(E253&lt;&gt;"",F253&lt;&gt;""),ROUND((F253-E253)*24,1),"")</f>
        <v/>
      </c>
    </row>
    <row r="254" ht="15" customHeight="1" s="64">
      <c r="G254" s="93">
        <f>IF(AND(E254&lt;&gt;"",F254&lt;&gt;""),ROUND((F254-E254)*24,1),"")</f>
        <v/>
      </c>
    </row>
    <row r="255" ht="15" customHeight="1" s="64">
      <c r="G255" s="93">
        <f>IF(AND(E255&lt;&gt;"",F255&lt;&gt;""),ROUND((F255-E255)*24,1),"")</f>
        <v/>
      </c>
    </row>
    <row r="256" ht="15" customHeight="1" s="64">
      <c r="G256" s="93">
        <f>IF(AND(E256&lt;&gt;"",F256&lt;&gt;""),ROUND((F256-E256)*24,1),"")</f>
        <v/>
      </c>
    </row>
    <row r="257" ht="15" customHeight="1" s="64">
      <c r="G257" s="93">
        <f>IF(AND(E257&lt;&gt;"",F257&lt;&gt;""),ROUND((F257-E257)*24,1),"")</f>
        <v/>
      </c>
    </row>
    <row r="258" ht="15" customHeight="1" s="64">
      <c r="G258" s="93">
        <f>IF(AND(E258&lt;&gt;"",F258&lt;&gt;""),ROUND((F258-E258)*24,1),"")</f>
        <v/>
      </c>
    </row>
    <row r="259" ht="15" customHeight="1" s="64">
      <c r="G259" s="93">
        <f>IF(AND(E259&lt;&gt;"",F259&lt;&gt;""),ROUND((F259-E259)*24,1),"")</f>
        <v/>
      </c>
    </row>
    <row r="260" ht="15" customHeight="1" s="64">
      <c r="G260" s="93">
        <f>IF(AND(E260&lt;&gt;"",F260&lt;&gt;""),ROUND((F260-E260)*24,1),"")</f>
        <v/>
      </c>
    </row>
    <row r="261" ht="15" customHeight="1" s="64">
      <c r="G261" s="93">
        <f>IF(AND(E261&lt;&gt;"",F261&lt;&gt;""),ROUND((F261-E261)*24,1),"")</f>
        <v/>
      </c>
    </row>
    <row r="262" ht="15" customHeight="1" s="64">
      <c r="G262" s="93">
        <f>IF(AND(E262&lt;&gt;"",F262&lt;&gt;""),ROUND((F262-E262)*24,1),"")</f>
        <v/>
      </c>
    </row>
    <row r="263" ht="15" customHeight="1" s="64">
      <c r="G263" s="93">
        <f>IF(AND(E263&lt;&gt;"",F263&lt;&gt;""),ROUND((F263-E263)*24,1),"")</f>
        <v/>
      </c>
    </row>
    <row r="264" ht="15" customHeight="1" s="64">
      <c r="G264" s="93">
        <f>IF(AND(E264&lt;&gt;"",F264&lt;&gt;""),ROUND((F264-E264)*24,1),"")</f>
        <v/>
      </c>
    </row>
    <row r="265" ht="15" customHeight="1" s="64">
      <c r="G265" s="93">
        <f>IF(AND(E265&lt;&gt;"",F265&lt;&gt;""),ROUND((F265-E265)*24,1),"")</f>
        <v/>
      </c>
    </row>
    <row r="266" ht="15" customHeight="1" s="64">
      <c r="G266" s="93">
        <f>IF(AND(E266&lt;&gt;"",F266&lt;&gt;""),ROUND((F266-E266)*24,1),"")</f>
        <v/>
      </c>
    </row>
    <row r="267" ht="15" customHeight="1" s="64">
      <c r="G267" s="93">
        <f>IF(AND(E267&lt;&gt;"",F267&lt;&gt;""),ROUND((F267-E267)*24,1),"")</f>
        <v/>
      </c>
    </row>
    <row r="268" ht="15" customHeight="1" s="64">
      <c r="G268" s="93">
        <f>IF(AND(E268&lt;&gt;"",F268&lt;&gt;""),ROUND((F268-E268)*24,1),"")</f>
        <v/>
      </c>
    </row>
    <row r="269" ht="15" customHeight="1" s="64">
      <c r="G269" s="93">
        <f>IF(AND(E269&lt;&gt;"",F269&lt;&gt;""),ROUND((F269-E269)*24,1),"")</f>
        <v/>
      </c>
    </row>
    <row r="270" ht="15" customHeight="1" s="64">
      <c r="G270" s="93">
        <f>IF(AND(E270&lt;&gt;"",F270&lt;&gt;""),ROUND((F270-E270)*24,1),"")</f>
        <v/>
      </c>
    </row>
    <row r="271" ht="15" customHeight="1" s="64">
      <c r="G271" s="93">
        <f>IF(AND(E271&lt;&gt;"",F271&lt;&gt;""),ROUND((F271-E271)*24,1),"")</f>
        <v/>
      </c>
    </row>
    <row r="272" ht="15" customHeight="1" s="64">
      <c r="G272" s="93">
        <f>IF(AND(E272&lt;&gt;"",F272&lt;&gt;""),ROUND((F272-E272)*24,1),"")</f>
        <v/>
      </c>
    </row>
    <row r="273" ht="15" customHeight="1" s="64">
      <c r="G273" s="93">
        <f>IF(AND(E273&lt;&gt;"",F273&lt;&gt;""),ROUND((F273-E273)*24,1),"")</f>
        <v/>
      </c>
    </row>
    <row r="274" ht="15" customHeight="1" s="64">
      <c r="G274" s="93">
        <f>IF(AND(E274&lt;&gt;"",F274&lt;&gt;""),ROUND((F274-E274)*24,1),"")</f>
        <v/>
      </c>
    </row>
    <row r="275" ht="15" customHeight="1" s="64">
      <c r="G275" s="93">
        <f>IF(AND(E275&lt;&gt;"",F275&lt;&gt;""),ROUND((F275-E275)*24,1),"")</f>
        <v/>
      </c>
    </row>
    <row r="276" ht="15" customHeight="1" s="64">
      <c r="G276" s="93">
        <f>IF(AND(E276&lt;&gt;"",F276&lt;&gt;""),ROUND((F276-E276)*24,1),"")</f>
        <v/>
      </c>
    </row>
    <row r="277" ht="15" customHeight="1" s="64">
      <c r="G277" s="93">
        <f>IF(AND(E277&lt;&gt;"",F277&lt;&gt;""),ROUND((F277-E277)*24,1),"")</f>
        <v/>
      </c>
    </row>
    <row r="278" ht="15" customHeight="1" s="64">
      <c r="G278" s="93">
        <f>IF(AND(E278&lt;&gt;"",F278&lt;&gt;""),ROUND((F278-E278)*24,1),"")</f>
        <v/>
      </c>
    </row>
    <row r="279" ht="15" customHeight="1" s="64">
      <c r="G279" s="93">
        <f>IF(AND(E279&lt;&gt;"",F279&lt;&gt;""),ROUND((F279-E279)*24,1),"")</f>
        <v/>
      </c>
    </row>
    <row r="280" ht="15" customHeight="1" s="64">
      <c r="G280" s="93">
        <f>IF(AND(E280&lt;&gt;"",F280&lt;&gt;""),ROUND((F280-E280)*24,1),"")</f>
        <v/>
      </c>
    </row>
    <row r="281" ht="15" customHeight="1" s="64">
      <c r="G281" s="93">
        <f>IF(AND(E281&lt;&gt;"",F281&lt;&gt;""),ROUND((F281-E281)*24,1),"")</f>
        <v/>
      </c>
    </row>
    <row r="282" ht="15" customHeight="1" s="64">
      <c r="G282" s="93">
        <f>IF(AND(E282&lt;&gt;"",F282&lt;&gt;""),ROUND((F282-E282)*24,1),"")</f>
        <v/>
      </c>
    </row>
    <row r="283" ht="15" customHeight="1" s="64">
      <c r="G283" s="93">
        <f>IF(AND(E283&lt;&gt;"",F283&lt;&gt;""),ROUND((F283-E283)*24,1),"")</f>
        <v/>
      </c>
    </row>
    <row r="284" ht="15" customHeight="1" s="64">
      <c r="G284" s="93">
        <f>IF(AND(E284&lt;&gt;"",F284&lt;&gt;""),ROUND((F284-E284)*24,1),"")</f>
        <v/>
      </c>
    </row>
    <row r="285" ht="15" customHeight="1" s="64">
      <c r="G285" s="93">
        <f>IF(AND(E285&lt;&gt;"",F285&lt;&gt;""),ROUND((F285-E285)*24,1),"")</f>
        <v/>
      </c>
    </row>
    <row r="286" ht="15" customHeight="1" s="64">
      <c r="G286" s="93">
        <f>IF(AND(E286&lt;&gt;"",F286&lt;&gt;""),ROUND((F286-E286)*24,1),"")</f>
        <v/>
      </c>
    </row>
    <row r="287" ht="15" customHeight="1" s="64">
      <c r="G287" s="93">
        <f>IF(AND(E287&lt;&gt;"",F287&lt;&gt;""),ROUND((F287-E287)*24,1),"")</f>
        <v/>
      </c>
    </row>
    <row r="288" ht="15" customHeight="1" s="64">
      <c r="G288" s="93">
        <f>IF(AND(E288&lt;&gt;"",F288&lt;&gt;""),ROUND((F288-E288)*24,1),"")</f>
        <v/>
      </c>
    </row>
    <row r="289" ht="15" customHeight="1" s="64">
      <c r="G289" s="93">
        <f>IF(AND(E289&lt;&gt;"",F289&lt;&gt;""),ROUND((F289-E289)*24,1),"")</f>
        <v/>
      </c>
    </row>
    <row r="290" ht="15" customHeight="1" s="64">
      <c r="G290" s="93">
        <f>IF(AND(E290&lt;&gt;"",F290&lt;&gt;""),ROUND((F290-E290)*24,1),"")</f>
        <v/>
      </c>
    </row>
    <row r="291" ht="15" customHeight="1" s="64">
      <c r="G291" s="93">
        <f>IF(AND(E291&lt;&gt;"",F291&lt;&gt;""),ROUND((F291-E291)*24,1),"")</f>
        <v/>
      </c>
    </row>
    <row r="292" ht="15" customHeight="1" s="64">
      <c r="G292" s="93">
        <f>IF(AND(E292&lt;&gt;"",F292&lt;&gt;""),ROUND((F292-E292)*24,1),"")</f>
        <v/>
      </c>
    </row>
    <row r="293" ht="15" customHeight="1" s="64">
      <c r="G293" s="93">
        <f>IF(AND(E293&lt;&gt;"",F293&lt;&gt;""),ROUND((F293-E293)*24,1),"")</f>
        <v/>
      </c>
    </row>
    <row r="294" ht="15" customHeight="1" s="64">
      <c r="G294" s="93">
        <f>IF(AND(E294&lt;&gt;"",F294&lt;&gt;""),ROUND((F294-E294)*24,1),"")</f>
        <v/>
      </c>
    </row>
    <row r="295" ht="15" customHeight="1" s="64">
      <c r="G295" s="93">
        <f>IF(AND(E295&lt;&gt;"",F295&lt;&gt;""),ROUND((F295-E295)*24,1),"")</f>
        <v/>
      </c>
    </row>
    <row r="296" ht="15" customHeight="1" s="64">
      <c r="G296" s="93">
        <f>IF(AND(E296&lt;&gt;"",F296&lt;&gt;""),ROUND((F296-E296)*24,1),"")</f>
        <v/>
      </c>
    </row>
    <row r="297" ht="15" customHeight="1" s="64">
      <c r="G297" s="93">
        <f>IF(AND(E297&lt;&gt;"",F297&lt;&gt;""),ROUND((F297-E297)*24,1),"")</f>
        <v/>
      </c>
    </row>
    <row r="298" ht="15" customHeight="1" s="64">
      <c r="G298" s="93">
        <f>IF(AND(E298&lt;&gt;"",F298&lt;&gt;""),ROUND((F298-E298)*24,1),"")</f>
        <v/>
      </c>
    </row>
    <row r="299" ht="15" customHeight="1" s="64">
      <c r="G299" s="93">
        <f>IF(AND(E299&lt;&gt;"",F299&lt;&gt;""),ROUND((F299-E299)*24,1),"")</f>
        <v/>
      </c>
    </row>
    <row r="300" ht="15" customHeight="1" s="64">
      <c r="G300" s="93">
        <f>IF(AND(E300&lt;&gt;"",F300&lt;&gt;""),ROUND((F300-E300)*24,1),"")</f>
        <v/>
      </c>
    </row>
    <row r="301" ht="15" customHeight="1" s="64">
      <c r="G301" s="93">
        <f>IF(AND(E301&lt;&gt;"",F301&lt;&gt;""),ROUND((F301-E301)*24,1),"")</f>
        <v/>
      </c>
    </row>
    <row r="302" ht="15" customHeight="1" s="64">
      <c r="G302" s="93">
        <f>IF(AND(E302&lt;&gt;"",F302&lt;&gt;""),ROUND((F302-E302)*24,1),"")</f>
        <v/>
      </c>
    </row>
    <row r="303" ht="15" customHeight="1" s="64">
      <c r="G303" s="93">
        <f>IF(AND(E303&lt;&gt;"",F303&lt;&gt;""),ROUND((F303-E303)*24,1),"")</f>
        <v/>
      </c>
    </row>
    <row r="304" ht="15" customHeight="1" s="64">
      <c r="G304" s="93">
        <f>IF(AND(E304&lt;&gt;"",F304&lt;&gt;""),ROUND((F304-E304)*24,1),"")</f>
        <v/>
      </c>
    </row>
    <row r="305" ht="15" customHeight="1" s="64">
      <c r="G305" s="93">
        <f>IF(AND(E305&lt;&gt;"",F305&lt;&gt;""),ROUND((F305-E305)*24,1),"")</f>
        <v/>
      </c>
    </row>
    <row r="306" ht="15" customHeight="1" s="64">
      <c r="G306" s="93">
        <f>IF(AND(E306&lt;&gt;"",F306&lt;&gt;""),ROUND((F306-E306)*24,1),"")</f>
        <v/>
      </c>
    </row>
    <row r="307" ht="15" customHeight="1" s="64">
      <c r="G307" s="93">
        <f>IF(AND(E307&lt;&gt;"",F307&lt;&gt;""),ROUND((F307-E307)*24,1),"")</f>
        <v/>
      </c>
    </row>
    <row r="308" ht="15" customHeight="1" s="64">
      <c r="G308" s="93">
        <f>IF(AND(E308&lt;&gt;"",F308&lt;&gt;""),ROUND((F308-E308)*24,1),"")</f>
        <v/>
      </c>
    </row>
    <row r="309" ht="15" customHeight="1" s="64">
      <c r="G309" s="93">
        <f>IF(AND(E309&lt;&gt;"",F309&lt;&gt;""),ROUND((F309-E309)*24,1),"")</f>
        <v/>
      </c>
    </row>
    <row r="310" ht="15" customHeight="1" s="64">
      <c r="G310" s="93">
        <f>IF(AND(E310&lt;&gt;"",F310&lt;&gt;""),ROUND((F310-E310)*24,1),"")</f>
        <v/>
      </c>
    </row>
    <row r="311" ht="15" customHeight="1" s="64">
      <c r="G311" s="93">
        <f>IF(AND(E311&lt;&gt;"",F311&lt;&gt;""),ROUND((F311-E311)*24,1),"")</f>
        <v/>
      </c>
    </row>
    <row r="312" ht="15" customHeight="1" s="64">
      <c r="G312" s="93">
        <f>IF(AND(E312&lt;&gt;"",F312&lt;&gt;""),ROUND((F312-E312)*24,1),"")</f>
        <v/>
      </c>
    </row>
    <row r="313" ht="15" customHeight="1" s="64">
      <c r="G313" s="93">
        <f>IF(AND(E313&lt;&gt;"",F313&lt;&gt;""),ROUND((F313-E313)*24,1),"")</f>
        <v/>
      </c>
    </row>
    <row r="314" ht="15" customHeight="1" s="64">
      <c r="G314" s="93">
        <f>IF(AND(E314&lt;&gt;"",F314&lt;&gt;""),ROUND((F314-E314)*24,1),"")</f>
        <v/>
      </c>
    </row>
    <row r="315" ht="15" customHeight="1" s="64">
      <c r="G315" s="93">
        <f>IF(AND(E315&lt;&gt;"",F315&lt;&gt;""),ROUND((F315-E315)*24,1),"")</f>
        <v/>
      </c>
    </row>
    <row r="316" ht="15" customHeight="1" s="64">
      <c r="G316" s="93">
        <f>IF(AND(E316&lt;&gt;"",F316&lt;&gt;""),ROUND((F316-E316)*24,1),"")</f>
        <v/>
      </c>
    </row>
    <row r="317" ht="15" customHeight="1" s="64">
      <c r="G317" s="93">
        <f>IF(AND(E317&lt;&gt;"",F317&lt;&gt;""),ROUND((F317-E317)*24,1),"")</f>
        <v/>
      </c>
    </row>
    <row r="318" ht="15" customHeight="1" s="64">
      <c r="G318" s="93">
        <f>IF(AND(E318&lt;&gt;"",F318&lt;&gt;""),ROUND((F318-E318)*24,1),"")</f>
        <v/>
      </c>
    </row>
    <row r="319" ht="15" customHeight="1" s="64">
      <c r="G319" s="93">
        <f>IF(AND(E319&lt;&gt;"",F319&lt;&gt;""),ROUND((F319-E319)*24,1),"")</f>
        <v/>
      </c>
    </row>
    <row r="320" ht="15" customHeight="1" s="64">
      <c r="G320" s="93">
        <f>IF(AND(E320&lt;&gt;"",F320&lt;&gt;""),ROUND((F320-E320)*24,1),"")</f>
        <v/>
      </c>
    </row>
    <row r="321" ht="15" customHeight="1" s="64">
      <c r="G321" s="93">
        <f>IF(AND(E321&lt;&gt;"",F321&lt;&gt;""),ROUND((F321-E321)*24,1),"")</f>
        <v/>
      </c>
    </row>
    <row r="322" ht="15" customHeight="1" s="64">
      <c r="G322" s="93">
        <f>IF(AND(E322&lt;&gt;"",F322&lt;&gt;""),ROUND((F322-E322)*24,1),"")</f>
        <v/>
      </c>
    </row>
    <row r="323" ht="15" customHeight="1" s="64">
      <c r="G323" s="93">
        <f>IF(AND(E323&lt;&gt;"",F323&lt;&gt;""),ROUND((F323-E323)*24,1),"")</f>
        <v/>
      </c>
    </row>
    <row r="324" ht="15" customHeight="1" s="64">
      <c r="G324" s="93">
        <f>IF(AND(E324&lt;&gt;"",F324&lt;&gt;""),ROUND((F324-E324)*24,1),"")</f>
        <v/>
      </c>
    </row>
    <row r="325" ht="15" customHeight="1" s="64">
      <c r="G325" s="93">
        <f>IF(AND(E325&lt;&gt;"",F325&lt;&gt;""),ROUND((F325-E325)*24,1),"")</f>
        <v/>
      </c>
    </row>
    <row r="326" ht="15" customHeight="1" s="64">
      <c r="G326" s="93">
        <f>IF(AND(E326&lt;&gt;"",F326&lt;&gt;""),ROUND((F326-E326)*24,1),"")</f>
        <v/>
      </c>
    </row>
    <row r="327" ht="15" customHeight="1" s="64">
      <c r="G327" s="93">
        <f>IF(AND(E327&lt;&gt;"",F327&lt;&gt;""),ROUND((F327-E327)*24,1),"")</f>
        <v/>
      </c>
    </row>
    <row r="328" ht="15" customHeight="1" s="64">
      <c r="G328" s="93">
        <f>IF(AND(E328&lt;&gt;"",F328&lt;&gt;""),ROUND((F328-E328)*24,1),"")</f>
        <v/>
      </c>
    </row>
    <row r="329" ht="15" customHeight="1" s="64">
      <c r="G329" s="93">
        <f>IF(AND(E329&lt;&gt;"",F329&lt;&gt;""),ROUND((F329-E329)*24,1),"")</f>
        <v/>
      </c>
    </row>
    <row r="330" ht="15" customHeight="1" s="64">
      <c r="G330" s="93">
        <f>IF(AND(E330&lt;&gt;"",F330&lt;&gt;""),ROUND((F330-E330)*24,1),"")</f>
        <v/>
      </c>
    </row>
    <row r="331" ht="15" customHeight="1" s="64">
      <c r="G331" s="93">
        <f>IF(AND(E331&lt;&gt;"",F331&lt;&gt;""),ROUND((F331-E331)*24,1),"")</f>
        <v/>
      </c>
    </row>
    <row r="332" ht="15" customHeight="1" s="64">
      <c r="G332" s="93">
        <f>IF(AND(E332&lt;&gt;"",F332&lt;&gt;""),ROUND((F332-E332)*24,1),"")</f>
        <v/>
      </c>
    </row>
    <row r="333" ht="15" customHeight="1" s="64">
      <c r="G333" s="93">
        <f>IF(AND(E333&lt;&gt;"",F333&lt;&gt;""),ROUND((F333-E333)*24,1),"")</f>
        <v/>
      </c>
    </row>
    <row r="334" ht="15" customHeight="1" s="64">
      <c r="G334" s="93">
        <f>IF(AND(E334&lt;&gt;"",F334&lt;&gt;""),ROUND((F334-E334)*24,1),"")</f>
        <v/>
      </c>
    </row>
    <row r="335" ht="15" customHeight="1" s="64">
      <c r="G335" s="93">
        <f>IF(AND(E335&lt;&gt;"",F335&lt;&gt;""),ROUND((F335-E335)*24,1),"")</f>
        <v/>
      </c>
    </row>
    <row r="336" ht="15" customHeight="1" s="64">
      <c r="G336" s="93">
        <f>IF(AND(E336&lt;&gt;"",F336&lt;&gt;""),ROUND((F336-E336)*24,1),"")</f>
        <v/>
      </c>
    </row>
    <row r="337" ht="15" customHeight="1" s="64">
      <c r="G337" s="93">
        <f>IF(AND(E337&lt;&gt;"",F337&lt;&gt;""),ROUND((F337-E337)*24,1),"")</f>
        <v/>
      </c>
    </row>
    <row r="338" ht="15" customHeight="1" s="64">
      <c r="G338" s="93">
        <f>IF(AND(E338&lt;&gt;"",F338&lt;&gt;""),ROUND((F338-E338)*24,1),"")</f>
        <v/>
      </c>
    </row>
    <row r="339" ht="15" customHeight="1" s="64">
      <c r="G339" s="93">
        <f>IF(AND(E339&lt;&gt;"",F339&lt;&gt;""),ROUND((F339-E339)*24,1),"")</f>
        <v/>
      </c>
    </row>
    <row r="340" ht="15" customHeight="1" s="64">
      <c r="G340" s="93">
        <f>IF(AND(E340&lt;&gt;"",F340&lt;&gt;""),ROUND((F340-E340)*24,1),"")</f>
        <v/>
      </c>
    </row>
    <row r="341" ht="15" customHeight="1" s="64">
      <c r="G341" s="93">
        <f>IF(AND(E341&lt;&gt;"",F341&lt;&gt;""),ROUND((F341-E341)*24,1),"")</f>
        <v/>
      </c>
    </row>
    <row r="342" ht="15" customHeight="1" s="64">
      <c r="G342" s="93">
        <f>IF(AND(E342&lt;&gt;"",F342&lt;&gt;""),ROUND((F342-E342)*24,1),"")</f>
        <v/>
      </c>
    </row>
    <row r="343" ht="15" customHeight="1" s="64">
      <c r="G343" s="93">
        <f>IF(AND(E343&lt;&gt;"",F343&lt;&gt;""),ROUND((F343-E343)*24,1),"")</f>
        <v/>
      </c>
    </row>
    <row r="344" ht="15" customHeight="1" s="64">
      <c r="G344" s="93">
        <f>IF(AND(E344&lt;&gt;"",F344&lt;&gt;""),ROUND((F344-E344)*24,1),"")</f>
        <v/>
      </c>
    </row>
    <row r="345" ht="15" customHeight="1" s="64">
      <c r="G345" s="93">
        <f>IF(AND(E345&lt;&gt;"",F345&lt;&gt;""),ROUND((F345-E345)*24,1),"")</f>
        <v/>
      </c>
    </row>
    <row r="346" ht="15" customHeight="1" s="64">
      <c r="G346" s="93">
        <f>IF(AND(E346&lt;&gt;"",F346&lt;&gt;""),ROUND((F346-E346)*24,1),"")</f>
        <v/>
      </c>
    </row>
    <row r="347" ht="15" customHeight="1" s="64">
      <c r="G347" s="93">
        <f>IF(AND(E347&lt;&gt;"",F347&lt;&gt;""),ROUND((F347-E347)*24,1),"")</f>
        <v/>
      </c>
    </row>
    <row r="348" ht="15" customHeight="1" s="64">
      <c r="G348" s="93">
        <f>IF(AND(E348&lt;&gt;"",F348&lt;&gt;""),ROUND((F348-E348)*24,1),"")</f>
        <v/>
      </c>
    </row>
    <row r="349" ht="15" customHeight="1" s="64">
      <c r="G349" s="93">
        <f>IF(AND(E349&lt;&gt;"",F349&lt;&gt;""),ROUND((F349-E349)*24,1),"")</f>
        <v/>
      </c>
    </row>
    <row r="350" ht="15" customHeight="1" s="64">
      <c r="G350" s="93">
        <f>IF(AND(E350&lt;&gt;"",F350&lt;&gt;""),ROUND((F350-E350)*24,1),"")</f>
        <v/>
      </c>
    </row>
    <row r="351" ht="15" customHeight="1" s="64">
      <c r="G351" s="93">
        <f>IF(AND(E351&lt;&gt;"",F351&lt;&gt;""),ROUND((F351-E351)*24,1),"")</f>
        <v/>
      </c>
    </row>
    <row r="352" ht="15" customHeight="1" s="64">
      <c r="G352" s="93">
        <f>IF(AND(E352&lt;&gt;"",F352&lt;&gt;""),ROUND((F352-E352)*24,1),"")</f>
        <v/>
      </c>
    </row>
    <row r="353" ht="15" customHeight="1" s="64">
      <c r="G353" s="93">
        <f>IF(AND(E353&lt;&gt;"",F353&lt;&gt;""),ROUND((F353-E353)*24,1),"")</f>
        <v/>
      </c>
    </row>
    <row r="354" ht="15" customHeight="1" s="64">
      <c r="G354" s="93">
        <f>IF(AND(E354&lt;&gt;"",F354&lt;&gt;""),ROUND((F354-E354)*24,1),"")</f>
        <v/>
      </c>
    </row>
    <row r="355" ht="15" customHeight="1" s="64">
      <c r="G355" s="93">
        <f>IF(AND(E355&lt;&gt;"",F355&lt;&gt;""),ROUND((F355-E355)*24,1),"")</f>
        <v/>
      </c>
    </row>
    <row r="356" ht="15" customHeight="1" s="64">
      <c r="G356" s="93">
        <f>IF(AND(E356&lt;&gt;"",F356&lt;&gt;""),ROUND((F356-E356)*24,1),"")</f>
        <v/>
      </c>
    </row>
    <row r="357" ht="15" customHeight="1" s="64">
      <c r="G357" s="93">
        <f>IF(AND(E357&lt;&gt;"",F357&lt;&gt;""),ROUND((F357-E357)*24,1),"")</f>
        <v/>
      </c>
    </row>
    <row r="358" ht="15" customHeight="1" s="64">
      <c r="G358" s="93">
        <f>IF(AND(E358&lt;&gt;"",F358&lt;&gt;""),ROUND((F358-E358)*24,1),"")</f>
        <v/>
      </c>
    </row>
    <row r="359" ht="15" customHeight="1" s="64">
      <c r="G359" s="93">
        <f>IF(AND(E359&lt;&gt;"",F359&lt;&gt;""),ROUND((F359-E359)*24,1),"")</f>
        <v/>
      </c>
    </row>
    <row r="360" ht="15" customHeight="1" s="64">
      <c r="G360" s="93">
        <f>IF(AND(E360&lt;&gt;"",F360&lt;&gt;""),ROUND((F360-E360)*24,1),"")</f>
        <v/>
      </c>
    </row>
    <row r="361" ht="15" customHeight="1" s="64">
      <c r="G361" s="93">
        <f>IF(AND(E361&lt;&gt;"",F361&lt;&gt;""),ROUND((F361-E361)*24,1),"")</f>
        <v/>
      </c>
    </row>
    <row r="362" ht="15" customHeight="1" s="64">
      <c r="G362" s="93">
        <f>IF(AND(E362&lt;&gt;"",F362&lt;&gt;""),ROUND((F362-E362)*24,1),"")</f>
        <v/>
      </c>
    </row>
    <row r="363" ht="15" customHeight="1" s="64">
      <c r="G363" s="93">
        <f>IF(AND(E363&lt;&gt;"",F363&lt;&gt;""),ROUND((F363-E363)*24,1),"")</f>
        <v/>
      </c>
    </row>
    <row r="364" ht="15" customHeight="1" s="64">
      <c r="G364" s="93">
        <f>IF(AND(E364&lt;&gt;"",F364&lt;&gt;""),ROUND((F364-E364)*24,1),"")</f>
        <v/>
      </c>
    </row>
    <row r="365" ht="15" customHeight="1" s="64">
      <c r="G365" s="93">
        <f>IF(AND(E365&lt;&gt;"",F365&lt;&gt;""),ROUND((F365-E365)*24,1),"")</f>
        <v/>
      </c>
    </row>
    <row r="366" ht="15" customHeight="1" s="64">
      <c r="G366" s="93">
        <f>IF(AND(E366&lt;&gt;"",F366&lt;&gt;""),ROUND((F366-E366)*24,1),"")</f>
        <v/>
      </c>
    </row>
    <row r="367" ht="15" customHeight="1" s="64">
      <c r="G367" s="93">
        <f>IF(AND(E367&lt;&gt;"",F367&lt;&gt;""),ROUND((F367-E367)*24,1),"")</f>
        <v/>
      </c>
    </row>
    <row r="368" ht="15" customHeight="1" s="64">
      <c r="G368" s="93">
        <f>IF(AND(E368&lt;&gt;"",F368&lt;&gt;""),ROUND((F368-E368)*24,1),"")</f>
        <v/>
      </c>
    </row>
    <row r="369" ht="15" customHeight="1" s="64">
      <c r="G369" s="93">
        <f>IF(AND(E369&lt;&gt;"",F369&lt;&gt;""),ROUND((F369-E369)*24,1),"")</f>
        <v/>
      </c>
    </row>
    <row r="370" ht="15" customHeight="1" s="64">
      <c r="G370" s="93">
        <f>IF(AND(E370&lt;&gt;"",F370&lt;&gt;""),ROUND((F370-E370)*24,1),"")</f>
        <v/>
      </c>
    </row>
    <row r="371" ht="15" customHeight="1" s="64">
      <c r="G371" s="93">
        <f>IF(AND(E371&lt;&gt;"",F371&lt;&gt;""),ROUND((F371-E371)*24,1),"")</f>
        <v/>
      </c>
    </row>
    <row r="372" ht="15" customHeight="1" s="64">
      <c r="G372" s="93">
        <f>IF(AND(E372&lt;&gt;"",F372&lt;&gt;""),ROUND((F372-E372)*24,1),"")</f>
        <v/>
      </c>
    </row>
    <row r="373" ht="15" customHeight="1" s="64">
      <c r="G373" s="93">
        <f>IF(AND(E373&lt;&gt;"",F373&lt;&gt;""),ROUND((F373-E373)*24,1),"")</f>
        <v/>
      </c>
    </row>
    <row r="374" ht="15" customHeight="1" s="64">
      <c r="G374" s="93">
        <f>IF(AND(E374&lt;&gt;"",F374&lt;&gt;""),ROUND((F374-E374)*24,1),"")</f>
        <v/>
      </c>
    </row>
    <row r="375" ht="15" customHeight="1" s="64">
      <c r="G375" s="93">
        <f>IF(AND(E375&lt;&gt;"",F375&lt;&gt;""),ROUND((F375-E375)*24,1),"")</f>
        <v/>
      </c>
    </row>
    <row r="376" ht="15" customHeight="1" s="64">
      <c r="G376" s="93">
        <f>IF(AND(E376&lt;&gt;"",F376&lt;&gt;""),ROUND((F376-E376)*24,1),"")</f>
        <v/>
      </c>
    </row>
    <row r="377" ht="15" customHeight="1" s="64">
      <c r="G377" s="93">
        <f>IF(AND(E377&lt;&gt;"",F377&lt;&gt;""),ROUND((F377-E377)*24,1),"")</f>
        <v/>
      </c>
    </row>
    <row r="378" ht="15" customHeight="1" s="64">
      <c r="G378" s="93">
        <f>IF(AND(E378&lt;&gt;"",F378&lt;&gt;""),ROUND((F378-E378)*24,1),"")</f>
        <v/>
      </c>
    </row>
    <row r="379" ht="15" customHeight="1" s="64">
      <c r="G379" s="93">
        <f>IF(AND(E379&lt;&gt;"",F379&lt;&gt;""),ROUND((F379-E379)*24,1),"")</f>
        <v/>
      </c>
    </row>
    <row r="380" ht="15" customHeight="1" s="64">
      <c r="G380" s="93">
        <f>IF(AND(E380&lt;&gt;"",F380&lt;&gt;""),ROUND((F380-E380)*24,1),"")</f>
        <v/>
      </c>
    </row>
    <row r="381" ht="15" customHeight="1" s="64">
      <c r="G381" s="93">
        <f>IF(AND(E381&lt;&gt;"",F381&lt;&gt;""),ROUND((F381-E381)*24,1),"")</f>
        <v/>
      </c>
    </row>
    <row r="382" ht="15" customHeight="1" s="64">
      <c r="G382" s="93">
        <f>IF(AND(E382&lt;&gt;"",F382&lt;&gt;""),ROUND((F382-E382)*24,1),"")</f>
        <v/>
      </c>
    </row>
    <row r="383" ht="15" customHeight="1" s="64">
      <c r="G383" s="93">
        <f>IF(AND(E383&lt;&gt;"",F383&lt;&gt;""),ROUND((F383-E383)*24,1),"")</f>
        <v/>
      </c>
    </row>
    <row r="384" ht="15" customHeight="1" s="64">
      <c r="G384" s="93">
        <f>IF(AND(E384&lt;&gt;"",F384&lt;&gt;""),ROUND((F384-E384)*24,1),"")</f>
        <v/>
      </c>
    </row>
    <row r="385" ht="15" customHeight="1" s="64">
      <c r="G385" s="93">
        <f>IF(AND(E385&lt;&gt;"",F385&lt;&gt;""),ROUND((F385-E385)*24,1),"")</f>
        <v/>
      </c>
    </row>
    <row r="386" ht="15" customHeight="1" s="64">
      <c r="G386" s="93">
        <f>IF(AND(E386&lt;&gt;"",F386&lt;&gt;""),ROUND((F386-E386)*24,1),"")</f>
        <v/>
      </c>
    </row>
    <row r="387" ht="15" customHeight="1" s="64">
      <c r="G387" s="93">
        <f>IF(AND(E387&lt;&gt;"",F387&lt;&gt;""),ROUND((F387-E387)*24,1),"")</f>
        <v/>
      </c>
    </row>
    <row r="388" ht="15" customHeight="1" s="64">
      <c r="G388" s="93">
        <f>IF(AND(E388&lt;&gt;"",F388&lt;&gt;""),ROUND((F388-E388)*24,1),"")</f>
        <v/>
      </c>
    </row>
    <row r="389" ht="15" customHeight="1" s="64">
      <c r="G389" s="93">
        <f>IF(AND(E389&lt;&gt;"",F389&lt;&gt;""),ROUND((F389-E389)*24,1),"")</f>
        <v/>
      </c>
    </row>
    <row r="390" ht="15" customHeight="1" s="64">
      <c r="G390" s="93">
        <f>IF(AND(E390&lt;&gt;"",F390&lt;&gt;""),ROUND((F390-E390)*24,1),"")</f>
        <v/>
      </c>
    </row>
    <row r="391" ht="15" customHeight="1" s="64">
      <c r="G391" s="93">
        <f>IF(AND(E391&lt;&gt;"",F391&lt;&gt;""),ROUND((F391-E391)*24,1),"")</f>
        <v/>
      </c>
    </row>
    <row r="392" ht="15" customHeight="1" s="64">
      <c r="G392" s="93">
        <f>IF(AND(E392&lt;&gt;"",F392&lt;&gt;""),ROUND((F392-E392)*24,1),"")</f>
        <v/>
      </c>
    </row>
    <row r="393" ht="15" customHeight="1" s="64">
      <c r="G393" s="93">
        <f>IF(AND(E393&lt;&gt;"",F393&lt;&gt;""),ROUND((F393-E393)*24,1),"")</f>
        <v/>
      </c>
    </row>
    <row r="394" ht="15" customHeight="1" s="64">
      <c r="G394" s="93">
        <f>IF(AND(E394&lt;&gt;"",F394&lt;&gt;""),ROUND((F394-E394)*24,1),"")</f>
        <v/>
      </c>
    </row>
    <row r="395" ht="15" customHeight="1" s="64">
      <c r="G395" s="93">
        <f>IF(AND(E395&lt;&gt;"",F395&lt;&gt;""),ROUND((F395-E395)*24,1),"")</f>
        <v/>
      </c>
    </row>
    <row r="396" ht="15" customHeight="1" s="64">
      <c r="G396" s="93">
        <f>IF(AND(E396&lt;&gt;"",F396&lt;&gt;""),ROUND((F396-E396)*24,1),"")</f>
        <v/>
      </c>
    </row>
    <row r="397" ht="15" customHeight="1" s="64">
      <c r="G397" s="93">
        <f>IF(AND(E397&lt;&gt;"",F397&lt;&gt;""),ROUND((F397-E397)*24,1),"")</f>
        <v/>
      </c>
    </row>
    <row r="398" ht="15" customHeight="1" s="64">
      <c r="G398" s="93">
        <f>IF(AND(E398&lt;&gt;"",F398&lt;&gt;""),ROUND((F398-E398)*24,1),"")</f>
        <v/>
      </c>
    </row>
    <row r="399" ht="15" customHeight="1" s="64">
      <c r="G399" s="93">
        <f>IF(AND(E399&lt;&gt;"",F399&lt;&gt;""),ROUND((F399-E399)*24,1),"")</f>
        <v/>
      </c>
    </row>
    <row r="400" ht="15" customHeight="1" s="64">
      <c r="G400" s="93">
        <f>IF(AND(E400&lt;&gt;"",F400&lt;&gt;""),ROUND((F400-E400)*24,1),"")</f>
        <v/>
      </c>
    </row>
    <row r="401" ht="15" customHeight="1" s="64">
      <c r="G401" s="93">
        <f>IF(AND(E401&lt;&gt;"",F401&lt;&gt;""),ROUND((F401-E401)*24,1),"")</f>
        <v/>
      </c>
    </row>
    <row r="402" ht="15" customHeight="1" s="64">
      <c r="G402" s="93">
        <f>IF(AND(E402&lt;&gt;"",F402&lt;&gt;""),ROUND((F402-E402)*24,1),"")</f>
        <v/>
      </c>
    </row>
    <row r="403" ht="15" customHeight="1" s="64">
      <c r="G403" s="93">
        <f>IF(AND(E403&lt;&gt;"",F403&lt;&gt;""),ROUND((F403-E403)*24,1),"")</f>
        <v/>
      </c>
    </row>
    <row r="404" ht="15" customHeight="1" s="64">
      <c r="G404" s="93">
        <f>IF(AND(E404&lt;&gt;"",F404&lt;&gt;""),ROUND((F404-E404)*24,1),"")</f>
        <v/>
      </c>
    </row>
    <row r="405" ht="15" customHeight="1" s="64">
      <c r="G405" s="93">
        <f>IF(AND(E405&lt;&gt;"",F405&lt;&gt;""),ROUND((F405-E405)*24,1),"")</f>
        <v/>
      </c>
    </row>
    <row r="406" ht="15" customHeight="1" s="64">
      <c r="G406" s="93">
        <f>IF(AND(E406&lt;&gt;"",F406&lt;&gt;""),ROUND((F406-E406)*24,1),"")</f>
        <v/>
      </c>
    </row>
    <row r="407" ht="15" customHeight="1" s="64">
      <c r="G407" s="93">
        <f>IF(AND(E407&lt;&gt;"",F407&lt;&gt;""),ROUND((F407-E407)*24,1),"")</f>
        <v/>
      </c>
    </row>
    <row r="408" ht="15" customHeight="1" s="64">
      <c r="G408" s="93">
        <f>IF(AND(E408&lt;&gt;"",F408&lt;&gt;""),ROUND((F408-E408)*24,1),"")</f>
        <v/>
      </c>
    </row>
    <row r="409" ht="15" customHeight="1" s="64">
      <c r="G409" s="93">
        <f>IF(AND(E409&lt;&gt;"",F409&lt;&gt;""),ROUND((F409-E409)*24,1),"")</f>
        <v/>
      </c>
    </row>
    <row r="410" ht="15" customHeight="1" s="64">
      <c r="G410" s="93">
        <f>IF(AND(E410&lt;&gt;"",F410&lt;&gt;""),ROUND((F410-E410)*24,1),"")</f>
        <v/>
      </c>
    </row>
    <row r="411" ht="15" customHeight="1" s="64">
      <c r="G411" s="93">
        <f>IF(AND(E411&lt;&gt;"",F411&lt;&gt;""),ROUND((F411-E411)*24,1),"")</f>
        <v/>
      </c>
    </row>
    <row r="412" ht="15" customHeight="1" s="64">
      <c r="G412" s="93">
        <f>IF(AND(E412&lt;&gt;"",F412&lt;&gt;""),ROUND((F412-E412)*24,1),"")</f>
        <v/>
      </c>
    </row>
    <row r="413" ht="15" customHeight="1" s="64">
      <c r="G413" s="93">
        <f>IF(AND(E413&lt;&gt;"",F413&lt;&gt;""),ROUND((F413-E413)*24,1),"")</f>
        <v/>
      </c>
    </row>
    <row r="414" ht="15" customHeight="1" s="64">
      <c r="G414" s="93">
        <f>IF(AND(E414&lt;&gt;"",F414&lt;&gt;""),ROUND((F414-E414)*24,1),"")</f>
        <v/>
      </c>
    </row>
    <row r="415" ht="15" customHeight="1" s="64">
      <c r="G415" s="93">
        <f>IF(AND(E415&lt;&gt;"",F415&lt;&gt;""),ROUND((F415-E415)*24,1),"")</f>
        <v/>
      </c>
    </row>
    <row r="416" ht="15" customHeight="1" s="64">
      <c r="G416" s="93">
        <f>IF(AND(E416&lt;&gt;"",F416&lt;&gt;""),ROUND((F416-E416)*24,1),"")</f>
        <v/>
      </c>
    </row>
    <row r="417" ht="15" customHeight="1" s="64">
      <c r="G417" s="93">
        <f>IF(AND(E417&lt;&gt;"",F417&lt;&gt;""),ROUND((F417-E417)*24,1),"")</f>
        <v/>
      </c>
    </row>
    <row r="418" ht="15" customHeight="1" s="64">
      <c r="G418" s="93">
        <f>IF(AND(E418&lt;&gt;"",F418&lt;&gt;""),ROUND((F418-E418)*24,1),"")</f>
        <v/>
      </c>
    </row>
    <row r="419" ht="15" customHeight="1" s="64">
      <c r="G419" s="93">
        <f>IF(AND(E419&lt;&gt;"",F419&lt;&gt;""),ROUND((F419-E419)*24,1),"")</f>
        <v/>
      </c>
    </row>
    <row r="420" ht="15" customHeight="1" s="64">
      <c r="G420" s="93">
        <f>IF(AND(E420&lt;&gt;"",F420&lt;&gt;""),ROUND((F420-E420)*24,1),"")</f>
        <v/>
      </c>
    </row>
    <row r="421" ht="15" customHeight="1" s="64">
      <c r="G421" s="93">
        <f>IF(AND(E421&lt;&gt;"",F421&lt;&gt;""),ROUND((F421-E421)*24,1),"")</f>
        <v/>
      </c>
    </row>
    <row r="422" ht="15" customHeight="1" s="64">
      <c r="G422" s="93">
        <f>IF(AND(E422&lt;&gt;"",F422&lt;&gt;""),ROUND((F422-E422)*24,1),"")</f>
        <v/>
      </c>
    </row>
    <row r="423" ht="15" customHeight="1" s="64">
      <c r="G423" s="93">
        <f>IF(AND(E423&lt;&gt;"",F423&lt;&gt;""),ROUND((F423-E423)*24,1),"")</f>
        <v/>
      </c>
    </row>
    <row r="424" ht="15" customHeight="1" s="64">
      <c r="G424" s="93">
        <f>IF(AND(E424&lt;&gt;"",F424&lt;&gt;""),ROUND((F424-E424)*24,1),"")</f>
        <v/>
      </c>
    </row>
    <row r="425" ht="15" customHeight="1" s="64">
      <c r="G425" s="93">
        <f>IF(AND(E425&lt;&gt;"",F425&lt;&gt;""),ROUND((F425-E425)*24,1),"")</f>
        <v/>
      </c>
    </row>
    <row r="426" ht="15" customHeight="1" s="64">
      <c r="G426" s="93">
        <f>IF(AND(E426&lt;&gt;"",F426&lt;&gt;""),ROUND((F426-E426)*24,1),"")</f>
        <v/>
      </c>
    </row>
    <row r="427" ht="15" customHeight="1" s="64">
      <c r="G427" s="93">
        <f>IF(AND(E427&lt;&gt;"",F427&lt;&gt;""),ROUND((F427-E427)*24,1),"")</f>
        <v/>
      </c>
    </row>
    <row r="428" ht="15" customHeight="1" s="64">
      <c r="G428" s="93">
        <f>IF(AND(E428&lt;&gt;"",F428&lt;&gt;""),ROUND((F428-E428)*24,1),"")</f>
        <v/>
      </c>
    </row>
    <row r="429" ht="15" customHeight="1" s="64">
      <c r="G429" s="93">
        <f>IF(AND(E429&lt;&gt;"",F429&lt;&gt;""),ROUND((F429-E429)*24,1),"")</f>
        <v/>
      </c>
    </row>
    <row r="430" ht="15" customHeight="1" s="64">
      <c r="G430" s="93">
        <f>IF(AND(E430&lt;&gt;"",F430&lt;&gt;""),ROUND((F430-E430)*24,1),"")</f>
        <v/>
      </c>
    </row>
    <row r="431" ht="15" customHeight="1" s="64">
      <c r="G431" s="93">
        <f>IF(AND(E431&lt;&gt;"",F431&lt;&gt;""),ROUND((F431-E431)*24,1),"")</f>
        <v/>
      </c>
    </row>
    <row r="432" ht="15" customHeight="1" s="64">
      <c r="G432" s="93">
        <f>IF(AND(E432&lt;&gt;"",F432&lt;&gt;""),ROUND((F432-E432)*24,1),"")</f>
        <v/>
      </c>
    </row>
    <row r="433" ht="15" customHeight="1" s="64">
      <c r="G433" s="93">
        <f>IF(AND(E433&lt;&gt;"",F433&lt;&gt;""),ROUND((F433-E433)*24,1),"")</f>
        <v/>
      </c>
    </row>
    <row r="434" ht="15" customHeight="1" s="64">
      <c r="G434" s="93">
        <f>IF(AND(E434&lt;&gt;"",F434&lt;&gt;""),ROUND((F434-E434)*24,1),"")</f>
        <v/>
      </c>
    </row>
    <row r="435" ht="15" customHeight="1" s="64">
      <c r="G435" s="93">
        <f>IF(AND(E435&lt;&gt;"",F435&lt;&gt;""),ROUND((F435-E435)*24,1),"")</f>
        <v/>
      </c>
    </row>
    <row r="436" ht="15" customHeight="1" s="64">
      <c r="G436" s="93">
        <f>IF(AND(E436&lt;&gt;"",F436&lt;&gt;""),ROUND((F436-E436)*24,1),"")</f>
        <v/>
      </c>
    </row>
    <row r="437" ht="15" customHeight="1" s="64">
      <c r="G437" s="93">
        <f>IF(AND(E437&lt;&gt;"",F437&lt;&gt;""),ROUND((F437-E437)*24,1),"")</f>
        <v/>
      </c>
    </row>
    <row r="438" ht="15" customHeight="1" s="64">
      <c r="G438" s="93">
        <f>IF(AND(E438&lt;&gt;"",F438&lt;&gt;""),ROUND((F438-E438)*24,1),"")</f>
        <v/>
      </c>
    </row>
    <row r="439" ht="15" customHeight="1" s="64">
      <c r="G439" s="93">
        <f>IF(AND(E439&lt;&gt;"",F439&lt;&gt;""),ROUND((F439-E439)*24,1),"")</f>
        <v/>
      </c>
    </row>
    <row r="440" ht="15" customHeight="1" s="64">
      <c r="G440" s="93">
        <f>IF(AND(E440&lt;&gt;"",F440&lt;&gt;""),ROUND((F440-E440)*24,1),"")</f>
        <v/>
      </c>
    </row>
    <row r="441" ht="15" customHeight="1" s="64">
      <c r="G441" s="93">
        <f>IF(AND(E441&lt;&gt;"",F441&lt;&gt;""),ROUND((F441-E441)*24,1),"")</f>
        <v/>
      </c>
    </row>
    <row r="442" ht="15" customHeight="1" s="64">
      <c r="G442" s="93">
        <f>IF(AND(E442&lt;&gt;"",F442&lt;&gt;""),ROUND((F442-E442)*24,1),"")</f>
        <v/>
      </c>
    </row>
    <row r="443" ht="15" customHeight="1" s="64">
      <c r="G443" s="93">
        <f>IF(AND(E443&lt;&gt;"",F443&lt;&gt;""),ROUND((F443-E443)*24,1),"")</f>
        <v/>
      </c>
    </row>
    <row r="444" ht="15" customHeight="1" s="64">
      <c r="G444" s="93">
        <f>IF(AND(E444&lt;&gt;"",F444&lt;&gt;""),ROUND((F444-E444)*24,1),"")</f>
        <v/>
      </c>
    </row>
    <row r="445" ht="15" customHeight="1" s="64">
      <c r="G445" s="93">
        <f>IF(AND(E445&lt;&gt;"",F445&lt;&gt;""),ROUND((F445-E445)*24,1),"")</f>
        <v/>
      </c>
    </row>
    <row r="446" ht="15" customHeight="1" s="64">
      <c r="G446" s="93">
        <f>IF(AND(E446&lt;&gt;"",F446&lt;&gt;""),ROUND((F446-E446)*24,1),"")</f>
        <v/>
      </c>
    </row>
    <row r="447" ht="15" customHeight="1" s="64">
      <c r="G447" s="93">
        <f>IF(AND(E447&lt;&gt;"",F447&lt;&gt;""),ROUND((F447-E447)*24,1),"")</f>
        <v/>
      </c>
    </row>
    <row r="448" ht="15" customHeight="1" s="64">
      <c r="G448" s="93">
        <f>IF(AND(E448&lt;&gt;"",F448&lt;&gt;""),ROUND((F448-E448)*24,1),"")</f>
        <v/>
      </c>
    </row>
    <row r="449" ht="15" customHeight="1" s="64">
      <c r="G449" s="93">
        <f>IF(AND(E449&lt;&gt;"",F449&lt;&gt;""),ROUND((F449-E449)*24,1),"")</f>
        <v/>
      </c>
    </row>
    <row r="450" ht="15" customHeight="1" s="64">
      <c r="G450" s="93">
        <f>IF(AND(E450&lt;&gt;"",F450&lt;&gt;""),ROUND((F450-E450)*24,1),"")</f>
        <v/>
      </c>
    </row>
    <row r="451" ht="15" customHeight="1" s="64">
      <c r="G451" s="93">
        <f>IF(AND(E451&lt;&gt;"",F451&lt;&gt;""),ROUND((F451-E451)*24,1),"")</f>
        <v/>
      </c>
    </row>
    <row r="452" ht="15" customHeight="1" s="64">
      <c r="G452" s="93">
        <f>IF(AND(E452&lt;&gt;"",F452&lt;&gt;""),ROUND((F452-E452)*24,1),"")</f>
        <v/>
      </c>
    </row>
    <row r="453" ht="15" customHeight="1" s="64">
      <c r="G453" s="93">
        <f>IF(AND(E453&lt;&gt;"",F453&lt;&gt;""),ROUND((F453-E453)*24,1),"")</f>
        <v/>
      </c>
    </row>
    <row r="454" ht="15" customHeight="1" s="64">
      <c r="G454" s="93">
        <f>IF(AND(E454&lt;&gt;"",F454&lt;&gt;""),ROUND((F454-E454)*24,1),"")</f>
        <v/>
      </c>
    </row>
    <row r="455" ht="15" customHeight="1" s="64">
      <c r="G455" s="93">
        <f>IF(AND(E455&lt;&gt;"",F455&lt;&gt;""),ROUND((F455-E455)*24,1),"")</f>
        <v/>
      </c>
    </row>
    <row r="456" ht="15" customHeight="1" s="64">
      <c r="G456" s="93">
        <f>IF(AND(E456&lt;&gt;"",F456&lt;&gt;""),ROUND((F456-E456)*24,1),"")</f>
        <v/>
      </c>
    </row>
    <row r="457" ht="15" customHeight="1" s="64">
      <c r="G457" s="93">
        <f>IF(AND(E457&lt;&gt;"",F457&lt;&gt;""),ROUND((F457-E457)*24,1),"")</f>
        <v/>
      </c>
    </row>
    <row r="458" ht="15" customHeight="1" s="64">
      <c r="G458" s="93">
        <f>IF(AND(E458&lt;&gt;"",F458&lt;&gt;""),ROUND((F458-E458)*24,1),"")</f>
        <v/>
      </c>
    </row>
    <row r="459" ht="15" customHeight="1" s="64">
      <c r="G459" s="93">
        <f>IF(AND(E459&lt;&gt;"",F459&lt;&gt;""),ROUND((F459-E459)*24,1),"")</f>
        <v/>
      </c>
    </row>
    <row r="460" ht="15" customHeight="1" s="64">
      <c r="G460" s="93">
        <f>IF(AND(E460&lt;&gt;"",F460&lt;&gt;""),ROUND((F460-E460)*24,1),"")</f>
        <v/>
      </c>
    </row>
    <row r="461" ht="15" customHeight="1" s="64">
      <c r="G461" s="93">
        <f>IF(AND(E461&lt;&gt;"",F461&lt;&gt;""),ROUND((F461-E461)*24,1),"")</f>
        <v/>
      </c>
    </row>
    <row r="462" ht="15" customHeight="1" s="64">
      <c r="G462" s="93">
        <f>IF(AND(E462&lt;&gt;"",F462&lt;&gt;""),ROUND((F462-E462)*24,1),"")</f>
        <v/>
      </c>
    </row>
    <row r="463" ht="15" customHeight="1" s="64">
      <c r="G463" s="93">
        <f>IF(AND(E463&lt;&gt;"",F463&lt;&gt;""),ROUND((F463-E463)*24,1),"")</f>
        <v/>
      </c>
    </row>
    <row r="464" ht="15" customHeight="1" s="64">
      <c r="G464" s="93">
        <f>IF(AND(E464&lt;&gt;"",F464&lt;&gt;""),ROUND((F464-E464)*24,1),"")</f>
        <v/>
      </c>
    </row>
    <row r="465" ht="15" customHeight="1" s="64">
      <c r="G465" s="93">
        <f>IF(AND(E465&lt;&gt;"",F465&lt;&gt;""),ROUND((F465-E465)*24,1),"")</f>
        <v/>
      </c>
    </row>
    <row r="466" ht="15" customHeight="1" s="64">
      <c r="G466" s="93">
        <f>IF(AND(E466&lt;&gt;"",F466&lt;&gt;""),ROUND((F466-E466)*24,1),"")</f>
        <v/>
      </c>
    </row>
    <row r="467" ht="15" customHeight="1" s="64">
      <c r="G467" s="93">
        <f>IF(AND(E467&lt;&gt;"",F467&lt;&gt;""),ROUND((F467-E467)*24,1),"")</f>
        <v/>
      </c>
    </row>
    <row r="468" ht="15" customHeight="1" s="64">
      <c r="G468" s="93">
        <f>IF(AND(E468&lt;&gt;"",F468&lt;&gt;""),ROUND((F468-E468)*24,1),"")</f>
        <v/>
      </c>
    </row>
    <row r="469" ht="15" customHeight="1" s="64">
      <c r="G469" s="93">
        <f>IF(AND(E469&lt;&gt;"",F469&lt;&gt;""),ROUND((F469-E469)*24,1),"")</f>
        <v/>
      </c>
    </row>
    <row r="470" ht="15" customHeight="1" s="64">
      <c r="G470" s="93">
        <f>IF(AND(E470&lt;&gt;"",F470&lt;&gt;""),ROUND((F470-E470)*24,1),"")</f>
        <v/>
      </c>
    </row>
    <row r="471" ht="15" customHeight="1" s="64">
      <c r="G471" s="93">
        <f>IF(AND(E471&lt;&gt;"",F471&lt;&gt;""),ROUND((F471-E471)*24,1),"")</f>
        <v/>
      </c>
    </row>
    <row r="472" ht="15" customHeight="1" s="64">
      <c r="G472" s="93">
        <f>IF(AND(E472&lt;&gt;"",F472&lt;&gt;""),ROUND((F472-E472)*24,1),"")</f>
        <v/>
      </c>
    </row>
    <row r="473" ht="15" customHeight="1" s="64">
      <c r="G473" s="93">
        <f>IF(AND(E473&lt;&gt;"",F473&lt;&gt;""),ROUND((F473-E473)*24,1),"")</f>
        <v/>
      </c>
    </row>
    <row r="474" ht="15" customHeight="1" s="64">
      <c r="G474" s="93">
        <f>IF(AND(E474&lt;&gt;"",F474&lt;&gt;""),ROUND((F474-E474)*24,1),"")</f>
        <v/>
      </c>
    </row>
    <row r="475" ht="15" customHeight="1" s="64">
      <c r="G475" s="93">
        <f>IF(AND(E475&lt;&gt;"",F475&lt;&gt;""),ROUND((F475-E475)*24,1),"")</f>
        <v/>
      </c>
    </row>
    <row r="476" ht="15" customHeight="1" s="64">
      <c r="G476" s="93">
        <f>IF(AND(E476&lt;&gt;"",F476&lt;&gt;""),ROUND((F476-E476)*24,1),"")</f>
        <v/>
      </c>
    </row>
    <row r="477" ht="15" customHeight="1" s="64">
      <c r="G477" s="93">
        <f>IF(AND(E477&lt;&gt;"",F477&lt;&gt;""),ROUND((F477-E477)*24,1),"")</f>
        <v/>
      </c>
    </row>
    <row r="478" ht="15" customHeight="1" s="64">
      <c r="G478" s="93">
        <f>IF(AND(E478&lt;&gt;"",F478&lt;&gt;""),ROUND((F478-E478)*24,1),"")</f>
        <v/>
      </c>
    </row>
    <row r="479" ht="15" customHeight="1" s="64">
      <c r="G479" s="93">
        <f>IF(AND(E479&lt;&gt;"",F479&lt;&gt;""),ROUND((F479-E479)*24,1),"")</f>
        <v/>
      </c>
    </row>
    <row r="480" ht="15" customHeight="1" s="64">
      <c r="G480" s="93">
        <f>IF(AND(E480&lt;&gt;"",F480&lt;&gt;""),ROUND((F480-E480)*24,1),"")</f>
        <v/>
      </c>
    </row>
    <row r="481" ht="15" customHeight="1" s="64">
      <c r="G481" s="93">
        <f>IF(AND(E481&lt;&gt;"",F481&lt;&gt;""),ROUND((F481-E481)*24,1),"")</f>
        <v/>
      </c>
    </row>
    <row r="482" ht="15" customHeight="1" s="64">
      <c r="G482" s="93">
        <f>IF(AND(E482&lt;&gt;"",F482&lt;&gt;""),ROUND((F482-E482)*24,1),"")</f>
        <v/>
      </c>
    </row>
    <row r="483" ht="15" customHeight="1" s="64">
      <c r="G483" s="93">
        <f>IF(AND(E483&lt;&gt;"",F483&lt;&gt;""),ROUND((F483-E483)*24,1),"")</f>
        <v/>
      </c>
    </row>
    <row r="484" ht="15" customHeight="1" s="64">
      <c r="G484" s="93">
        <f>IF(AND(E484&lt;&gt;"",F484&lt;&gt;""),ROUND((F484-E484)*24,1),"")</f>
        <v/>
      </c>
    </row>
    <row r="485" ht="15" customHeight="1" s="64">
      <c r="G485" s="93">
        <f>IF(AND(E485&lt;&gt;"",F485&lt;&gt;""),ROUND((F485-E485)*24,1),"")</f>
        <v/>
      </c>
    </row>
    <row r="486" ht="15" customHeight="1" s="64">
      <c r="G486" s="93">
        <f>IF(AND(E486&lt;&gt;"",F486&lt;&gt;""),ROUND((F486-E486)*24,1),"")</f>
        <v/>
      </c>
    </row>
    <row r="487" ht="15" customHeight="1" s="64">
      <c r="G487" s="93">
        <f>IF(AND(E487&lt;&gt;"",F487&lt;&gt;""),ROUND((F487-E487)*24,1),"")</f>
        <v/>
      </c>
    </row>
    <row r="488" ht="15" customHeight="1" s="64">
      <c r="G488" s="93">
        <f>IF(AND(E488&lt;&gt;"",F488&lt;&gt;""),ROUND((F488-E488)*24,1),"")</f>
        <v/>
      </c>
    </row>
    <row r="489" ht="15" customHeight="1" s="64">
      <c r="G489" s="93">
        <f>IF(AND(E489&lt;&gt;"",F489&lt;&gt;""),ROUND((F489-E489)*24,1),"")</f>
        <v/>
      </c>
    </row>
    <row r="490" ht="15" customHeight="1" s="64">
      <c r="G490" s="93">
        <f>IF(AND(E490&lt;&gt;"",F490&lt;&gt;""),ROUND((F490-E490)*24,1),"")</f>
        <v/>
      </c>
    </row>
    <row r="491" ht="15" customHeight="1" s="64">
      <c r="G491" s="93">
        <f>IF(AND(E491&lt;&gt;"",F491&lt;&gt;""),ROUND((F491-E491)*24,1),"")</f>
        <v/>
      </c>
    </row>
    <row r="492" ht="15" customHeight="1" s="64">
      <c r="G492" s="93">
        <f>IF(AND(E492&lt;&gt;"",F492&lt;&gt;""),ROUND((F492-E492)*24,1),"")</f>
        <v/>
      </c>
    </row>
    <row r="493" ht="15" customHeight="1" s="64">
      <c r="G493" s="93">
        <f>IF(AND(E493&lt;&gt;"",F493&lt;&gt;""),ROUND((F493-E493)*24,1),"")</f>
        <v/>
      </c>
    </row>
    <row r="494" ht="15" customHeight="1" s="64">
      <c r="G494" s="93">
        <f>IF(AND(E494&lt;&gt;"",F494&lt;&gt;""),ROUND((F494-E494)*24,1),"")</f>
        <v/>
      </c>
    </row>
    <row r="495" ht="15" customHeight="1" s="64">
      <c r="G495" s="93">
        <f>IF(AND(E495&lt;&gt;"",F495&lt;&gt;""),ROUND((F495-E495)*24,1),"")</f>
        <v/>
      </c>
    </row>
    <row r="496" ht="15" customHeight="1" s="64">
      <c r="G496" s="93">
        <f>IF(AND(E496&lt;&gt;"",F496&lt;&gt;""),ROUND((F496-E496)*24,1),"")</f>
        <v/>
      </c>
    </row>
    <row r="497" ht="15" customHeight="1" s="64">
      <c r="G497" s="93">
        <f>IF(AND(E497&lt;&gt;"",F497&lt;&gt;""),ROUND((F497-E497)*24,1),"")</f>
        <v/>
      </c>
    </row>
    <row r="498" ht="15" customHeight="1" s="64">
      <c r="G498" s="93">
        <f>IF(AND(E498&lt;&gt;"",F498&lt;&gt;""),ROUND((F498-E498)*24,1),"")</f>
        <v/>
      </c>
    </row>
    <row r="499" ht="15" customHeight="1" s="64">
      <c r="G499" s="93">
        <f>IF(AND(E499&lt;&gt;"",F499&lt;&gt;""),ROUND((F499-E499)*24,1),"")</f>
        <v/>
      </c>
    </row>
    <row r="500" ht="15" customHeight="1" s="64">
      <c r="G500" s="93">
        <f>IF(AND(E500&lt;&gt;"",F500&lt;&gt;""),ROUND((F500-E500)*24,1),"")</f>
        <v/>
      </c>
    </row>
    <row r="501" ht="15" customHeight="1" s="64">
      <c r="G501" s="93">
        <f>IF(AND(E501&lt;&gt;"",F501&lt;&gt;""),ROUND((F501-E501)*24,1),"")</f>
        <v/>
      </c>
    </row>
    <row r="502" ht="15" customHeight="1" s="64">
      <c r="G502" s="93">
        <f>IF(AND(E502&lt;&gt;"",F502&lt;&gt;""),ROUND((F502-E502)*24,1),"")</f>
        <v/>
      </c>
    </row>
    <row r="503" ht="15" customHeight="1" s="64">
      <c r="G503" s="93">
        <f>IF(AND(E503&lt;&gt;"",F503&lt;&gt;""),ROUND((F503-E503)*24,1),"")</f>
        <v/>
      </c>
    </row>
    <row r="504" ht="15" customHeight="1" s="64">
      <c r="G504" s="93">
        <f>IF(AND(E504&lt;&gt;"",F504&lt;&gt;""),ROUND((F504-E504)*24,1),"")</f>
        <v/>
      </c>
    </row>
    <row r="505" ht="15" customHeight="1" s="64">
      <c r="G505" s="93">
        <f>IF(AND(E505&lt;&gt;"",F505&lt;&gt;""),ROUND((F505-E505)*24,1),"")</f>
        <v/>
      </c>
    </row>
    <row r="506" ht="15" customHeight="1" s="64">
      <c r="G506" s="93">
        <f>IF(AND(E506&lt;&gt;"",F506&lt;&gt;""),ROUND((F506-E506)*24,1),"")</f>
        <v/>
      </c>
    </row>
    <row r="507" ht="15" customHeight="1" s="64">
      <c r="G507" s="93">
        <f>IF(AND(E507&lt;&gt;"",F507&lt;&gt;""),ROUND((F507-E507)*24,1),"")</f>
        <v/>
      </c>
    </row>
    <row r="508" ht="15" customHeight="1" s="64">
      <c r="G508" s="93">
        <f>IF(AND(E508&lt;&gt;"",F508&lt;&gt;""),ROUND((F508-E508)*24,1),"")</f>
        <v/>
      </c>
    </row>
    <row r="509" ht="15" customHeight="1" s="64">
      <c r="G509" s="93">
        <f>IF(AND(E509&lt;&gt;"",F509&lt;&gt;""),ROUND((F509-E509)*24,1),"")</f>
        <v/>
      </c>
    </row>
    <row r="510" ht="15" customHeight="1" s="64">
      <c r="G510" s="93">
        <f>IF(AND(E510&lt;&gt;"",F510&lt;&gt;""),ROUND((F510-E510)*24,1),"")</f>
        <v/>
      </c>
    </row>
    <row r="511" ht="15" customHeight="1" s="64">
      <c r="G511" s="93">
        <f>IF(AND(E511&lt;&gt;"",F511&lt;&gt;""),ROUND((F511-E511)*24,1),"")</f>
        <v/>
      </c>
    </row>
    <row r="512" ht="15" customHeight="1" s="64">
      <c r="G512" s="93">
        <f>IF(AND(E512&lt;&gt;"",F512&lt;&gt;""),ROUND((F512-E512)*24,1),"")</f>
        <v/>
      </c>
    </row>
    <row r="513" ht="15" customHeight="1" s="64">
      <c r="G513" s="93">
        <f>IF(AND(E513&lt;&gt;"",F513&lt;&gt;""),ROUND((F513-E513)*24,1),"")</f>
        <v/>
      </c>
    </row>
    <row r="514" ht="15" customHeight="1" s="64">
      <c r="G514" s="93">
        <f>IF(AND(E514&lt;&gt;"",F514&lt;&gt;""),ROUND((F514-E514)*24,1),"")</f>
        <v/>
      </c>
    </row>
    <row r="515" ht="15" customHeight="1" s="64">
      <c r="G515" s="93">
        <f>IF(AND(E515&lt;&gt;"",F515&lt;&gt;""),ROUND((F515-E515)*24,1),"")</f>
        <v/>
      </c>
    </row>
    <row r="516" ht="15" customHeight="1" s="64">
      <c r="G516" s="93">
        <f>IF(AND(E516&lt;&gt;"",F516&lt;&gt;""),ROUND((F516-E516)*24,1),"")</f>
        <v/>
      </c>
    </row>
    <row r="517" ht="15" customHeight="1" s="64">
      <c r="G517" s="93">
        <f>IF(AND(E517&lt;&gt;"",F517&lt;&gt;""),ROUND((F517-E517)*24,1),"")</f>
        <v/>
      </c>
    </row>
    <row r="518" ht="15" customHeight="1" s="64">
      <c r="G518" s="93">
        <f>IF(AND(E518&lt;&gt;"",F518&lt;&gt;""),ROUND((F518-E518)*24,1),"")</f>
        <v/>
      </c>
    </row>
    <row r="519" ht="15" customHeight="1" s="64">
      <c r="G519" s="93">
        <f>IF(AND(E519&lt;&gt;"",F519&lt;&gt;""),ROUND((F519-E519)*24,1),"")</f>
        <v/>
      </c>
    </row>
    <row r="520" ht="15" customHeight="1" s="64">
      <c r="G520" s="93">
        <f>IF(AND(E520&lt;&gt;"",F520&lt;&gt;""),ROUND((F520-E520)*24,1),"")</f>
        <v/>
      </c>
    </row>
    <row r="521" ht="15" customHeight="1" s="64">
      <c r="G521" s="93">
        <f>IF(AND(E521&lt;&gt;"",F521&lt;&gt;""),ROUND((F521-E521)*24,1),"")</f>
        <v/>
      </c>
    </row>
    <row r="522" ht="15" customHeight="1" s="64">
      <c r="G522" s="93">
        <f>IF(AND(E522&lt;&gt;"",F522&lt;&gt;""),ROUND((F522-E522)*24,1),"")</f>
        <v/>
      </c>
    </row>
    <row r="523" ht="15" customHeight="1" s="64">
      <c r="G523" s="93">
        <f>IF(AND(E523&lt;&gt;"",F523&lt;&gt;""),ROUND((F523-E523)*24,1),"")</f>
        <v/>
      </c>
    </row>
    <row r="524" ht="15" customHeight="1" s="64">
      <c r="G524" s="93">
        <f>IF(AND(E524&lt;&gt;"",F524&lt;&gt;""),ROUND((F524-E524)*24,1),"")</f>
        <v/>
      </c>
    </row>
    <row r="525" ht="15" customHeight="1" s="64">
      <c r="G525" s="93">
        <f>IF(AND(E525&lt;&gt;"",F525&lt;&gt;""),ROUND((F525-E525)*24,1),"")</f>
        <v/>
      </c>
    </row>
    <row r="526" ht="15" customHeight="1" s="64">
      <c r="G526" s="93">
        <f>IF(AND(E526&lt;&gt;"",F526&lt;&gt;""),ROUND((F526-E526)*24,1),"")</f>
        <v/>
      </c>
    </row>
    <row r="527" ht="15" customHeight="1" s="64">
      <c r="G527" s="93">
        <f>IF(AND(E527&lt;&gt;"",F527&lt;&gt;""),ROUND((F527-E527)*24,1),"")</f>
        <v/>
      </c>
    </row>
    <row r="528" ht="15" customHeight="1" s="64">
      <c r="G528" s="93">
        <f>IF(AND(E528&lt;&gt;"",F528&lt;&gt;""),ROUND((F528-E528)*24,1),"")</f>
        <v/>
      </c>
    </row>
    <row r="529" ht="15" customHeight="1" s="64">
      <c r="G529" s="93">
        <f>IF(AND(E529&lt;&gt;"",F529&lt;&gt;""),ROUND((F529-E529)*24,1),"")</f>
        <v/>
      </c>
    </row>
    <row r="530" ht="15" customHeight="1" s="64">
      <c r="G530" s="93">
        <f>IF(AND(E530&lt;&gt;"",F530&lt;&gt;""),ROUND((F530-E530)*24,1),"")</f>
        <v/>
      </c>
    </row>
    <row r="531" ht="15" customHeight="1" s="64">
      <c r="G531" s="93">
        <f>IF(AND(E531&lt;&gt;"",F531&lt;&gt;""),ROUND((F531-E531)*24,1),"")</f>
        <v/>
      </c>
    </row>
    <row r="532" ht="15" customHeight="1" s="64">
      <c r="G532" s="93">
        <f>IF(AND(E532&lt;&gt;"",F532&lt;&gt;""),ROUND((F532-E532)*24,1),"")</f>
        <v/>
      </c>
    </row>
    <row r="533" ht="15" customHeight="1" s="64">
      <c r="G533" s="93">
        <f>IF(AND(E533&lt;&gt;"",F533&lt;&gt;""),ROUND((F533-E533)*24,1),"")</f>
        <v/>
      </c>
    </row>
    <row r="534" ht="15" customHeight="1" s="64">
      <c r="G534" s="93">
        <f>IF(AND(E534&lt;&gt;"",F534&lt;&gt;""),ROUND((F534-E534)*24,1),"")</f>
        <v/>
      </c>
    </row>
    <row r="535" ht="15" customHeight="1" s="64">
      <c r="G535" s="93">
        <f>IF(AND(E535&lt;&gt;"",F535&lt;&gt;""),ROUND((F535-E535)*24,1),"")</f>
        <v/>
      </c>
    </row>
    <row r="536" ht="15" customHeight="1" s="64">
      <c r="G536" s="93">
        <f>IF(AND(E536&lt;&gt;"",F536&lt;&gt;""),ROUND((F536-E536)*24,1),"")</f>
        <v/>
      </c>
    </row>
    <row r="537" ht="15" customHeight="1" s="64">
      <c r="G537" s="93">
        <f>IF(AND(E537&lt;&gt;"",F537&lt;&gt;""),ROUND((F537-E537)*24,1),"")</f>
        <v/>
      </c>
    </row>
    <row r="538" ht="15" customHeight="1" s="64">
      <c r="G538" s="93">
        <f>IF(AND(E538&lt;&gt;"",F538&lt;&gt;""),ROUND((F538-E538)*24,1),"")</f>
        <v/>
      </c>
    </row>
    <row r="539" ht="15" customHeight="1" s="64">
      <c r="G539" s="93">
        <f>IF(AND(E539&lt;&gt;"",F539&lt;&gt;""),ROUND((F539-E539)*24,1),"")</f>
        <v/>
      </c>
    </row>
    <row r="540" ht="15" customHeight="1" s="64">
      <c r="G540" s="93">
        <f>IF(AND(E540&lt;&gt;"",F540&lt;&gt;""),ROUND((F540-E540)*24,1),"")</f>
        <v/>
      </c>
    </row>
    <row r="541" ht="15" customHeight="1" s="64">
      <c r="G541" s="93">
        <f>IF(AND(E541&lt;&gt;"",F541&lt;&gt;""),ROUND((F541-E541)*24,1),"")</f>
        <v/>
      </c>
    </row>
    <row r="542" ht="15" customHeight="1" s="64">
      <c r="G542" s="93">
        <f>IF(AND(E542&lt;&gt;"",F542&lt;&gt;""),ROUND((F542-E542)*24,1),"")</f>
        <v/>
      </c>
    </row>
    <row r="543" ht="15" customHeight="1" s="64">
      <c r="G543" s="93">
        <f>IF(AND(E543&lt;&gt;"",F543&lt;&gt;""),ROUND((F543-E543)*24,1),"")</f>
        <v/>
      </c>
    </row>
    <row r="544" ht="15" customHeight="1" s="64">
      <c r="G544" s="93">
        <f>IF(AND(E544&lt;&gt;"",F544&lt;&gt;""),ROUND((F544-E544)*24,1),"")</f>
        <v/>
      </c>
    </row>
    <row r="545" ht="15" customHeight="1" s="64">
      <c r="G545" s="93">
        <f>IF(AND(E545&lt;&gt;"",F545&lt;&gt;""),ROUND((F545-E545)*24,1),"")</f>
        <v/>
      </c>
    </row>
    <row r="546" ht="15" customHeight="1" s="64">
      <c r="G546" s="93">
        <f>IF(AND(E546&lt;&gt;"",F546&lt;&gt;""),ROUND((F546-E546)*24,1),"")</f>
        <v/>
      </c>
    </row>
    <row r="547" ht="15" customHeight="1" s="64">
      <c r="G547" s="93">
        <f>IF(AND(E547&lt;&gt;"",F547&lt;&gt;""),ROUND((F547-E547)*24,1),"")</f>
        <v/>
      </c>
    </row>
    <row r="548" ht="15" customHeight="1" s="64">
      <c r="G548" s="93">
        <f>IF(AND(E548&lt;&gt;"",F548&lt;&gt;""),ROUND((F548-E548)*24,1),"")</f>
        <v/>
      </c>
    </row>
    <row r="549" ht="15" customHeight="1" s="64">
      <c r="G549" s="93">
        <f>IF(AND(E549&lt;&gt;"",F549&lt;&gt;""),ROUND((F549-E549)*24,1),"")</f>
        <v/>
      </c>
    </row>
    <row r="550" ht="15" customHeight="1" s="64">
      <c r="G550" s="93">
        <f>IF(AND(E550&lt;&gt;"",F550&lt;&gt;""),ROUND((F550-E550)*24,1),"")</f>
        <v/>
      </c>
    </row>
    <row r="551" ht="15" customHeight="1" s="64">
      <c r="G551" s="93">
        <f>IF(AND(E551&lt;&gt;"",F551&lt;&gt;""),ROUND((F551-E551)*24,1),"")</f>
        <v/>
      </c>
    </row>
    <row r="552" ht="15" customHeight="1" s="64">
      <c r="G552" s="93">
        <f>IF(AND(E552&lt;&gt;"",F552&lt;&gt;""),ROUND((F552-E552)*24,1),"")</f>
        <v/>
      </c>
    </row>
    <row r="553" ht="15" customHeight="1" s="64">
      <c r="G553" s="93">
        <f>IF(AND(E553&lt;&gt;"",F553&lt;&gt;""),ROUND((F553-E553)*24,1),"")</f>
        <v/>
      </c>
    </row>
    <row r="554" ht="15" customHeight="1" s="64">
      <c r="G554" s="93">
        <f>IF(AND(E554&lt;&gt;"",F554&lt;&gt;""),ROUND((F554-E554)*24,1),"")</f>
        <v/>
      </c>
    </row>
    <row r="555" ht="15" customHeight="1" s="64">
      <c r="G555" s="93">
        <f>IF(AND(E555&lt;&gt;"",F555&lt;&gt;""),ROUND((F555-E555)*24,1),"")</f>
        <v/>
      </c>
    </row>
    <row r="556" ht="15" customHeight="1" s="64">
      <c r="G556" s="93">
        <f>IF(AND(E556&lt;&gt;"",F556&lt;&gt;""),ROUND((F556-E556)*24,1),"")</f>
        <v/>
      </c>
    </row>
    <row r="557" ht="15" customHeight="1" s="64">
      <c r="G557" s="93">
        <f>IF(AND(E557&lt;&gt;"",F557&lt;&gt;""),ROUND((F557-E557)*24,1),"")</f>
        <v/>
      </c>
    </row>
    <row r="558" ht="15" customHeight="1" s="64">
      <c r="G558" s="93">
        <f>IF(AND(E558&lt;&gt;"",F558&lt;&gt;""),ROUND((F558-E558)*24,1),"")</f>
        <v/>
      </c>
    </row>
    <row r="559" ht="15" customHeight="1" s="64">
      <c r="G559" s="93">
        <f>IF(AND(E559&lt;&gt;"",F559&lt;&gt;""),ROUND((F559-E559)*24,1),"")</f>
        <v/>
      </c>
    </row>
    <row r="560" ht="15" customHeight="1" s="64">
      <c r="G560" s="93">
        <f>IF(AND(E560&lt;&gt;"",F560&lt;&gt;""),ROUND((F560-E560)*24,1),"")</f>
        <v/>
      </c>
    </row>
    <row r="561" ht="15" customHeight="1" s="64">
      <c r="G561" s="93">
        <f>IF(AND(E561&lt;&gt;"",F561&lt;&gt;""),ROUND((F561-E561)*24,1),"")</f>
        <v/>
      </c>
    </row>
    <row r="562" ht="15" customHeight="1" s="64">
      <c r="G562" s="93">
        <f>IF(AND(E562&lt;&gt;"",F562&lt;&gt;""),ROUND((F562-E562)*24,1),"")</f>
        <v/>
      </c>
    </row>
    <row r="563" ht="15" customHeight="1" s="64">
      <c r="G563" s="93">
        <f>IF(AND(E563&lt;&gt;"",F563&lt;&gt;""),ROUND((F563-E563)*24,1),"")</f>
        <v/>
      </c>
    </row>
    <row r="564" ht="15" customHeight="1" s="64">
      <c r="G564" s="93">
        <f>IF(AND(E564&lt;&gt;"",F564&lt;&gt;""),ROUND((F564-E564)*24,1),"")</f>
        <v/>
      </c>
    </row>
    <row r="565" ht="15" customHeight="1" s="64">
      <c r="G565" s="93">
        <f>IF(AND(E565&lt;&gt;"",F565&lt;&gt;""),ROUND((F565-E565)*24,1),"")</f>
        <v/>
      </c>
    </row>
    <row r="566" ht="15" customHeight="1" s="64">
      <c r="G566" s="93">
        <f>IF(AND(E566&lt;&gt;"",F566&lt;&gt;""),ROUND((F566-E566)*24,1),"")</f>
        <v/>
      </c>
    </row>
    <row r="567" ht="15" customHeight="1" s="64">
      <c r="G567" s="93">
        <f>IF(AND(E567&lt;&gt;"",F567&lt;&gt;""),ROUND((F567-E567)*24,1),"")</f>
        <v/>
      </c>
    </row>
    <row r="568" ht="15" customHeight="1" s="64">
      <c r="G568" s="93">
        <f>IF(AND(E568&lt;&gt;"",F568&lt;&gt;""),ROUND((F568-E568)*24,1),"")</f>
        <v/>
      </c>
    </row>
    <row r="569" ht="15" customHeight="1" s="64">
      <c r="G569" s="93">
        <f>IF(AND(E569&lt;&gt;"",F569&lt;&gt;""),ROUND((F569-E569)*24,1),"")</f>
        <v/>
      </c>
    </row>
    <row r="570" ht="15" customHeight="1" s="64">
      <c r="G570" s="93">
        <f>IF(AND(E570&lt;&gt;"",F570&lt;&gt;""),ROUND((F570-E570)*24,1),"")</f>
        <v/>
      </c>
    </row>
    <row r="571" ht="15" customHeight="1" s="64">
      <c r="G571" s="93">
        <f>IF(AND(E571&lt;&gt;"",F571&lt;&gt;""),ROUND((F571-E571)*24,1),"")</f>
        <v/>
      </c>
    </row>
    <row r="572" ht="15" customHeight="1" s="64">
      <c r="G572" s="93">
        <f>IF(AND(E572&lt;&gt;"",F572&lt;&gt;""),ROUND((F572-E572)*24,1),"")</f>
        <v/>
      </c>
    </row>
    <row r="573" ht="15" customHeight="1" s="64">
      <c r="G573" s="93">
        <f>IF(AND(E573&lt;&gt;"",F573&lt;&gt;""),ROUND((F573-E573)*24,1),"")</f>
        <v/>
      </c>
    </row>
    <row r="574" ht="15" customHeight="1" s="64">
      <c r="G574" s="93">
        <f>IF(AND(E574&lt;&gt;"",F574&lt;&gt;""),ROUND((F574-E574)*24,1),"")</f>
        <v/>
      </c>
    </row>
    <row r="575" ht="15" customHeight="1" s="64">
      <c r="G575" s="93">
        <f>IF(AND(E575&lt;&gt;"",F575&lt;&gt;""),ROUND((F575-E575)*24,1),"")</f>
        <v/>
      </c>
    </row>
    <row r="576" ht="15" customHeight="1" s="64">
      <c r="G576" s="93">
        <f>IF(AND(E576&lt;&gt;"",F576&lt;&gt;""),ROUND((F576-E576)*24,1),"")</f>
        <v/>
      </c>
    </row>
    <row r="577" ht="15" customHeight="1" s="64">
      <c r="G577" s="93">
        <f>IF(AND(E577&lt;&gt;"",F577&lt;&gt;""),ROUND((F577-E577)*24,1),"")</f>
        <v/>
      </c>
    </row>
    <row r="578" ht="15" customHeight="1" s="64">
      <c r="G578" s="93">
        <f>IF(AND(E578&lt;&gt;"",F578&lt;&gt;""),ROUND((F578-E578)*24,1),"")</f>
        <v/>
      </c>
    </row>
    <row r="579" ht="15" customHeight="1" s="64">
      <c r="G579" s="93">
        <f>IF(AND(E579&lt;&gt;"",F579&lt;&gt;""),ROUND((F579-E579)*24,1),"")</f>
        <v/>
      </c>
    </row>
    <row r="580" ht="15" customHeight="1" s="64">
      <c r="G580" s="93">
        <f>IF(AND(E580&lt;&gt;"",F580&lt;&gt;""),ROUND((F580-E580)*24,1),"")</f>
        <v/>
      </c>
    </row>
    <row r="581" ht="15" customHeight="1" s="64">
      <c r="G581" s="93">
        <f>IF(AND(E581&lt;&gt;"",F581&lt;&gt;""),ROUND((F581-E581)*24,1),"")</f>
        <v/>
      </c>
    </row>
    <row r="582" ht="15" customHeight="1" s="64">
      <c r="G582" s="93">
        <f>IF(AND(E582&lt;&gt;"",F582&lt;&gt;""),ROUND((F582-E582)*24,1),"")</f>
        <v/>
      </c>
    </row>
    <row r="583" ht="15" customHeight="1" s="64">
      <c r="G583" s="93">
        <f>IF(AND(E583&lt;&gt;"",F583&lt;&gt;""),ROUND((F583-E583)*24,1),"")</f>
        <v/>
      </c>
    </row>
    <row r="584" ht="15" customHeight="1" s="64">
      <c r="G584" s="93">
        <f>IF(AND(E584&lt;&gt;"",F584&lt;&gt;""),ROUND((F584-E584)*24,1),"")</f>
        <v/>
      </c>
    </row>
    <row r="585" ht="15" customHeight="1" s="64">
      <c r="G585" s="93">
        <f>IF(AND(E585&lt;&gt;"",F585&lt;&gt;""),ROUND((F585-E585)*24,1),"")</f>
        <v/>
      </c>
    </row>
    <row r="586" ht="15" customHeight="1" s="64">
      <c r="G586" s="93">
        <f>IF(AND(E586&lt;&gt;"",F586&lt;&gt;""),ROUND((F586-E586)*24,1),"")</f>
        <v/>
      </c>
    </row>
    <row r="587" ht="15" customHeight="1" s="64">
      <c r="G587" s="93">
        <f>IF(AND(E587&lt;&gt;"",F587&lt;&gt;""),ROUND((F587-E587)*24,1),"")</f>
        <v/>
      </c>
    </row>
    <row r="588" ht="15" customHeight="1" s="64">
      <c r="G588" s="93">
        <f>IF(AND(E588&lt;&gt;"",F588&lt;&gt;""),ROUND((F588-E588)*24,1),"")</f>
        <v/>
      </c>
    </row>
    <row r="589" ht="15" customHeight="1" s="64">
      <c r="G589" s="93">
        <f>IF(AND(E589&lt;&gt;"",F589&lt;&gt;""),ROUND((F589-E589)*24,1),"")</f>
        <v/>
      </c>
    </row>
    <row r="590" ht="15" customHeight="1" s="64">
      <c r="G590" s="93">
        <f>IF(AND(E590&lt;&gt;"",F590&lt;&gt;""),ROUND((F590-E590)*24,1),"")</f>
        <v/>
      </c>
    </row>
    <row r="591" ht="15" customHeight="1" s="64">
      <c r="G591" s="93">
        <f>IF(AND(E591&lt;&gt;"",F591&lt;&gt;""),ROUND((F591-E591)*24,1),"")</f>
        <v/>
      </c>
    </row>
    <row r="592" ht="15" customHeight="1" s="64">
      <c r="G592" s="93">
        <f>IF(AND(E592&lt;&gt;"",F592&lt;&gt;""),ROUND((F592-E592)*24,1),"")</f>
        <v/>
      </c>
    </row>
    <row r="593" ht="15" customHeight="1" s="64">
      <c r="G593" s="93">
        <f>IF(AND(E593&lt;&gt;"",F593&lt;&gt;""),ROUND((F593-E593)*24,1),"")</f>
        <v/>
      </c>
    </row>
    <row r="594" ht="15" customHeight="1" s="64">
      <c r="G594" s="93">
        <f>IF(AND(E594&lt;&gt;"",F594&lt;&gt;""),ROUND((F594-E594)*24,1),"")</f>
        <v/>
      </c>
    </row>
    <row r="595" ht="15" customHeight="1" s="64">
      <c r="G595" s="93">
        <f>IF(AND(E595&lt;&gt;"",F595&lt;&gt;""),ROUND((F595-E595)*24,1),"")</f>
        <v/>
      </c>
    </row>
    <row r="596" ht="15" customHeight="1" s="64">
      <c r="G596" s="93">
        <f>IF(AND(E596&lt;&gt;"",F596&lt;&gt;""),ROUND((F596-E596)*24,1),"")</f>
        <v/>
      </c>
    </row>
    <row r="597" ht="15" customHeight="1" s="64">
      <c r="G597" s="93">
        <f>IF(AND(E597&lt;&gt;"",F597&lt;&gt;""),ROUND((F597-E597)*24,1),"")</f>
        <v/>
      </c>
    </row>
    <row r="598" ht="15" customHeight="1" s="64">
      <c r="G598" s="93">
        <f>IF(AND(E598&lt;&gt;"",F598&lt;&gt;""),ROUND((F598-E598)*24,1),"")</f>
        <v/>
      </c>
    </row>
    <row r="599" ht="15" customHeight="1" s="64">
      <c r="G599" s="93">
        <f>IF(AND(E599&lt;&gt;"",F599&lt;&gt;""),ROUND((F599-E599)*24,1),"")</f>
        <v/>
      </c>
    </row>
    <row r="600" ht="15" customHeight="1" s="64">
      <c r="G600" s="93">
        <f>IF(AND(E600&lt;&gt;"",F600&lt;&gt;""),ROUND((F600-E600)*24,1),"")</f>
        <v/>
      </c>
    </row>
    <row r="601" ht="15" customHeight="1" s="64">
      <c r="G601" s="93">
        <f>IF(AND(E601&lt;&gt;"",F601&lt;&gt;""),ROUND((F601-E601)*24,1),"")</f>
        <v/>
      </c>
    </row>
    <row r="602" ht="15" customHeight="1" s="64">
      <c r="G602" s="93">
        <f>IF(AND(E602&lt;&gt;"",F602&lt;&gt;""),ROUND((F602-E602)*24,1),"")</f>
        <v/>
      </c>
    </row>
    <row r="603" ht="15" customHeight="1" s="64">
      <c r="G603" s="93">
        <f>IF(AND(E603&lt;&gt;"",F603&lt;&gt;""),ROUND((F603-E603)*24,1),"")</f>
        <v/>
      </c>
    </row>
    <row r="604" ht="15" customHeight="1" s="64">
      <c r="G604" s="93">
        <f>IF(AND(E604&lt;&gt;"",F604&lt;&gt;""),ROUND((F604-E604)*24,1),"")</f>
        <v/>
      </c>
    </row>
    <row r="605" ht="15" customHeight="1" s="64">
      <c r="G605" s="93">
        <f>IF(AND(E605&lt;&gt;"",F605&lt;&gt;""),ROUND((F605-E605)*24,1),"")</f>
        <v/>
      </c>
    </row>
    <row r="606" ht="15" customHeight="1" s="64">
      <c r="G606" s="93">
        <f>IF(AND(E606&lt;&gt;"",F606&lt;&gt;""),ROUND((F606-E606)*24,1),"")</f>
        <v/>
      </c>
    </row>
    <row r="607" ht="15" customHeight="1" s="64">
      <c r="G607" s="93">
        <f>IF(AND(E607&lt;&gt;"",F607&lt;&gt;""),ROUND((F607-E607)*24,1),"")</f>
        <v/>
      </c>
    </row>
    <row r="608" ht="15" customHeight="1" s="64">
      <c r="G608" s="93">
        <f>IF(AND(E608&lt;&gt;"",F608&lt;&gt;""),ROUND((F608-E608)*24,1),"")</f>
        <v/>
      </c>
    </row>
    <row r="609" ht="15" customHeight="1" s="64">
      <c r="G609" s="93">
        <f>IF(AND(E609&lt;&gt;"",F609&lt;&gt;""),ROUND((F609-E609)*24,1),"")</f>
        <v/>
      </c>
    </row>
    <row r="610" ht="15" customHeight="1" s="64">
      <c r="G610" s="93">
        <f>IF(AND(E610&lt;&gt;"",F610&lt;&gt;""),ROUND((F610-E610)*24,1),"")</f>
        <v/>
      </c>
    </row>
    <row r="611" ht="15" customHeight="1" s="64">
      <c r="G611" s="93">
        <f>IF(AND(E611&lt;&gt;"",F611&lt;&gt;""),ROUND((F611-E611)*24,1),"")</f>
        <v/>
      </c>
    </row>
    <row r="612" ht="15" customHeight="1" s="64">
      <c r="G612" s="93">
        <f>IF(AND(E612&lt;&gt;"",F612&lt;&gt;""),ROUND((F612-E612)*24,1),"")</f>
        <v/>
      </c>
    </row>
    <row r="613" ht="15" customHeight="1" s="64">
      <c r="G613" s="93">
        <f>IF(AND(E613&lt;&gt;"",F613&lt;&gt;""),ROUND((F613-E613)*24,1),"")</f>
        <v/>
      </c>
    </row>
    <row r="614" ht="15" customHeight="1" s="64">
      <c r="G614" s="93">
        <f>IF(AND(E614&lt;&gt;"",F614&lt;&gt;""),ROUND((F614-E614)*24,1),"")</f>
        <v/>
      </c>
    </row>
    <row r="615" ht="15" customHeight="1" s="64">
      <c r="G615" s="93">
        <f>IF(AND(E615&lt;&gt;"",F615&lt;&gt;""),ROUND((F615-E615)*24,1),"")</f>
        <v/>
      </c>
    </row>
    <row r="616" ht="15" customHeight="1" s="64">
      <c r="G616" s="93">
        <f>IF(AND(E616&lt;&gt;"",F616&lt;&gt;""),ROUND((F616-E616)*24,1),"")</f>
        <v/>
      </c>
    </row>
    <row r="617" ht="15" customHeight="1" s="64">
      <c r="G617" s="93">
        <f>IF(AND(E617&lt;&gt;"",F617&lt;&gt;""),ROUND((F617-E617)*24,1),"")</f>
        <v/>
      </c>
    </row>
    <row r="618" ht="15" customHeight="1" s="64">
      <c r="G618" s="93">
        <f>IF(AND(E618&lt;&gt;"",F618&lt;&gt;""),ROUND((F618-E618)*24,1),"")</f>
        <v/>
      </c>
    </row>
    <row r="619" ht="15" customHeight="1" s="64">
      <c r="G619" s="93">
        <f>IF(AND(E619&lt;&gt;"",F619&lt;&gt;""),ROUND((F619-E619)*24,1),"")</f>
        <v/>
      </c>
    </row>
    <row r="620" ht="15" customHeight="1" s="64">
      <c r="G620" s="93">
        <f>IF(AND(E620&lt;&gt;"",F620&lt;&gt;""),ROUND((F620-E620)*24,1),"")</f>
        <v/>
      </c>
    </row>
    <row r="621" ht="15" customHeight="1" s="64">
      <c r="G621" s="93">
        <f>IF(AND(E621&lt;&gt;"",F621&lt;&gt;""),ROUND((F621-E621)*24,1),"")</f>
        <v/>
      </c>
    </row>
    <row r="622" ht="15" customHeight="1" s="64">
      <c r="G622" s="93">
        <f>IF(AND(E622&lt;&gt;"",F622&lt;&gt;""),ROUND((F622-E622)*24,1),"")</f>
        <v/>
      </c>
    </row>
    <row r="623" ht="15" customHeight="1" s="64">
      <c r="G623" s="93">
        <f>IF(AND(E623&lt;&gt;"",F623&lt;&gt;""),ROUND((F623-E623)*24,1),"")</f>
        <v/>
      </c>
    </row>
    <row r="624" ht="15" customHeight="1" s="64">
      <c r="G624" s="93">
        <f>IF(AND(E624&lt;&gt;"",F624&lt;&gt;""),ROUND((F624-E624)*24,1),"")</f>
        <v/>
      </c>
    </row>
    <row r="625" ht="15" customHeight="1" s="64">
      <c r="G625" s="93">
        <f>IF(AND(E625&lt;&gt;"",F625&lt;&gt;""),ROUND((F625-E625)*24,1),"")</f>
        <v/>
      </c>
    </row>
    <row r="626" ht="15" customHeight="1" s="64">
      <c r="G626" s="93">
        <f>IF(AND(E626&lt;&gt;"",F626&lt;&gt;""),ROUND((F626-E626)*24,1),"")</f>
        <v/>
      </c>
    </row>
    <row r="627" ht="15" customHeight="1" s="64">
      <c r="G627" s="93">
        <f>IF(AND(E627&lt;&gt;"",F627&lt;&gt;""),ROUND((F627-E627)*24,1),"")</f>
        <v/>
      </c>
    </row>
    <row r="628" ht="15" customHeight="1" s="64">
      <c r="G628" s="93">
        <f>IF(AND(E628&lt;&gt;"",F628&lt;&gt;""),ROUND((F628-E628)*24,1),"")</f>
        <v/>
      </c>
    </row>
    <row r="629" ht="15" customHeight="1" s="64">
      <c r="G629" s="93">
        <f>IF(AND(E629&lt;&gt;"",F629&lt;&gt;""),ROUND((F629-E629)*24,1),"")</f>
        <v/>
      </c>
    </row>
    <row r="630" ht="15" customHeight="1" s="64">
      <c r="G630" s="93">
        <f>IF(AND(E630&lt;&gt;"",F630&lt;&gt;""),ROUND((F630-E630)*24,1),"")</f>
        <v/>
      </c>
    </row>
    <row r="631" ht="15" customHeight="1" s="64">
      <c r="G631" s="93">
        <f>IF(AND(E631&lt;&gt;"",F631&lt;&gt;""),ROUND((F631-E631)*24,1),"")</f>
        <v/>
      </c>
    </row>
    <row r="632" ht="15" customHeight="1" s="64">
      <c r="G632" s="93">
        <f>IF(AND(E632&lt;&gt;"",F632&lt;&gt;""),ROUND((F632-E632)*24,1),"")</f>
        <v/>
      </c>
    </row>
    <row r="633" ht="15" customHeight="1" s="64">
      <c r="G633" s="93">
        <f>IF(AND(E633&lt;&gt;"",F633&lt;&gt;""),ROUND((F633-E633)*24,1),"")</f>
        <v/>
      </c>
    </row>
    <row r="634" ht="15" customHeight="1" s="64">
      <c r="G634" s="93">
        <f>IF(AND(E634&lt;&gt;"",F634&lt;&gt;""),ROUND((F634-E634)*24,1),"")</f>
        <v/>
      </c>
    </row>
    <row r="635" ht="15" customHeight="1" s="64">
      <c r="G635" s="93">
        <f>IF(AND(E635&lt;&gt;"",F635&lt;&gt;""),ROUND((F635-E635)*24,1),"")</f>
        <v/>
      </c>
    </row>
    <row r="636" ht="15" customHeight="1" s="64">
      <c r="G636" s="93">
        <f>IF(AND(E636&lt;&gt;"",F636&lt;&gt;""),ROUND((F636-E636)*24,1),"")</f>
        <v/>
      </c>
    </row>
    <row r="637" ht="15" customHeight="1" s="64">
      <c r="G637" s="93">
        <f>IF(AND(E637&lt;&gt;"",F637&lt;&gt;""),ROUND((F637-E637)*24,1),"")</f>
        <v/>
      </c>
    </row>
    <row r="638" ht="15" customHeight="1" s="64">
      <c r="G638" s="93">
        <f>IF(AND(E638&lt;&gt;"",F638&lt;&gt;""),ROUND((F638-E638)*24,1),"")</f>
        <v/>
      </c>
    </row>
    <row r="639" ht="15" customHeight="1" s="64">
      <c r="G639" s="93">
        <f>IF(AND(E639&lt;&gt;"",F639&lt;&gt;""),ROUND((F639-E639)*24,1),"")</f>
        <v/>
      </c>
    </row>
    <row r="640" ht="15" customHeight="1" s="64">
      <c r="G640" s="93">
        <f>IF(AND(E640&lt;&gt;"",F640&lt;&gt;""),ROUND((F640-E640)*24,1),"")</f>
        <v/>
      </c>
    </row>
    <row r="641" ht="15" customHeight="1" s="64">
      <c r="G641" s="93">
        <f>IF(AND(E641&lt;&gt;"",F641&lt;&gt;""),ROUND((F641-E641)*24,1),"")</f>
        <v/>
      </c>
    </row>
    <row r="642" ht="15" customHeight="1" s="64">
      <c r="G642" s="93">
        <f>IF(AND(E642&lt;&gt;"",F642&lt;&gt;""),ROUND((F642-E642)*24,1),"")</f>
        <v/>
      </c>
    </row>
    <row r="643" ht="15" customHeight="1" s="64">
      <c r="G643" s="93">
        <f>IF(AND(E643&lt;&gt;"",F643&lt;&gt;""),ROUND((F643-E643)*24,1),"")</f>
        <v/>
      </c>
    </row>
    <row r="644" ht="15" customHeight="1" s="64">
      <c r="G644" s="93">
        <f>IF(AND(E644&lt;&gt;"",F644&lt;&gt;""),ROUND((F644-E644)*24,1),"")</f>
        <v/>
      </c>
    </row>
    <row r="645" ht="15" customHeight="1" s="64">
      <c r="G645" s="93">
        <f>IF(AND(E645&lt;&gt;"",F645&lt;&gt;""),ROUND((F645-E645)*24,1),"")</f>
        <v/>
      </c>
    </row>
    <row r="646" ht="15" customHeight="1" s="64">
      <c r="G646" s="93">
        <f>IF(AND(E646&lt;&gt;"",F646&lt;&gt;""),ROUND((F646-E646)*24,1),"")</f>
        <v/>
      </c>
    </row>
    <row r="647" ht="15" customHeight="1" s="64">
      <c r="G647" s="93">
        <f>IF(AND(E647&lt;&gt;"",F647&lt;&gt;""),ROUND((F647-E647)*24,1),"")</f>
        <v/>
      </c>
    </row>
    <row r="648" ht="15" customHeight="1" s="64">
      <c r="G648" s="93">
        <f>IF(AND(E648&lt;&gt;"",F648&lt;&gt;""),ROUND((F648-E648)*24,1),"")</f>
        <v/>
      </c>
    </row>
    <row r="649" ht="15" customHeight="1" s="64">
      <c r="G649" s="93">
        <f>IF(AND(E649&lt;&gt;"",F649&lt;&gt;""),ROUND((F649-E649)*24,1),"")</f>
        <v/>
      </c>
    </row>
    <row r="650" ht="15" customHeight="1" s="64">
      <c r="G650" s="93">
        <f>IF(AND(E650&lt;&gt;"",F650&lt;&gt;""),ROUND((F650-E650)*24,1),"")</f>
        <v/>
      </c>
    </row>
    <row r="651" ht="15" customHeight="1" s="64">
      <c r="G651" s="93">
        <f>IF(AND(E651&lt;&gt;"",F651&lt;&gt;""),ROUND((F651-E651)*24,1),"")</f>
        <v/>
      </c>
    </row>
    <row r="652" ht="15" customHeight="1" s="64">
      <c r="G652" s="93">
        <f>IF(AND(E652&lt;&gt;"",F652&lt;&gt;""),ROUND((F652-E652)*24,1),"")</f>
        <v/>
      </c>
    </row>
    <row r="653" ht="15" customHeight="1" s="64">
      <c r="G653" s="93">
        <f>IF(AND(E653&lt;&gt;"",F653&lt;&gt;""),ROUND((F653-E653)*24,1),"")</f>
        <v/>
      </c>
    </row>
    <row r="654" ht="15" customHeight="1" s="64">
      <c r="G654" s="93">
        <f>IF(AND(E654&lt;&gt;"",F654&lt;&gt;""),ROUND((F654-E654)*24,1),"")</f>
        <v/>
      </c>
    </row>
    <row r="655" ht="15" customHeight="1" s="64">
      <c r="G655" s="93">
        <f>IF(AND(E655&lt;&gt;"",F655&lt;&gt;""),ROUND((F655-E655)*24,1),"")</f>
        <v/>
      </c>
    </row>
    <row r="656" ht="15" customHeight="1" s="64">
      <c r="G656" s="93">
        <f>IF(AND(E656&lt;&gt;"",F656&lt;&gt;""),ROUND((F656-E656)*24,1),"")</f>
        <v/>
      </c>
    </row>
    <row r="657" ht="15" customHeight="1" s="64">
      <c r="G657" s="93">
        <f>IF(AND(E657&lt;&gt;"",F657&lt;&gt;""),ROUND((F657-E657)*24,1),"")</f>
        <v/>
      </c>
    </row>
    <row r="658" ht="15" customHeight="1" s="64">
      <c r="G658" s="93">
        <f>IF(AND(E658&lt;&gt;"",F658&lt;&gt;""),ROUND((F658-E658)*24,1),"")</f>
        <v/>
      </c>
    </row>
    <row r="659" ht="15" customHeight="1" s="64">
      <c r="G659" s="93">
        <f>IF(AND(E659&lt;&gt;"",F659&lt;&gt;""),ROUND((F659-E659)*24,1),"")</f>
        <v/>
      </c>
    </row>
    <row r="660" ht="15" customHeight="1" s="64">
      <c r="G660" s="93">
        <f>IF(AND(E660&lt;&gt;"",F660&lt;&gt;""),ROUND((F660-E660)*24,1),"")</f>
        <v/>
      </c>
    </row>
    <row r="661" ht="15" customHeight="1" s="64">
      <c r="G661" s="93">
        <f>IF(AND(E661&lt;&gt;"",F661&lt;&gt;""),ROUND((F661-E661)*24,1),"")</f>
        <v/>
      </c>
    </row>
    <row r="662" ht="15" customHeight="1" s="64">
      <c r="G662" s="93">
        <f>IF(AND(E662&lt;&gt;"",F662&lt;&gt;""),ROUND((F662-E662)*24,1),"")</f>
        <v/>
      </c>
    </row>
    <row r="663" ht="15" customHeight="1" s="64">
      <c r="G663" s="93">
        <f>IF(AND(E663&lt;&gt;"",F663&lt;&gt;""),ROUND((F663-E663)*24,1),"")</f>
        <v/>
      </c>
    </row>
    <row r="664" ht="15" customHeight="1" s="64">
      <c r="G664" s="93">
        <f>IF(AND(E664&lt;&gt;"",F664&lt;&gt;""),ROUND((F664-E664)*24,1),"")</f>
        <v/>
      </c>
    </row>
    <row r="665" ht="15" customHeight="1" s="64">
      <c r="G665" s="93">
        <f>IF(AND(E665&lt;&gt;"",F665&lt;&gt;""),ROUND((F665-E665)*24,1),"")</f>
        <v/>
      </c>
    </row>
    <row r="666" ht="15" customHeight="1" s="64">
      <c r="G666" s="93">
        <f>IF(AND(E666&lt;&gt;"",F666&lt;&gt;""),ROUND((F666-E666)*24,1),"")</f>
        <v/>
      </c>
    </row>
    <row r="667" ht="15" customHeight="1" s="64">
      <c r="G667" s="93">
        <f>IF(AND(E667&lt;&gt;"",F667&lt;&gt;""),ROUND((F667-E667)*24,1),"")</f>
        <v/>
      </c>
    </row>
    <row r="668" ht="15" customHeight="1" s="64">
      <c r="G668" s="93">
        <f>IF(AND(E668&lt;&gt;"",F668&lt;&gt;""),ROUND((F668-E668)*24,1),"")</f>
        <v/>
      </c>
    </row>
    <row r="669" ht="15" customHeight="1" s="64">
      <c r="G669" s="93">
        <f>IF(AND(E669&lt;&gt;"",F669&lt;&gt;""),ROUND((F669-E669)*24,1),"")</f>
        <v/>
      </c>
    </row>
    <row r="670" ht="15" customHeight="1" s="64">
      <c r="G670" s="93">
        <f>IF(AND(E670&lt;&gt;"",F670&lt;&gt;""),ROUND((F670-E670)*24,1),"")</f>
        <v/>
      </c>
    </row>
    <row r="671" ht="15" customHeight="1" s="64">
      <c r="G671" s="93">
        <f>IF(AND(E671&lt;&gt;"",F671&lt;&gt;""),ROUND((F671-E671)*24,1),"")</f>
        <v/>
      </c>
    </row>
    <row r="672" ht="15" customHeight="1" s="64">
      <c r="G672" s="93">
        <f>IF(AND(E672&lt;&gt;"",F672&lt;&gt;""),ROUND((F672-E672)*24,1),"")</f>
        <v/>
      </c>
    </row>
    <row r="673" ht="15" customHeight="1" s="64">
      <c r="G673" s="93">
        <f>IF(AND(E673&lt;&gt;"",F673&lt;&gt;""),ROUND((F673-E673)*24,1),"")</f>
        <v/>
      </c>
    </row>
    <row r="674" ht="15" customHeight="1" s="64">
      <c r="G674" s="93">
        <f>IF(AND(E674&lt;&gt;"",F674&lt;&gt;""),ROUND((F674-E674)*24,1),"")</f>
        <v/>
      </c>
    </row>
    <row r="675" ht="15" customHeight="1" s="64">
      <c r="G675" s="93">
        <f>IF(AND(E675&lt;&gt;"",F675&lt;&gt;""),ROUND((F675-E675)*24,1),"")</f>
        <v/>
      </c>
    </row>
    <row r="676" ht="15" customHeight="1" s="64">
      <c r="G676" s="93">
        <f>IF(AND(E676&lt;&gt;"",F676&lt;&gt;""),ROUND((F676-E676)*24,1),"")</f>
        <v/>
      </c>
    </row>
    <row r="677" ht="15" customHeight="1" s="64">
      <c r="G677" s="93">
        <f>IF(AND(E677&lt;&gt;"",F677&lt;&gt;""),ROUND((F677-E677)*24,1),"")</f>
        <v/>
      </c>
    </row>
    <row r="678" ht="15" customHeight="1" s="64">
      <c r="G678" s="93">
        <f>IF(AND(E678&lt;&gt;"",F678&lt;&gt;""),ROUND((F678-E678)*24,1),"")</f>
        <v/>
      </c>
    </row>
    <row r="679" ht="15" customHeight="1" s="64">
      <c r="G679" s="93">
        <f>IF(AND(E679&lt;&gt;"",F679&lt;&gt;""),ROUND((F679-E679)*24,1),"")</f>
        <v/>
      </c>
    </row>
    <row r="680" ht="15" customHeight="1" s="64">
      <c r="G680" s="93">
        <f>IF(AND(E680&lt;&gt;"",F680&lt;&gt;""),ROUND((F680-E680)*24,1),"")</f>
        <v/>
      </c>
    </row>
    <row r="681" ht="15" customHeight="1" s="64">
      <c r="G681" s="93">
        <f>IF(AND(E681&lt;&gt;"",F681&lt;&gt;""),ROUND((F681-E681)*24,1),"")</f>
        <v/>
      </c>
    </row>
    <row r="682" ht="15" customHeight="1" s="64">
      <c r="G682" s="93">
        <f>IF(AND(E682&lt;&gt;"",F682&lt;&gt;""),ROUND((F682-E682)*24,1),"")</f>
        <v/>
      </c>
    </row>
    <row r="683" ht="15" customHeight="1" s="64">
      <c r="G683" s="93">
        <f>IF(AND(E683&lt;&gt;"",F683&lt;&gt;""),ROUND((F683-E683)*24,1),"")</f>
        <v/>
      </c>
    </row>
    <row r="684" ht="15" customHeight="1" s="64">
      <c r="G684" s="93">
        <f>IF(AND(E684&lt;&gt;"",F684&lt;&gt;""),ROUND((F684-E684)*24,1),"")</f>
        <v/>
      </c>
    </row>
    <row r="685" ht="15" customHeight="1" s="64">
      <c r="G685" s="93">
        <f>IF(AND(E685&lt;&gt;"",F685&lt;&gt;""),ROUND((F685-E685)*24,1),"")</f>
        <v/>
      </c>
    </row>
    <row r="686" ht="15" customHeight="1" s="64">
      <c r="G686" s="93">
        <f>IF(AND(E686&lt;&gt;"",F686&lt;&gt;""),ROUND((F686-E686)*24,1),"")</f>
        <v/>
      </c>
    </row>
    <row r="687" ht="15" customHeight="1" s="64">
      <c r="G687" s="93">
        <f>IF(AND(E687&lt;&gt;"",F687&lt;&gt;""),ROUND((F687-E687)*24,1),"")</f>
        <v/>
      </c>
    </row>
    <row r="688" ht="15" customHeight="1" s="64">
      <c r="G688" s="93">
        <f>IF(AND(E688&lt;&gt;"",F688&lt;&gt;""),ROUND((F688-E688)*24,1),"")</f>
        <v/>
      </c>
    </row>
    <row r="689" ht="15" customHeight="1" s="64">
      <c r="G689" s="93">
        <f>IF(AND(E689&lt;&gt;"",F689&lt;&gt;""),ROUND((F689-E689)*24,1),"")</f>
        <v/>
      </c>
    </row>
    <row r="690" ht="15" customHeight="1" s="64">
      <c r="G690" s="93">
        <f>IF(AND(E690&lt;&gt;"",F690&lt;&gt;""),ROUND((F690-E690)*24,1),"")</f>
        <v/>
      </c>
    </row>
    <row r="691" ht="15" customHeight="1" s="64">
      <c r="G691" s="93">
        <f>IF(AND(E691&lt;&gt;"",F691&lt;&gt;""),ROUND((F691-E691)*24,1),"")</f>
        <v/>
      </c>
    </row>
    <row r="692" ht="15" customHeight="1" s="64">
      <c r="G692" s="93">
        <f>IF(AND(E692&lt;&gt;"",F692&lt;&gt;""),ROUND((F692-E692)*24,1),"")</f>
        <v/>
      </c>
    </row>
    <row r="693" ht="15" customHeight="1" s="64">
      <c r="G693" s="93">
        <f>IF(AND(E693&lt;&gt;"",F693&lt;&gt;""),ROUND((F693-E693)*24,1),"")</f>
        <v/>
      </c>
    </row>
    <row r="694" ht="15" customHeight="1" s="64">
      <c r="G694" s="93">
        <f>IF(AND(E694&lt;&gt;"",F694&lt;&gt;""),ROUND((F694-E694)*24,1),"")</f>
        <v/>
      </c>
    </row>
    <row r="695" ht="15" customHeight="1" s="64">
      <c r="G695" s="93">
        <f>IF(AND(E695&lt;&gt;"",F695&lt;&gt;""),ROUND((F695-E695)*24,1),"")</f>
        <v/>
      </c>
    </row>
    <row r="696" ht="15" customHeight="1" s="64">
      <c r="G696" s="93">
        <f>IF(AND(E696&lt;&gt;"",F696&lt;&gt;""),ROUND((F696-E696)*24,1),"")</f>
        <v/>
      </c>
    </row>
    <row r="697" ht="15" customHeight="1" s="64">
      <c r="G697" s="93">
        <f>IF(AND(E697&lt;&gt;"",F697&lt;&gt;""),ROUND((F697-E697)*24,1),"")</f>
        <v/>
      </c>
    </row>
    <row r="698" ht="15" customHeight="1" s="64">
      <c r="G698" s="93">
        <f>IF(AND(E698&lt;&gt;"",F698&lt;&gt;""),ROUND((F698-E698)*24,1),"")</f>
        <v/>
      </c>
    </row>
    <row r="699" ht="15" customHeight="1" s="64">
      <c r="G699" s="93">
        <f>IF(AND(E699&lt;&gt;"",F699&lt;&gt;""),ROUND((F699-E699)*24,1),"")</f>
        <v/>
      </c>
    </row>
    <row r="700" ht="15" customHeight="1" s="64">
      <c r="G700" s="93">
        <f>IF(AND(E700&lt;&gt;"",F700&lt;&gt;""),ROUND((F700-E700)*24,1),"")</f>
        <v/>
      </c>
    </row>
    <row r="701" ht="15" customHeight="1" s="64">
      <c r="G701" s="93">
        <f>IF(AND(E701&lt;&gt;"",F701&lt;&gt;""),ROUND((F701-E701)*24,1),"")</f>
        <v/>
      </c>
    </row>
    <row r="702" ht="15" customHeight="1" s="64">
      <c r="G702" s="93">
        <f>IF(AND(E702&lt;&gt;"",F702&lt;&gt;""),ROUND((F702-E702)*24,1),"")</f>
        <v/>
      </c>
    </row>
    <row r="703" ht="15" customHeight="1" s="64">
      <c r="G703" s="93">
        <f>IF(AND(E703&lt;&gt;"",F703&lt;&gt;""),ROUND((F703-E703)*24,1),"")</f>
        <v/>
      </c>
    </row>
    <row r="704" ht="15" customHeight="1" s="64">
      <c r="G704" s="93">
        <f>IF(AND(E704&lt;&gt;"",F704&lt;&gt;""),ROUND((F704-E704)*24,1),"")</f>
        <v/>
      </c>
    </row>
    <row r="705" ht="15" customHeight="1" s="64">
      <c r="G705" s="93">
        <f>IF(AND(E705&lt;&gt;"",F705&lt;&gt;""),ROUND((F705-E705)*24,1),"")</f>
        <v/>
      </c>
    </row>
    <row r="706" ht="15" customHeight="1" s="64">
      <c r="G706" s="93">
        <f>IF(AND(E706&lt;&gt;"",F706&lt;&gt;""),ROUND((F706-E706)*24,1),"")</f>
        <v/>
      </c>
    </row>
    <row r="707" ht="15" customHeight="1" s="64">
      <c r="G707" s="93">
        <f>IF(AND(E707&lt;&gt;"",F707&lt;&gt;""),ROUND((F707-E707)*24,1),"")</f>
        <v/>
      </c>
    </row>
    <row r="708" ht="15" customHeight="1" s="64">
      <c r="G708" s="93">
        <f>IF(AND(E708&lt;&gt;"",F708&lt;&gt;""),ROUND((F708-E708)*24,1),"")</f>
        <v/>
      </c>
    </row>
    <row r="709" ht="15" customHeight="1" s="64">
      <c r="G709" s="93">
        <f>IF(AND(E709&lt;&gt;"",F709&lt;&gt;""),ROUND((F709-E709)*24,1),"")</f>
        <v/>
      </c>
    </row>
    <row r="710" ht="15" customHeight="1" s="64">
      <c r="G710" s="93">
        <f>IF(AND(E710&lt;&gt;"",F710&lt;&gt;""),ROUND((F710-E710)*24,1),"")</f>
        <v/>
      </c>
    </row>
    <row r="711" ht="15" customHeight="1" s="64">
      <c r="G711" s="93">
        <f>IF(AND(E711&lt;&gt;"",F711&lt;&gt;""),ROUND((F711-E711)*24,1),"")</f>
        <v/>
      </c>
    </row>
    <row r="712" ht="15" customHeight="1" s="64">
      <c r="G712" s="93">
        <f>IF(AND(E712&lt;&gt;"",F712&lt;&gt;""),ROUND((F712-E712)*24,1),"")</f>
        <v/>
      </c>
    </row>
    <row r="713" ht="15" customHeight="1" s="64">
      <c r="G713" s="93">
        <f>IF(AND(E713&lt;&gt;"",F713&lt;&gt;""),ROUND((F713-E713)*24,1),"")</f>
        <v/>
      </c>
    </row>
    <row r="714" ht="15" customHeight="1" s="64">
      <c r="G714" s="93">
        <f>IF(AND(E714&lt;&gt;"",F714&lt;&gt;""),ROUND((F714-E714)*24,1),"")</f>
        <v/>
      </c>
    </row>
    <row r="715" ht="15" customHeight="1" s="64">
      <c r="G715" s="93">
        <f>IF(AND(E715&lt;&gt;"",F715&lt;&gt;""),ROUND((F715-E715)*24,1),"")</f>
        <v/>
      </c>
    </row>
    <row r="716" ht="15" customHeight="1" s="64">
      <c r="G716" s="93">
        <f>IF(AND(E716&lt;&gt;"",F716&lt;&gt;""),ROUND((F716-E716)*24,1),"")</f>
        <v/>
      </c>
    </row>
    <row r="717" ht="15" customHeight="1" s="64">
      <c r="G717" s="93">
        <f>IF(AND(E717&lt;&gt;"",F717&lt;&gt;""),ROUND((F717-E717)*24,1),"")</f>
        <v/>
      </c>
    </row>
    <row r="718" ht="15" customHeight="1" s="64">
      <c r="G718" s="93">
        <f>IF(AND(E718&lt;&gt;"",F718&lt;&gt;""),ROUND((F718-E718)*24,1),"")</f>
        <v/>
      </c>
    </row>
    <row r="719" ht="15" customHeight="1" s="64">
      <c r="G719" s="93">
        <f>IF(AND(E719&lt;&gt;"",F719&lt;&gt;""),ROUND((F719-E719)*24,1),"")</f>
        <v/>
      </c>
    </row>
    <row r="720" ht="15" customHeight="1" s="64">
      <c r="G720" s="93">
        <f>IF(AND(E720&lt;&gt;"",F720&lt;&gt;""),ROUND((F720-E720)*24,1),"")</f>
        <v/>
      </c>
    </row>
    <row r="721" ht="15" customHeight="1" s="64">
      <c r="G721" s="93">
        <f>IF(AND(E721&lt;&gt;"",F721&lt;&gt;""),ROUND((F721-E721)*24,1),"")</f>
        <v/>
      </c>
    </row>
    <row r="722" ht="15" customHeight="1" s="64">
      <c r="G722" s="93">
        <f>IF(AND(E722&lt;&gt;"",F722&lt;&gt;""),ROUND((F722-E722)*24,1),"")</f>
        <v/>
      </c>
    </row>
    <row r="723" ht="15" customHeight="1" s="64">
      <c r="G723" s="93">
        <f>IF(AND(E723&lt;&gt;"",F723&lt;&gt;""),ROUND((F723-E723)*24,1),"")</f>
        <v/>
      </c>
    </row>
    <row r="724" ht="15" customHeight="1" s="64">
      <c r="G724" s="93">
        <f>IF(AND(E724&lt;&gt;"",F724&lt;&gt;""),ROUND((F724-E724)*24,1),"")</f>
        <v/>
      </c>
    </row>
    <row r="725" ht="15" customHeight="1" s="64">
      <c r="G725" s="93">
        <f>IF(AND(E725&lt;&gt;"",F725&lt;&gt;""),ROUND((F725-E725)*24,1),"")</f>
        <v/>
      </c>
    </row>
    <row r="726" ht="15" customHeight="1" s="64">
      <c r="G726" s="93">
        <f>IF(AND(E726&lt;&gt;"",F726&lt;&gt;""),ROUND((F726-E726)*24,1),"")</f>
        <v/>
      </c>
    </row>
    <row r="727" ht="15" customHeight="1" s="64">
      <c r="G727" s="93">
        <f>IF(AND(E727&lt;&gt;"",F727&lt;&gt;""),ROUND((F727-E727)*24,1),"")</f>
        <v/>
      </c>
    </row>
    <row r="728" ht="15" customHeight="1" s="64">
      <c r="G728" s="93">
        <f>IF(AND(E728&lt;&gt;"",F728&lt;&gt;""),ROUND((F728-E728)*24,1),"")</f>
        <v/>
      </c>
    </row>
    <row r="729" ht="15" customHeight="1" s="64">
      <c r="G729" s="93">
        <f>IF(AND(E729&lt;&gt;"",F729&lt;&gt;""),ROUND((F729-E729)*24,1),"")</f>
        <v/>
      </c>
    </row>
    <row r="730" ht="15" customHeight="1" s="64">
      <c r="G730" s="93">
        <f>IF(AND(E730&lt;&gt;"",F730&lt;&gt;""),ROUND((F730-E730)*24,1),"")</f>
        <v/>
      </c>
    </row>
    <row r="731" ht="15" customHeight="1" s="64">
      <c r="G731" s="93">
        <f>IF(AND(E731&lt;&gt;"",F731&lt;&gt;""),ROUND((F731-E731)*24,1),"")</f>
        <v/>
      </c>
    </row>
    <row r="732" ht="15" customHeight="1" s="64">
      <c r="G732" s="93">
        <f>IF(AND(E732&lt;&gt;"",F732&lt;&gt;""),ROUND((F732-E732)*24,1),"")</f>
        <v/>
      </c>
    </row>
    <row r="733" ht="15" customHeight="1" s="64">
      <c r="G733" s="93">
        <f>IF(AND(E733&lt;&gt;"",F733&lt;&gt;""),ROUND((F733-E733)*24,1),"")</f>
        <v/>
      </c>
    </row>
    <row r="734" ht="15" customHeight="1" s="64">
      <c r="G734" s="93">
        <f>IF(AND(E734&lt;&gt;"",F734&lt;&gt;""),ROUND((F734-E734)*24,1),"")</f>
        <v/>
      </c>
    </row>
    <row r="735" ht="15" customHeight="1" s="64">
      <c r="G735" s="93">
        <f>IF(AND(E735&lt;&gt;"",F735&lt;&gt;""),ROUND((F735-E735)*24,1),"")</f>
        <v/>
      </c>
    </row>
    <row r="736" ht="15" customHeight="1" s="64">
      <c r="G736" s="93">
        <f>IF(AND(E736&lt;&gt;"",F736&lt;&gt;""),ROUND((F736-E736)*24,1),"")</f>
        <v/>
      </c>
    </row>
    <row r="737" ht="15" customHeight="1" s="64">
      <c r="G737" s="93">
        <f>IF(AND(E737&lt;&gt;"",F737&lt;&gt;""),ROUND((F737-E737)*24,1),"")</f>
        <v/>
      </c>
    </row>
    <row r="738" ht="15" customHeight="1" s="64">
      <c r="G738" s="93">
        <f>IF(AND(E738&lt;&gt;"",F738&lt;&gt;""),ROUND((F738-E738)*24,1),"")</f>
        <v/>
      </c>
    </row>
    <row r="739" ht="15" customHeight="1" s="64">
      <c r="G739" s="93">
        <f>IF(AND(E739&lt;&gt;"",F739&lt;&gt;""),ROUND((F739-E739)*24,1),"")</f>
        <v/>
      </c>
    </row>
    <row r="740" ht="15" customHeight="1" s="64">
      <c r="G740" s="93">
        <f>IF(AND(E740&lt;&gt;"",F740&lt;&gt;""),ROUND((F740-E740)*24,1),"")</f>
        <v/>
      </c>
    </row>
    <row r="741" ht="15" customHeight="1" s="64">
      <c r="G741" s="93">
        <f>IF(AND(E741&lt;&gt;"",F741&lt;&gt;""),ROUND((F741-E741)*24,1),"")</f>
        <v/>
      </c>
    </row>
    <row r="742" ht="15" customHeight="1" s="64">
      <c r="G742" s="93">
        <f>IF(AND(E742&lt;&gt;"",F742&lt;&gt;""),ROUND((F742-E742)*24,1),"")</f>
        <v/>
      </c>
    </row>
    <row r="743" ht="15" customHeight="1" s="64">
      <c r="G743" s="93">
        <f>IF(AND(E743&lt;&gt;"",F743&lt;&gt;""),ROUND((F743-E743)*24,1),"")</f>
        <v/>
      </c>
    </row>
    <row r="744" ht="15" customHeight="1" s="64">
      <c r="G744" s="93">
        <f>IF(AND(E744&lt;&gt;"",F744&lt;&gt;""),ROUND((F744-E744)*24,1),"")</f>
        <v/>
      </c>
    </row>
    <row r="745" ht="15" customHeight="1" s="64">
      <c r="G745" s="93">
        <f>IF(AND(E745&lt;&gt;"",F745&lt;&gt;""),ROUND((F745-E745)*24,1),"")</f>
        <v/>
      </c>
    </row>
    <row r="746" ht="15" customHeight="1" s="64">
      <c r="G746" s="93">
        <f>IF(AND(E746&lt;&gt;"",F746&lt;&gt;""),ROUND((F746-E746)*24,1),"")</f>
        <v/>
      </c>
    </row>
    <row r="747" ht="15" customHeight="1" s="64">
      <c r="G747" s="93">
        <f>IF(AND(E747&lt;&gt;"",F747&lt;&gt;""),ROUND((F747-E747)*24,1),"")</f>
        <v/>
      </c>
    </row>
    <row r="748" ht="15" customHeight="1" s="64">
      <c r="G748" s="93">
        <f>IF(AND(E748&lt;&gt;"",F748&lt;&gt;""),ROUND((F748-E748)*24,1),"")</f>
        <v/>
      </c>
    </row>
    <row r="749" ht="15" customHeight="1" s="64">
      <c r="G749" s="93">
        <f>IF(AND(E749&lt;&gt;"",F749&lt;&gt;""),ROUND((F749-E749)*24,1),"")</f>
        <v/>
      </c>
    </row>
    <row r="750" ht="15" customHeight="1" s="64">
      <c r="G750" s="93">
        <f>IF(AND(E750&lt;&gt;"",F750&lt;&gt;""),ROUND((F750-E750)*24,1),"")</f>
        <v/>
      </c>
    </row>
    <row r="751" ht="15" customHeight="1" s="64">
      <c r="G751" s="93">
        <f>IF(AND(E751&lt;&gt;"",F751&lt;&gt;""),ROUND((F751-E751)*24,1),"")</f>
        <v/>
      </c>
    </row>
    <row r="752" ht="15" customHeight="1" s="64">
      <c r="G752" s="93">
        <f>IF(AND(E752&lt;&gt;"",F752&lt;&gt;""),ROUND((F752-E752)*24,1),"")</f>
        <v/>
      </c>
    </row>
    <row r="753" ht="15" customHeight="1" s="64">
      <c r="G753" s="93">
        <f>IF(AND(E753&lt;&gt;"",F753&lt;&gt;""),ROUND((F753-E753)*24,1),"")</f>
        <v/>
      </c>
    </row>
    <row r="754" ht="15" customHeight="1" s="64">
      <c r="G754" s="93">
        <f>IF(AND(E754&lt;&gt;"",F754&lt;&gt;""),ROUND((F754-E754)*24,1),"")</f>
        <v/>
      </c>
    </row>
    <row r="755" ht="15" customHeight="1" s="64">
      <c r="G755" s="93">
        <f>IF(AND(E755&lt;&gt;"",F755&lt;&gt;""),ROUND((F755-E755)*24,1),"")</f>
        <v/>
      </c>
    </row>
    <row r="756" ht="15" customHeight="1" s="64">
      <c r="G756" s="93">
        <f>IF(AND(E756&lt;&gt;"",F756&lt;&gt;""),ROUND((F756-E756)*24,1),"")</f>
        <v/>
      </c>
    </row>
    <row r="757" ht="15" customHeight="1" s="64">
      <c r="G757" s="93">
        <f>IF(AND(E757&lt;&gt;"",F757&lt;&gt;""),ROUND((F757-E757)*24,1),"")</f>
        <v/>
      </c>
    </row>
    <row r="758" ht="15" customHeight="1" s="64">
      <c r="G758" s="93">
        <f>IF(AND(E758&lt;&gt;"",F758&lt;&gt;""),ROUND((F758-E758)*24,1),"")</f>
        <v/>
      </c>
    </row>
    <row r="759" ht="15" customHeight="1" s="64">
      <c r="G759" s="93">
        <f>IF(AND(E759&lt;&gt;"",F759&lt;&gt;""),ROUND((F759-E759)*24,1),"")</f>
        <v/>
      </c>
    </row>
    <row r="760" ht="15" customHeight="1" s="64">
      <c r="G760" s="93">
        <f>IF(AND(E760&lt;&gt;"",F760&lt;&gt;""),ROUND((F760-E760)*24,1),"")</f>
        <v/>
      </c>
    </row>
    <row r="761" ht="15" customHeight="1" s="64">
      <c r="G761" s="93">
        <f>IF(AND(E761&lt;&gt;"",F761&lt;&gt;""),ROUND((F761-E761)*24,1),"")</f>
        <v/>
      </c>
    </row>
    <row r="762" ht="15" customHeight="1" s="64">
      <c r="G762" s="93">
        <f>IF(AND(E762&lt;&gt;"",F762&lt;&gt;""),ROUND((F762-E762)*24,1),"")</f>
        <v/>
      </c>
    </row>
    <row r="763" ht="15" customHeight="1" s="64">
      <c r="G763" s="93">
        <f>IF(AND(E763&lt;&gt;"",F763&lt;&gt;""),ROUND((F763-E763)*24,1),"")</f>
        <v/>
      </c>
    </row>
    <row r="764" ht="15" customHeight="1" s="64">
      <c r="G764" s="93">
        <f>IF(AND(E764&lt;&gt;"",F764&lt;&gt;""),ROUND((F764-E764)*24,1),"")</f>
        <v/>
      </c>
    </row>
    <row r="765" ht="15" customHeight="1" s="64">
      <c r="G765" s="93">
        <f>IF(AND(E765&lt;&gt;"",F765&lt;&gt;""),ROUND((F765-E765)*24,1),"")</f>
        <v/>
      </c>
    </row>
    <row r="766" ht="15" customHeight="1" s="64">
      <c r="G766" s="93">
        <f>IF(AND(E766&lt;&gt;"",F766&lt;&gt;""),ROUND((F766-E766)*24,1),"")</f>
        <v/>
      </c>
    </row>
    <row r="767" ht="15" customHeight="1" s="64">
      <c r="G767" s="93">
        <f>IF(AND(E767&lt;&gt;"",F767&lt;&gt;""),ROUND((F767-E767)*24,1),"")</f>
        <v/>
      </c>
    </row>
    <row r="768" ht="15" customHeight="1" s="64">
      <c r="G768" s="93">
        <f>IF(AND(E768&lt;&gt;"",F768&lt;&gt;""),ROUND((F768-E768)*24,1),"")</f>
        <v/>
      </c>
    </row>
    <row r="769" ht="15" customHeight="1" s="64">
      <c r="G769" s="93">
        <f>IF(AND(E769&lt;&gt;"",F769&lt;&gt;""),ROUND((F769-E769)*24,1),"")</f>
        <v/>
      </c>
    </row>
    <row r="770" ht="15" customHeight="1" s="64">
      <c r="G770" s="93">
        <f>IF(AND(E770&lt;&gt;"",F770&lt;&gt;""),ROUND((F770-E770)*24,1),"")</f>
        <v/>
      </c>
    </row>
    <row r="771" ht="15" customHeight="1" s="64">
      <c r="G771" s="93">
        <f>IF(AND(E771&lt;&gt;"",F771&lt;&gt;""),ROUND((F771-E771)*24,1),"")</f>
        <v/>
      </c>
    </row>
    <row r="772" ht="15" customHeight="1" s="64">
      <c r="G772" s="93">
        <f>IF(AND(E772&lt;&gt;"",F772&lt;&gt;""),ROUND((F772-E772)*24,1),"")</f>
        <v/>
      </c>
    </row>
    <row r="773" ht="15" customHeight="1" s="64">
      <c r="G773" s="93">
        <f>IF(AND(E773&lt;&gt;"",F773&lt;&gt;""),ROUND((F773-E773)*24,1),"")</f>
        <v/>
      </c>
    </row>
    <row r="774" ht="15" customHeight="1" s="64">
      <c r="G774" s="93">
        <f>IF(AND(E774&lt;&gt;"",F774&lt;&gt;""),ROUND((F774-E774)*24,1),"")</f>
        <v/>
      </c>
    </row>
    <row r="775" ht="15" customHeight="1" s="64">
      <c r="G775" s="93">
        <f>IF(AND(E775&lt;&gt;"",F775&lt;&gt;""),ROUND((F775-E775)*24,1),"")</f>
        <v/>
      </c>
    </row>
    <row r="776" ht="15" customHeight="1" s="64">
      <c r="G776" s="93">
        <f>IF(AND(E776&lt;&gt;"",F776&lt;&gt;""),ROUND((F776-E776)*24,1),"")</f>
        <v/>
      </c>
    </row>
    <row r="777" ht="15" customHeight="1" s="64">
      <c r="G777" s="93">
        <f>IF(AND(E777&lt;&gt;"",F777&lt;&gt;""),ROUND((F777-E777)*24,1),"")</f>
        <v/>
      </c>
    </row>
    <row r="778" ht="15" customHeight="1" s="64">
      <c r="G778" s="93">
        <f>IF(AND(E778&lt;&gt;"",F778&lt;&gt;""),ROUND((F778-E778)*24,1),"")</f>
        <v/>
      </c>
    </row>
    <row r="779" ht="15" customHeight="1" s="64">
      <c r="G779" s="93">
        <f>IF(AND(E779&lt;&gt;"",F779&lt;&gt;""),ROUND((F779-E779)*24,1),"")</f>
        <v/>
      </c>
    </row>
    <row r="780" ht="15" customHeight="1" s="64">
      <c r="G780" s="93">
        <f>IF(AND(E780&lt;&gt;"",F780&lt;&gt;""),ROUND((F780-E780)*24,1),"")</f>
        <v/>
      </c>
    </row>
    <row r="781" ht="15" customHeight="1" s="64">
      <c r="G781" s="93">
        <f>IF(AND(E781&lt;&gt;"",F781&lt;&gt;""),ROUND((F781-E781)*24,1),"")</f>
        <v/>
      </c>
    </row>
    <row r="782" ht="15" customHeight="1" s="64">
      <c r="G782" s="93">
        <f>IF(AND(E782&lt;&gt;"",F782&lt;&gt;""),ROUND((F782-E782)*24,1),"")</f>
        <v/>
      </c>
    </row>
    <row r="783" ht="15" customHeight="1" s="64">
      <c r="G783" s="93">
        <f>IF(AND(E783&lt;&gt;"",F783&lt;&gt;""),ROUND((F783-E783)*24,1),"")</f>
        <v/>
      </c>
    </row>
    <row r="784" ht="15" customHeight="1" s="64">
      <c r="G784" s="93">
        <f>IF(AND(E784&lt;&gt;"",F784&lt;&gt;""),ROUND((F784-E784)*24,1),"")</f>
        <v/>
      </c>
    </row>
    <row r="785" ht="15" customHeight="1" s="64">
      <c r="G785" s="93">
        <f>IF(AND(E785&lt;&gt;"",F785&lt;&gt;""),ROUND((F785-E785)*24,1),"")</f>
        <v/>
      </c>
    </row>
    <row r="786" ht="15" customHeight="1" s="64">
      <c r="G786" s="93">
        <f>IF(AND(E786&lt;&gt;"",F786&lt;&gt;""),ROUND((F786-E786)*24,1),"")</f>
        <v/>
      </c>
    </row>
    <row r="787" ht="15" customHeight="1" s="64">
      <c r="G787" s="93">
        <f>IF(AND(E787&lt;&gt;"",F787&lt;&gt;""),ROUND((F787-E787)*24,1),"")</f>
        <v/>
      </c>
    </row>
    <row r="788" ht="15" customHeight="1" s="64">
      <c r="G788" s="93">
        <f>IF(AND(E788&lt;&gt;"",F788&lt;&gt;""),ROUND((F788-E788)*24,1),"")</f>
        <v/>
      </c>
    </row>
    <row r="789" ht="15" customHeight="1" s="64">
      <c r="G789" s="93">
        <f>IF(AND(E789&lt;&gt;"",F789&lt;&gt;""),ROUND((F789-E789)*24,1),"")</f>
        <v/>
      </c>
    </row>
    <row r="790" ht="15" customHeight="1" s="64">
      <c r="G790" s="93">
        <f>IF(AND(E790&lt;&gt;"",F790&lt;&gt;""),ROUND((F790-E790)*24,1),"")</f>
        <v/>
      </c>
    </row>
    <row r="791" ht="15" customHeight="1" s="64">
      <c r="G791" s="93">
        <f>IF(AND(E791&lt;&gt;"",F791&lt;&gt;""),ROUND((F791-E791)*24,1),"")</f>
        <v/>
      </c>
    </row>
    <row r="792" ht="15" customHeight="1" s="64">
      <c r="G792" s="93">
        <f>IF(AND(E792&lt;&gt;"",F792&lt;&gt;""),ROUND((F792-E792)*24,1),"")</f>
        <v/>
      </c>
    </row>
    <row r="793" ht="15" customHeight="1" s="64">
      <c r="G793" s="93">
        <f>IF(AND(E793&lt;&gt;"",F793&lt;&gt;""),ROUND((F793-E793)*24,1),"")</f>
        <v/>
      </c>
    </row>
    <row r="794" ht="15" customHeight="1" s="64">
      <c r="G794" s="93">
        <f>IF(AND(E794&lt;&gt;"",F794&lt;&gt;""),ROUND((F794-E794)*24,1),"")</f>
        <v/>
      </c>
    </row>
    <row r="795" ht="15" customHeight="1" s="64">
      <c r="G795" s="93">
        <f>IF(AND(E795&lt;&gt;"",F795&lt;&gt;""),ROUND((F795-E795)*24,1),"")</f>
        <v/>
      </c>
    </row>
    <row r="796" ht="15" customHeight="1" s="64">
      <c r="G796" s="93">
        <f>IF(AND(E796&lt;&gt;"",F796&lt;&gt;""),ROUND((F796-E796)*24,1),"")</f>
        <v/>
      </c>
    </row>
    <row r="797" ht="15" customHeight="1" s="64">
      <c r="G797" s="93">
        <f>IF(AND(E797&lt;&gt;"",F797&lt;&gt;""),ROUND((F797-E797)*24,1),"")</f>
        <v/>
      </c>
    </row>
    <row r="798" ht="15" customHeight="1" s="64">
      <c r="G798" s="93">
        <f>IF(AND(E798&lt;&gt;"",F798&lt;&gt;""),ROUND((F798-E798)*24,1),"")</f>
        <v/>
      </c>
    </row>
    <row r="799" ht="15" customHeight="1" s="64">
      <c r="G799" s="93">
        <f>IF(AND(E799&lt;&gt;"",F799&lt;&gt;""),ROUND((F799-E799)*24,1),"")</f>
        <v/>
      </c>
    </row>
    <row r="800" ht="15" customHeight="1" s="64">
      <c r="G800" s="93">
        <f>IF(AND(E800&lt;&gt;"",F800&lt;&gt;""),ROUND((F800-E800)*24,1),"")</f>
        <v/>
      </c>
    </row>
    <row r="801" ht="15" customHeight="1" s="64">
      <c r="G801" s="93">
        <f>IF(AND(E801&lt;&gt;"",F801&lt;&gt;""),ROUND((F801-E801)*24,1),"")</f>
        <v/>
      </c>
    </row>
    <row r="802" ht="15" customHeight="1" s="64">
      <c r="G802" s="93">
        <f>IF(AND(E802&lt;&gt;"",F802&lt;&gt;""),ROUND((F802-E802)*24,1),"")</f>
        <v/>
      </c>
    </row>
    <row r="803" ht="15" customHeight="1" s="64">
      <c r="G803" s="93">
        <f>IF(AND(E803&lt;&gt;"",F803&lt;&gt;""),ROUND((F803-E803)*24,1),"")</f>
        <v/>
      </c>
    </row>
    <row r="804" ht="15" customHeight="1" s="64">
      <c r="G804" s="93">
        <f>IF(AND(E804&lt;&gt;"",F804&lt;&gt;""),ROUND((F804-E804)*24,1),"")</f>
        <v/>
      </c>
    </row>
    <row r="805" ht="15" customHeight="1" s="64">
      <c r="G805" s="93">
        <f>IF(AND(E805&lt;&gt;"",F805&lt;&gt;""),ROUND((F805-E805)*24,1),"")</f>
        <v/>
      </c>
    </row>
    <row r="806" ht="15" customHeight="1" s="64">
      <c r="G806" s="93">
        <f>IF(AND(E806&lt;&gt;"",F806&lt;&gt;""),ROUND((F806-E806)*24,1),"")</f>
        <v/>
      </c>
    </row>
    <row r="807" ht="15" customHeight="1" s="64">
      <c r="G807" s="93">
        <f>IF(AND(E807&lt;&gt;"",F807&lt;&gt;""),ROUND((F807-E807)*24,1),"")</f>
        <v/>
      </c>
    </row>
    <row r="808" ht="15" customHeight="1" s="64">
      <c r="G808" s="93">
        <f>IF(AND(E808&lt;&gt;"",F808&lt;&gt;""),ROUND((F808-E808)*24,1),"")</f>
        <v/>
      </c>
    </row>
    <row r="809" ht="15" customHeight="1" s="64">
      <c r="G809" s="93">
        <f>IF(AND(E809&lt;&gt;"",F809&lt;&gt;""),ROUND((F809-E809)*24,1),"")</f>
        <v/>
      </c>
    </row>
    <row r="810" ht="15" customHeight="1" s="64">
      <c r="G810" s="93">
        <f>IF(AND(E810&lt;&gt;"",F810&lt;&gt;""),ROUND((F810-E810)*24,1),"")</f>
        <v/>
      </c>
    </row>
    <row r="811" ht="15" customHeight="1" s="64">
      <c r="G811" s="93">
        <f>IF(AND(E811&lt;&gt;"",F811&lt;&gt;""),ROUND((F811-E811)*24,1),"")</f>
        <v/>
      </c>
    </row>
    <row r="812" ht="15" customHeight="1" s="64">
      <c r="G812" s="93">
        <f>IF(AND(E812&lt;&gt;"",F812&lt;&gt;""),ROUND((F812-E812)*24,1),"")</f>
        <v/>
      </c>
    </row>
    <row r="813" ht="15" customHeight="1" s="64">
      <c r="G813" s="93">
        <f>IF(AND(E813&lt;&gt;"",F813&lt;&gt;""),ROUND((F813-E813)*24,1),"")</f>
        <v/>
      </c>
    </row>
    <row r="814" ht="15" customHeight="1" s="64">
      <c r="G814" s="93">
        <f>IF(AND(E814&lt;&gt;"",F814&lt;&gt;""),ROUND((F814-E814)*24,1),"")</f>
        <v/>
      </c>
    </row>
    <row r="815" ht="15" customHeight="1" s="64">
      <c r="G815" s="93">
        <f>IF(AND(E815&lt;&gt;"",F815&lt;&gt;""),ROUND((F815-E815)*24,1),"")</f>
        <v/>
      </c>
    </row>
    <row r="816" ht="15" customHeight="1" s="64">
      <c r="G816" s="93">
        <f>IF(AND(E816&lt;&gt;"",F816&lt;&gt;""),ROUND((F816-E816)*24,1),"")</f>
        <v/>
      </c>
    </row>
    <row r="817" ht="15" customHeight="1" s="64">
      <c r="G817" s="93">
        <f>IF(AND(E817&lt;&gt;"",F817&lt;&gt;""),ROUND((F817-E817)*24,1),"")</f>
        <v/>
      </c>
    </row>
    <row r="818" ht="15" customHeight="1" s="64">
      <c r="G818" s="93">
        <f>IF(AND(E818&lt;&gt;"",F818&lt;&gt;""),ROUND((F818-E818)*24,1),"")</f>
        <v/>
      </c>
    </row>
    <row r="819" ht="15" customHeight="1" s="64">
      <c r="G819" s="93">
        <f>IF(AND(E819&lt;&gt;"",F819&lt;&gt;""),ROUND((F819-E819)*24,1),"")</f>
        <v/>
      </c>
    </row>
    <row r="820" ht="15" customHeight="1" s="64">
      <c r="G820" s="93">
        <f>IF(AND(E820&lt;&gt;"",F820&lt;&gt;""),ROUND((F820-E820)*24,1),"")</f>
        <v/>
      </c>
    </row>
    <row r="821" ht="15" customHeight="1" s="64">
      <c r="G821" s="93">
        <f>IF(AND(E821&lt;&gt;"",F821&lt;&gt;""),ROUND((F821-E821)*24,1),"")</f>
        <v/>
      </c>
    </row>
    <row r="822" ht="15" customHeight="1" s="64">
      <c r="G822" s="93">
        <f>IF(AND(E822&lt;&gt;"",F822&lt;&gt;""),ROUND((F822-E822)*24,1),"")</f>
        <v/>
      </c>
    </row>
    <row r="823" ht="15" customHeight="1" s="64">
      <c r="G823" s="93">
        <f>IF(AND(E823&lt;&gt;"",F823&lt;&gt;""),ROUND((F823-E823)*24,1),"")</f>
        <v/>
      </c>
    </row>
    <row r="824" ht="15" customHeight="1" s="64">
      <c r="G824" s="93">
        <f>IF(AND(E824&lt;&gt;"",F824&lt;&gt;""),ROUND((F824-E824)*24,1),"")</f>
        <v/>
      </c>
    </row>
    <row r="825" ht="15" customHeight="1" s="64">
      <c r="G825" s="93">
        <f>IF(AND(E825&lt;&gt;"",F825&lt;&gt;""),ROUND((F825-E825)*24,1),"")</f>
        <v/>
      </c>
    </row>
    <row r="826" ht="15" customHeight="1" s="64">
      <c r="G826" s="93">
        <f>IF(AND(E826&lt;&gt;"",F826&lt;&gt;""),ROUND((F826-E826)*24,1),"")</f>
        <v/>
      </c>
    </row>
    <row r="827" ht="15" customHeight="1" s="64">
      <c r="G827" s="93">
        <f>IF(AND(E827&lt;&gt;"",F827&lt;&gt;""),ROUND((F827-E827)*24,1),"")</f>
        <v/>
      </c>
    </row>
    <row r="828" ht="15" customHeight="1" s="64">
      <c r="G828" s="93">
        <f>IF(AND(E828&lt;&gt;"",F828&lt;&gt;""),ROUND((F828-E828)*24,1),"")</f>
        <v/>
      </c>
    </row>
    <row r="829" ht="15" customHeight="1" s="64">
      <c r="G829" s="93">
        <f>IF(AND(E829&lt;&gt;"",F829&lt;&gt;""),ROUND((F829-E829)*24,1),"")</f>
        <v/>
      </c>
    </row>
    <row r="830" ht="15" customHeight="1" s="64">
      <c r="G830" s="93">
        <f>IF(AND(E830&lt;&gt;"",F830&lt;&gt;""),ROUND((F830-E830)*24,1),"")</f>
        <v/>
      </c>
    </row>
    <row r="831" ht="15" customHeight="1" s="64">
      <c r="G831" s="93">
        <f>IF(AND(E831&lt;&gt;"",F831&lt;&gt;""),ROUND((F831-E831)*24,1),"")</f>
        <v/>
      </c>
    </row>
    <row r="832" ht="15" customHeight="1" s="64">
      <c r="G832" s="93">
        <f>IF(AND(E832&lt;&gt;"",F832&lt;&gt;""),ROUND((F832-E832)*24,1),"")</f>
        <v/>
      </c>
    </row>
    <row r="833" ht="15" customHeight="1" s="64">
      <c r="G833" s="93">
        <f>IF(AND(E833&lt;&gt;"",F833&lt;&gt;""),ROUND((F833-E833)*24,1),"")</f>
        <v/>
      </c>
    </row>
    <row r="834" ht="15" customHeight="1" s="64">
      <c r="G834" s="93">
        <f>IF(AND(E834&lt;&gt;"",F834&lt;&gt;""),ROUND((F834-E834)*24,1),"")</f>
        <v/>
      </c>
    </row>
    <row r="835" ht="15" customHeight="1" s="64">
      <c r="G835" s="93">
        <f>IF(AND(E835&lt;&gt;"",F835&lt;&gt;""),ROUND((F835-E835)*24,1),"")</f>
        <v/>
      </c>
    </row>
    <row r="836" ht="15" customHeight="1" s="64">
      <c r="G836" s="93">
        <f>IF(AND(E836&lt;&gt;"",F836&lt;&gt;""),ROUND((F836-E836)*24,1),"")</f>
        <v/>
      </c>
    </row>
    <row r="837" ht="15" customHeight="1" s="64">
      <c r="G837" s="93">
        <f>IF(AND(E837&lt;&gt;"",F837&lt;&gt;""),ROUND((F837-E837)*24,1),"")</f>
        <v/>
      </c>
    </row>
    <row r="838" ht="15" customHeight="1" s="64">
      <c r="G838" s="93">
        <f>IF(AND(E838&lt;&gt;"",F838&lt;&gt;""),ROUND((F838-E838)*24,1),"")</f>
        <v/>
      </c>
    </row>
    <row r="839" ht="15" customHeight="1" s="64">
      <c r="G839" s="93">
        <f>IF(AND(E839&lt;&gt;"",F839&lt;&gt;""),ROUND((F839-E839)*24,1),"")</f>
        <v/>
      </c>
    </row>
    <row r="840" ht="15" customHeight="1" s="64">
      <c r="G840" s="93">
        <f>IF(AND(E840&lt;&gt;"",F840&lt;&gt;""),ROUND((F840-E840)*24,1),"")</f>
        <v/>
      </c>
    </row>
    <row r="841" ht="15" customHeight="1" s="64">
      <c r="G841" s="93">
        <f>IF(AND(E841&lt;&gt;"",F841&lt;&gt;""),ROUND((F841-E841)*24,1),"")</f>
        <v/>
      </c>
    </row>
    <row r="842" ht="15" customHeight="1" s="64">
      <c r="G842" s="93">
        <f>IF(AND(E842&lt;&gt;"",F842&lt;&gt;""),ROUND((F842-E842)*24,1),"")</f>
        <v/>
      </c>
    </row>
    <row r="843" ht="15" customHeight="1" s="64">
      <c r="G843" s="93">
        <f>IF(AND(E843&lt;&gt;"",F843&lt;&gt;""),ROUND((F843-E843)*24,1),"")</f>
        <v/>
      </c>
    </row>
    <row r="844" ht="15" customHeight="1" s="64">
      <c r="G844" s="93">
        <f>IF(AND(E844&lt;&gt;"",F844&lt;&gt;""),ROUND((F844-E844)*24,1),"")</f>
        <v/>
      </c>
    </row>
    <row r="845" ht="15" customHeight="1" s="64">
      <c r="G845" s="93">
        <f>IF(AND(E845&lt;&gt;"",F845&lt;&gt;""),ROUND((F845-E845)*24,1),"")</f>
        <v/>
      </c>
    </row>
    <row r="846" ht="15" customHeight="1" s="64">
      <c r="G846" s="93">
        <f>IF(AND(E846&lt;&gt;"",F846&lt;&gt;""),ROUND((F846-E846)*24,1),"")</f>
        <v/>
      </c>
    </row>
    <row r="847" ht="15" customHeight="1" s="64">
      <c r="G847" s="93">
        <f>IF(AND(E847&lt;&gt;"",F847&lt;&gt;""),ROUND((F847-E847)*24,1),"")</f>
        <v/>
      </c>
    </row>
    <row r="848" ht="15" customHeight="1" s="64">
      <c r="G848" s="93">
        <f>IF(AND(E848&lt;&gt;"",F848&lt;&gt;""),ROUND((F848-E848)*24,1),"")</f>
        <v/>
      </c>
    </row>
    <row r="849" ht="15" customHeight="1" s="64">
      <c r="G849" s="93">
        <f>IF(AND(E849&lt;&gt;"",F849&lt;&gt;""),ROUND((F849-E849)*24,1),"")</f>
        <v/>
      </c>
    </row>
    <row r="850" ht="15" customHeight="1" s="64">
      <c r="G850" s="93">
        <f>IF(AND(E850&lt;&gt;"",F850&lt;&gt;""),ROUND((F850-E850)*24,1),"")</f>
        <v/>
      </c>
    </row>
    <row r="851" ht="15" customHeight="1" s="64">
      <c r="G851" s="93">
        <f>IF(AND(E851&lt;&gt;"",F851&lt;&gt;""),ROUND((F851-E851)*24,1),"")</f>
        <v/>
      </c>
    </row>
    <row r="852" ht="15" customHeight="1" s="64">
      <c r="G852" s="93">
        <f>IF(AND(E852&lt;&gt;"",F852&lt;&gt;""),ROUND((F852-E852)*24,1),"")</f>
        <v/>
      </c>
    </row>
    <row r="853" ht="15" customHeight="1" s="64">
      <c r="G853" s="93">
        <f>IF(AND(E853&lt;&gt;"",F853&lt;&gt;""),ROUND((F853-E853)*24,1),"")</f>
        <v/>
      </c>
    </row>
    <row r="854" ht="15" customHeight="1" s="64">
      <c r="G854" s="93">
        <f>IF(AND(E854&lt;&gt;"",F854&lt;&gt;""),ROUND((F854-E854)*24,1),"")</f>
        <v/>
      </c>
    </row>
    <row r="855" ht="15" customHeight="1" s="64">
      <c r="G855" s="93">
        <f>IF(AND(E855&lt;&gt;"",F855&lt;&gt;""),ROUND((F855-E855)*24,1),"")</f>
        <v/>
      </c>
    </row>
    <row r="856" ht="15" customHeight="1" s="64">
      <c r="G856" s="93">
        <f>IF(AND(E856&lt;&gt;"",F856&lt;&gt;""),ROUND((F856-E856)*24,1),"")</f>
        <v/>
      </c>
    </row>
    <row r="857" ht="15" customHeight="1" s="64">
      <c r="G857" s="93">
        <f>IF(AND(E857&lt;&gt;"",F857&lt;&gt;""),ROUND((F857-E857)*24,1),"")</f>
        <v/>
      </c>
    </row>
    <row r="858" ht="15" customHeight="1" s="64">
      <c r="G858" s="93">
        <f>IF(AND(E858&lt;&gt;"",F858&lt;&gt;""),ROUND((F858-E858)*24,1),"")</f>
        <v/>
      </c>
    </row>
    <row r="859" ht="15" customHeight="1" s="64">
      <c r="G859" s="93">
        <f>IF(AND(E859&lt;&gt;"",F859&lt;&gt;""),ROUND((F859-E859)*24,1),"")</f>
        <v/>
      </c>
    </row>
    <row r="860" ht="15" customHeight="1" s="64">
      <c r="G860" s="93">
        <f>IF(AND(E860&lt;&gt;"",F860&lt;&gt;""),ROUND((F860-E860)*24,1),"")</f>
        <v/>
      </c>
    </row>
    <row r="861" ht="15" customHeight="1" s="64">
      <c r="G861" s="93">
        <f>IF(AND(E861&lt;&gt;"",F861&lt;&gt;""),ROUND((F861-E861)*24,1),"")</f>
        <v/>
      </c>
    </row>
    <row r="862" ht="15" customHeight="1" s="64">
      <c r="G862" s="93">
        <f>IF(AND(E862&lt;&gt;"",F862&lt;&gt;""),ROUND((F862-E862)*24,1),"")</f>
        <v/>
      </c>
    </row>
    <row r="863" ht="15" customHeight="1" s="64">
      <c r="G863" s="93">
        <f>IF(AND(E863&lt;&gt;"",F863&lt;&gt;""),ROUND((F863-E863)*24,1),"")</f>
        <v/>
      </c>
    </row>
    <row r="864" ht="15" customHeight="1" s="64">
      <c r="G864" s="93">
        <f>IF(AND(E864&lt;&gt;"",F864&lt;&gt;""),ROUND((F864-E864)*24,1),"")</f>
        <v/>
      </c>
    </row>
    <row r="865" ht="15" customHeight="1" s="64">
      <c r="G865" s="93">
        <f>IF(AND(E865&lt;&gt;"",F865&lt;&gt;""),ROUND((F865-E865)*24,1),"")</f>
        <v/>
      </c>
    </row>
    <row r="866" ht="15" customHeight="1" s="64">
      <c r="G866" s="93">
        <f>IF(AND(E866&lt;&gt;"",F866&lt;&gt;""),ROUND((F866-E866)*24,1),"")</f>
        <v/>
      </c>
    </row>
    <row r="867" ht="15" customHeight="1" s="64">
      <c r="G867" s="93">
        <f>IF(AND(E867&lt;&gt;"",F867&lt;&gt;""),ROUND((F867-E867)*24,1),"")</f>
        <v/>
      </c>
    </row>
    <row r="868" ht="15" customHeight="1" s="64">
      <c r="G868" s="93">
        <f>IF(AND(E868&lt;&gt;"",F868&lt;&gt;""),ROUND((F868-E868)*24,1),"")</f>
        <v/>
      </c>
    </row>
    <row r="869" ht="15" customHeight="1" s="64">
      <c r="G869" s="93">
        <f>IF(AND(E869&lt;&gt;"",F869&lt;&gt;""),ROUND((F869-E869)*24,1),"")</f>
        <v/>
      </c>
    </row>
    <row r="870" ht="15" customHeight="1" s="64">
      <c r="G870" s="93">
        <f>IF(AND(E870&lt;&gt;"",F870&lt;&gt;""),ROUND((F870-E870)*24,1),"")</f>
        <v/>
      </c>
    </row>
    <row r="871" ht="15" customHeight="1" s="64">
      <c r="G871" s="93">
        <f>IF(AND(E871&lt;&gt;"",F871&lt;&gt;""),ROUND((F871-E871)*24,1),"")</f>
        <v/>
      </c>
    </row>
    <row r="872" ht="15" customHeight="1" s="64">
      <c r="G872" s="93">
        <f>IF(AND(E872&lt;&gt;"",F872&lt;&gt;""),ROUND((F872-E872)*24,1),"")</f>
        <v/>
      </c>
    </row>
    <row r="873" ht="15" customHeight="1" s="64">
      <c r="G873" s="93">
        <f>IF(AND(E873&lt;&gt;"",F873&lt;&gt;""),ROUND((F873-E873)*24,1),"")</f>
        <v/>
      </c>
    </row>
    <row r="874" ht="15" customHeight="1" s="64">
      <c r="G874" s="93">
        <f>IF(AND(E874&lt;&gt;"",F874&lt;&gt;""),ROUND((F874-E874)*24,1),"")</f>
        <v/>
      </c>
    </row>
    <row r="875" ht="15" customHeight="1" s="64">
      <c r="G875" s="93">
        <f>IF(AND(E875&lt;&gt;"",F875&lt;&gt;""),ROUND((F875-E875)*24,1),"")</f>
        <v/>
      </c>
    </row>
    <row r="876" ht="15" customHeight="1" s="64">
      <c r="G876" s="93">
        <f>IF(AND(E876&lt;&gt;"",F876&lt;&gt;""),ROUND((F876-E876)*24,1),"")</f>
        <v/>
      </c>
    </row>
    <row r="877" ht="15" customHeight="1" s="64">
      <c r="G877" s="93">
        <f>IF(AND(E877&lt;&gt;"",F877&lt;&gt;""),ROUND((F877-E877)*24,1),"")</f>
        <v/>
      </c>
    </row>
    <row r="878" ht="15" customHeight="1" s="64">
      <c r="G878" s="93">
        <f>IF(AND(E878&lt;&gt;"",F878&lt;&gt;""),ROUND((F878-E878)*24,1),"")</f>
        <v/>
      </c>
    </row>
    <row r="879" ht="15" customHeight="1" s="64">
      <c r="G879" s="93">
        <f>IF(AND(E879&lt;&gt;"",F879&lt;&gt;""),ROUND((F879-E879)*24,1),"")</f>
        <v/>
      </c>
    </row>
    <row r="880" ht="15" customHeight="1" s="64">
      <c r="G880" s="93">
        <f>IF(AND(E880&lt;&gt;"",F880&lt;&gt;""),ROUND((F880-E880)*24,1),"")</f>
        <v/>
      </c>
    </row>
    <row r="881" ht="15" customHeight="1" s="64">
      <c r="G881" s="93">
        <f>IF(AND(E881&lt;&gt;"",F881&lt;&gt;""),ROUND((F881-E881)*24,1),"")</f>
        <v/>
      </c>
    </row>
    <row r="882" ht="15" customHeight="1" s="64">
      <c r="G882" s="93">
        <f>IF(AND(E882&lt;&gt;"",F882&lt;&gt;""),ROUND((F882-E882)*24,1),"")</f>
        <v/>
      </c>
    </row>
    <row r="883" ht="15" customHeight="1" s="64">
      <c r="G883" s="93">
        <f>IF(AND(E883&lt;&gt;"",F883&lt;&gt;""),ROUND((F883-E883)*24,1),"")</f>
        <v/>
      </c>
    </row>
    <row r="884" ht="15" customHeight="1" s="64">
      <c r="G884" s="93">
        <f>IF(AND(E884&lt;&gt;"",F884&lt;&gt;""),ROUND((F884-E884)*24,1),"")</f>
        <v/>
      </c>
    </row>
    <row r="885" ht="15" customHeight="1" s="64">
      <c r="G885" s="93">
        <f>IF(AND(E885&lt;&gt;"",F885&lt;&gt;""),ROUND((F885-E885)*24,1),"")</f>
        <v/>
      </c>
    </row>
    <row r="886" ht="15" customHeight="1" s="64">
      <c r="G886" s="93">
        <f>IF(AND(E886&lt;&gt;"",F886&lt;&gt;""),ROUND((F886-E886)*24,1),"")</f>
        <v/>
      </c>
    </row>
    <row r="887" ht="15" customHeight="1" s="64">
      <c r="G887" s="93">
        <f>IF(AND(E887&lt;&gt;"",F887&lt;&gt;""),ROUND((F887-E887)*24,1),"")</f>
        <v/>
      </c>
    </row>
    <row r="888" ht="15" customHeight="1" s="64">
      <c r="G888" s="93">
        <f>IF(AND(E888&lt;&gt;"",F888&lt;&gt;""),ROUND((F888-E888)*24,1),"")</f>
        <v/>
      </c>
    </row>
    <row r="889" ht="15" customHeight="1" s="64">
      <c r="G889" s="93">
        <f>IF(AND(E889&lt;&gt;"",F889&lt;&gt;""),ROUND((F889-E889)*24,1),"")</f>
        <v/>
      </c>
    </row>
    <row r="890" ht="15" customHeight="1" s="64">
      <c r="G890" s="93">
        <f>IF(AND(E890&lt;&gt;"",F890&lt;&gt;""),ROUND((F890-E890)*24,1),"")</f>
        <v/>
      </c>
    </row>
    <row r="891" ht="15" customHeight="1" s="64">
      <c r="G891" s="93">
        <f>IF(AND(E891&lt;&gt;"",F891&lt;&gt;""),ROUND((F891-E891)*24,1),"")</f>
        <v/>
      </c>
    </row>
    <row r="892" ht="15" customHeight="1" s="64">
      <c r="G892" s="93">
        <f>IF(AND(E892&lt;&gt;"",F892&lt;&gt;""),ROUND((F892-E892)*24,1),"")</f>
        <v/>
      </c>
    </row>
    <row r="893" ht="15" customHeight="1" s="64">
      <c r="G893" s="93">
        <f>IF(AND(E893&lt;&gt;"",F893&lt;&gt;""),ROUND((F893-E893)*24,1),"")</f>
        <v/>
      </c>
    </row>
    <row r="894" ht="15" customHeight="1" s="64">
      <c r="G894" s="93">
        <f>IF(AND(E894&lt;&gt;"",F894&lt;&gt;""),ROUND((F894-E894)*24,1),"")</f>
        <v/>
      </c>
    </row>
    <row r="895" ht="15" customHeight="1" s="64">
      <c r="G895" s="93">
        <f>IF(AND(E895&lt;&gt;"",F895&lt;&gt;""),ROUND((F895-E895)*24,1),"")</f>
        <v/>
      </c>
    </row>
    <row r="896" ht="15" customHeight="1" s="64">
      <c r="G896" s="93">
        <f>IF(AND(E896&lt;&gt;"",F896&lt;&gt;""),ROUND((F896-E896)*24,1),"")</f>
        <v/>
      </c>
    </row>
    <row r="897" ht="15" customHeight="1" s="64">
      <c r="G897" s="93">
        <f>IF(AND(E897&lt;&gt;"",F897&lt;&gt;""),ROUND((F897-E897)*24,1),"")</f>
        <v/>
      </c>
    </row>
    <row r="898" ht="15" customHeight="1" s="64">
      <c r="G898" s="93">
        <f>IF(AND(E898&lt;&gt;"",F898&lt;&gt;""),ROUND((F898-E898)*24,1),"")</f>
        <v/>
      </c>
    </row>
    <row r="899" ht="15" customHeight="1" s="64">
      <c r="G899" s="93">
        <f>IF(AND(E899&lt;&gt;"",F899&lt;&gt;""),ROUND((F899-E899)*24,1),"")</f>
        <v/>
      </c>
    </row>
    <row r="900" ht="15" customHeight="1" s="64">
      <c r="G900" s="93">
        <f>IF(AND(E900&lt;&gt;"",F900&lt;&gt;""),ROUND((F900-E900)*24,1),"")</f>
        <v/>
      </c>
    </row>
    <row r="901" ht="15" customHeight="1" s="64">
      <c r="G901" s="93">
        <f>IF(AND(E901&lt;&gt;"",F901&lt;&gt;""),ROUND((F901-E901)*24,1),"")</f>
        <v/>
      </c>
    </row>
    <row r="902" ht="15" customHeight="1" s="64">
      <c r="G902" s="93">
        <f>IF(AND(E902&lt;&gt;"",F902&lt;&gt;""),ROUND((F902-E902)*24,1),"")</f>
        <v/>
      </c>
    </row>
    <row r="903" ht="15" customHeight="1" s="64">
      <c r="G903" s="93">
        <f>IF(AND(E903&lt;&gt;"",F903&lt;&gt;""),ROUND((F903-E903)*24,1),"")</f>
        <v/>
      </c>
    </row>
    <row r="904" ht="15" customHeight="1" s="64">
      <c r="G904" s="93">
        <f>IF(AND(E904&lt;&gt;"",F904&lt;&gt;""),ROUND((F904-E904)*24,1),"")</f>
        <v/>
      </c>
    </row>
    <row r="905" ht="15" customHeight="1" s="64">
      <c r="G905" s="93">
        <f>IF(AND(E905&lt;&gt;"",F905&lt;&gt;""),ROUND((F905-E905)*24,1),"")</f>
        <v/>
      </c>
    </row>
    <row r="906" ht="15" customHeight="1" s="64">
      <c r="G906" s="93">
        <f>IF(AND(E906&lt;&gt;"",F906&lt;&gt;""),ROUND((F906-E906)*24,1),"")</f>
        <v/>
      </c>
    </row>
    <row r="907" ht="15" customHeight="1" s="64">
      <c r="G907" s="93">
        <f>IF(AND(E907&lt;&gt;"",F907&lt;&gt;""),ROUND((F907-E907)*24,1),"")</f>
        <v/>
      </c>
    </row>
    <row r="908" ht="15" customHeight="1" s="64">
      <c r="G908" s="93">
        <f>IF(AND(E908&lt;&gt;"",F908&lt;&gt;""),ROUND((F908-E908)*24,1),"")</f>
        <v/>
      </c>
    </row>
    <row r="909" ht="15" customHeight="1" s="64">
      <c r="G909" s="93">
        <f>IF(AND(E909&lt;&gt;"",F909&lt;&gt;""),ROUND((F909-E909)*24,1),"")</f>
        <v/>
      </c>
    </row>
    <row r="910" ht="15" customHeight="1" s="64">
      <c r="G910" s="93">
        <f>IF(AND(E910&lt;&gt;"",F910&lt;&gt;""),ROUND((F910-E910)*24,1),"")</f>
        <v/>
      </c>
    </row>
    <row r="911" ht="15" customHeight="1" s="64">
      <c r="G911" s="93">
        <f>IF(AND(E911&lt;&gt;"",F911&lt;&gt;""),ROUND((F911-E911)*24,1),"")</f>
        <v/>
      </c>
    </row>
    <row r="912" ht="15" customHeight="1" s="64">
      <c r="G912" s="93">
        <f>IF(AND(E912&lt;&gt;"",F912&lt;&gt;""),ROUND((F912-E912)*24,1),"")</f>
        <v/>
      </c>
    </row>
    <row r="913" ht="15" customHeight="1" s="64">
      <c r="G913" s="93">
        <f>IF(AND(E913&lt;&gt;"",F913&lt;&gt;""),ROUND((F913-E913)*24,1),"")</f>
        <v/>
      </c>
    </row>
    <row r="914" ht="15" customHeight="1" s="64">
      <c r="G914" s="93">
        <f>IF(AND(E914&lt;&gt;"",F914&lt;&gt;""),ROUND((F914-E914)*24,1),"")</f>
        <v/>
      </c>
    </row>
    <row r="915" ht="15" customHeight="1" s="64">
      <c r="G915" s="93">
        <f>IF(AND(E915&lt;&gt;"",F915&lt;&gt;""),ROUND((F915-E915)*24,1),"")</f>
        <v/>
      </c>
    </row>
    <row r="916" ht="15" customHeight="1" s="64">
      <c r="G916" s="93">
        <f>IF(AND(E916&lt;&gt;"",F916&lt;&gt;""),ROUND((F916-E916)*24,1),"")</f>
        <v/>
      </c>
    </row>
    <row r="917" ht="15" customHeight="1" s="64">
      <c r="G917" s="93">
        <f>IF(AND(E917&lt;&gt;"",F917&lt;&gt;""),ROUND((F917-E917)*24,1),"")</f>
        <v/>
      </c>
    </row>
    <row r="918" ht="15" customHeight="1" s="64">
      <c r="G918" s="93">
        <f>IF(AND(E918&lt;&gt;"",F918&lt;&gt;""),ROUND((F918-E918)*24,1),"")</f>
        <v/>
      </c>
    </row>
    <row r="919" ht="15" customHeight="1" s="64">
      <c r="G919" s="93">
        <f>IF(AND(E919&lt;&gt;"",F919&lt;&gt;""),ROUND((F919-E919)*24,1),"")</f>
        <v/>
      </c>
    </row>
    <row r="920" ht="15" customHeight="1" s="64">
      <c r="G920" s="93">
        <f>IF(AND(E920&lt;&gt;"",F920&lt;&gt;""),ROUND((F920-E920)*24,1),"")</f>
        <v/>
      </c>
    </row>
    <row r="921" ht="15" customHeight="1" s="64">
      <c r="G921" s="93">
        <f>IF(AND(E921&lt;&gt;"",F921&lt;&gt;""),ROUND((F921-E921)*24,1),"")</f>
        <v/>
      </c>
    </row>
    <row r="922" ht="15" customHeight="1" s="64">
      <c r="G922" s="93">
        <f>IF(AND(E922&lt;&gt;"",F922&lt;&gt;""),ROUND((F922-E922)*24,1),"")</f>
        <v/>
      </c>
    </row>
    <row r="923" ht="15" customHeight="1" s="64">
      <c r="G923" s="93">
        <f>IF(AND(E923&lt;&gt;"",F923&lt;&gt;""),ROUND((F923-E923)*24,1),"")</f>
        <v/>
      </c>
    </row>
    <row r="924" ht="15" customHeight="1" s="64">
      <c r="G924" s="93">
        <f>IF(AND(E924&lt;&gt;"",F924&lt;&gt;""),ROUND((F924-E924)*24,1),"")</f>
        <v/>
      </c>
    </row>
    <row r="925" ht="15" customHeight="1" s="64">
      <c r="G925" s="93">
        <f>IF(AND(E925&lt;&gt;"",F925&lt;&gt;""),ROUND((F925-E925)*24,1),"")</f>
        <v/>
      </c>
    </row>
    <row r="926" ht="15" customHeight="1" s="64">
      <c r="G926" s="93">
        <f>IF(AND(E926&lt;&gt;"",F926&lt;&gt;""),ROUND((F926-E926)*24,1),"")</f>
        <v/>
      </c>
    </row>
    <row r="927" ht="15" customHeight="1" s="64">
      <c r="G927" s="93">
        <f>IF(AND(E927&lt;&gt;"",F927&lt;&gt;""),ROUND((F927-E927)*24,1),"")</f>
        <v/>
      </c>
    </row>
    <row r="928" ht="15" customHeight="1" s="64">
      <c r="G928" s="93">
        <f>IF(AND(E928&lt;&gt;"",F928&lt;&gt;""),ROUND((F928-E928)*24,1),"")</f>
        <v/>
      </c>
    </row>
    <row r="929" ht="15" customHeight="1" s="64">
      <c r="G929" s="93">
        <f>IF(AND(E929&lt;&gt;"",F929&lt;&gt;""),ROUND((F929-E929)*24,1),"")</f>
        <v/>
      </c>
    </row>
    <row r="930" ht="15" customHeight="1" s="64">
      <c r="G930" s="93">
        <f>IF(AND(E930&lt;&gt;"",F930&lt;&gt;""),ROUND((F930-E930)*24,1),"")</f>
        <v/>
      </c>
    </row>
    <row r="931" ht="15" customHeight="1" s="64">
      <c r="G931" s="93">
        <f>IF(AND(E931&lt;&gt;"",F931&lt;&gt;""),ROUND((F931-E931)*24,1),"")</f>
        <v/>
      </c>
    </row>
    <row r="932" ht="15" customHeight="1" s="64">
      <c r="G932" s="93">
        <f>IF(AND(E932&lt;&gt;"",F932&lt;&gt;""),ROUND((F932-E932)*24,1),"")</f>
        <v/>
      </c>
    </row>
    <row r="933" ht="15" customHeight="1" s="64">
      <c r="G933" s="93">
        <f>IF(AND(E933&lt;&gt;"",F933&lt;&gt;""),ROUND((F933-E933)*24,1),"")</f>
        <v/>
      </c>
    </row>
    <row r="934" ht="15" customHeight="1" s="64">
      <c r="G934" s="93">
        <f>IF(AND(E934&lt;&gt;"",F934&lt;&gt;""),ROUND((F934-E934)*24,1),"")</f>
        <v/>
      </c>
    </row>
    <row r="935" ht="15" customHeight="1" s="64">
      <c r="G935" s="93">
        <f>IF(AND(E935&lt;&gt;"",F935&lt;&gt;""),ROUND((F935-E935)*24,1),"")</f>
        <v/>
      </c>
    </row>
    <row r="936" ht="15" customHeight="1" s="64">
      <c r="G936" s="93">
        <f>IF(AND(E936&lt;&gt;"",F936&lt;&gt;""),ROUND((F936-E936)*24,1),"")</f>
        <v/>
      </c>
    </row>
    <row r="937" ht="15" customHeight="1" s="64">
      <c r="G937" s="93">
        <f>IF(AND(E937&lt;&gt;"",F937&lt;&gt;""),ROUND((F937-E937)*24,1),"")</f>
        <v/>
      </c>
    </row>
    <row r="938" ht="15" customHeight="1" s="64">
      <c r="G938" s="93">
        <f>IF(AND(E938&lt;&gt;"",F938&lt;&gt;""),ROUND((F938-E938)*24,1),"")</f>
        <v/>
      </c>
    </row>
    <row r="939" ht="15" customHeight="1" s="64">
      <c r="G939" s="93">
        <f>IF(AND(E939&lt;&gt;"",F939&lt;&gt;""),ROUND((F939-E939)*24,1),"")</f>
        <v/>
      </c>
    </row>
    <row r="940" ht="15" customHeight="1" s="64">
      <c r="G940" s="93">
        <f>IF(AND(E940&lt;&gt;"",F940&lt;&gt;""),ROUND((F940-E940)*24,1),"")</f>
        <v/>
      </c>
    </row>
    <row r="941" ht="15" customHeight="1" s="64">
      <c r="G941" s="93">
        <f>IF(AND(E941&lt;&gt;"",F941&lt;&gt;""),ROUND((F941-E941)*24,1),"")</f>
        <v/>
      </c>
    </row>
    <row r="942" ht="15" customHeight="1" s="64">
      <c r="G942" s="93">
        <f>IF(AND(E942&lt;&gt;"",F942&lt;&gt;""),ROUND((F942-E942)*24,1),"")</f>
        <v/>
      </c>
    </row>
    <row r="943" ht="15" customHeight="1" s="64">
      <c r="G943" s="93">
        <f>IF(AND(E943&lt;&gt;"",F943&lt;&gt;""),ROUND((F943-E943)*24,1),"")</f>
        <v/>
      </c>
    </row>
    <row r="944" ht="15" customHeight="1" s="64">
      <c r="G944" s="93">
        <f>IF(AND(E944&lt;&gt;"",F944&lt;&gt;""),ROUND((F944-E944)*24,1),"")</f>
        <v/>
      </c>
    </row>
    <row r="945" ht="15" customHeight="1" s="64">
      <c r="G945" s="93">
        <f>IF(AND(E945&lt;&gt;"",F945&lt;&gt;""),ROUND((F945-E945)*24,1),"")</f>
        <v/>
      </c>
    </row>
    <row r="946" ht="15" customHeight="1" s="64">
      <c r="G946" s="93">
        <f>IF(AND(E946&lt;&gt;"",F946&lt;&gt;""),ROUND((F946-E946)*24,1),"")</f>
        <v/>
      </c>
    </row>
    <row r="947" ht="15" customHeight="1" s="64">
      <c r="G947" s="93">
        <f>IF(AND(E947&lt;&gt;"",F947&lt;&gt;""),ROUND((F947-E947)*24,1),"")</f>
        <v/>
      </c>
    </row>
    <row r="948" ht="15" customHeight="1" s="64">
      <c r="G948" s="93">
        <f>IF(AND(E948&lt;&gt;"",F948&lt;&gt;""),ROUND((F948-E948)*24,1),"")</f>
        <v/>
      </c>
    </row>
    <row r="949" ht="15" customHeight="1" s="64">
      <c r="G949" s="93">
        <f>IF(AND(E949&lt;&gt;"",F949&lt;&gt;""),ROUND((F949-E949)*24,1),"")</f>
        <v/>
      </c>
    </row>
    <row r="950" ht="15" customHeight="1" s="64">
      <c r="G950" s="93">
        <f>IF(AND(E950&lt;&gt;"",F950&lt;&gt;""),ROUND((F950-E950)*24,1),"")</f>
        <v/>
      </c>
    </row>
    <row r="951" ht="15" customHeight="1" s="64">
      <c r="G951" s="93">
        <f>IF(AND(E951&lt;&gt;"",F951&lt;&gt;""),ROUND((F951-E951)*24,1),"")</f>
        <v/>
      </c>
    </row>
    <row r="952" ht="15" customHeight="1" s="64">
      <c r="G952" s="93">
        <f>IF(AND(E952&lt;&gt;"",F952&lt;&gt;""),ROUND((F952-E952)*24,1),"")</f>
        <v/>
      </c>
    </row>
    <row r="953" ht="15" customHeight="1" s="64">
      <c r="G953" s="93">
        <f>IF(AND(E953&lt;&gt;"",F953&lt;&gt;""),ROUND((F953-E953)*24,1),"")</f>
        <v/>
      </c>
    </row>
    <row r="954" ht="15" customHeight="1" s="64">
      <c r="G954" s="93">
        <f>IF(AND(E954&lt;&gt;"",F954&lt;&gt;""),ROUND((F954-E954)*24,1),"")</f>
        <v/>
      </c>
    </row>
    <row r="955" ht="15" customHeight="1" s="64">
      <c r="G955" s="93">
        <f>IF(AND(E955&lt;&gt;"",F955&lt;&gt;""),ROUND((F955-E955)*24,1),"")</f>
        <v/>
      </c>
    </row>
    <row r="956" ht="15" customHeight="1" s="64">
      <c r="G956" s="93">
        <f>IF(AND(E956&lt;&gt;"",F956&lt;&gt;""),ROUND((F956-E956)*24,1),"")</f>
        <v/>
      </c>
    </row>
    <row r="957" ht="15" customHeight="1" s="64">
      <c r="G957" s="93">
        <f>IF(AND(E957&lt;&gt;"",F957&lt;&gt;""),ROUND((F957-E957)*24,1),"")</f>
        <v/>
      </c>
    </row>
    <row r="958" ht="15" customHeight="1" s="64">
      <c r="G958" s="93">
        <f>IF(AND(E958&lt;&gt;"",F958&lt;&gt;""),ROUND((F958-E958)*24,1),"")</f>
        <v/>
      </c>
    </row>
    <row r="959" ht="15" customHeight="1" s="64">
      <c r="G959" s="93">
        <f>IF(AND(E959&lt;&gt;"",F959&lt;&gt;""),ROUND((F959-E959)*24,1),"")</f>
        <v/>
      </c>
    </row>
    <row r="960" ht="15" customHeight="1" s="64">
      <c r="G960" s="93">
        <f>IF(AND(E960&lt;&gt;"",F960&lt;&gt;""),ROUND((F960-E960)*24,1),"")</f>
        <v/>
      </c>
    </row>
    <row r="961" ht="15" customHeight="1" s="64">
      <c r="G961" s="93">
        <f>IF(AND(E961&lt;&gt;"",F961&lt;&gt;""),ROUND((F961-E961)*24,1),"")</f>
        <v/>
      </c>
    </row>
    <row r="962" ht="15" customHeight="1" s="64">
      <c r="G962" s="93">
        <f>IF(AND(E962&lt;&gt;"",F962&lt;&gt;""),ROUND((F962-E962)*24,1),"")</f>
        <v/>
      </c>
    </row>
    <row r="963" ht="15" customHeight="1" s="64">
      <c r="G963" s="93">
        <f>IF(AND(E963&lt;&gt;"",F963&lt;&gt;""),ROUND((F963-E963)*24,1),"")</f>
        <v/>
      </c>
    </row>
    <row r="964" ht="15" customHeight="1" s="64">
      <c r="G964" s="93">
        <f>IF(AND(E964&lt;&gt;"",F964&lt;&gt;""),ROUND((F964-E964)*24,1),"")</f>
        <v/>
      </c>
    </row>
    <row r="965" ht="15" customHeight="1" s="64">
      <c r="G965" s="93">
        <f>IF(AND(E965&lt;&gt;"",F965&lt;&gt;""),ROUND((F965-E965)*24,1),"")</f>
        <v/>
      </c>
    </row>
    <row r="966" ht="15" customHeight="1" s="64">
      <c r="G966" s="93">
        <f>IF(AND(E966&lt;&gt;"",F966&lt;&gt;""),ROUND((F966-E966)*24,1),"")</f>
        <v/>
      </c>
    </row>
    <row r="967" ht="15" customHeight="1" s="64">
      <c r="G967" s="93">
        <f>IF(AND(E967&lt;&gt;"",F967&lt;&gt;""),ROUND((F967-E967)*24,1),"")</f>
        <v/>
      </c>
    </row>
    <row r="968" ht="15" customHeight="1" s="64">
      <c r="G968" s="93">
        <f>IF(AND(E968&lt;&gt;"",F968&lt;&gt;""),ROUND((F968-E968)*24,1),"")</f>
        <v/>
      </c>
    </row>
    <row r="969" ht="15" customHeight="1" s="64">
      <c r="G969" s="93">
        <f>IF(AND(E969&lt;&gt;"",F969&lt;&gt;""),ROUND((F969-E969)*24,1),"")</f>
        <v/>
      </c>
    </row>
    <row r="970" ht="15" customHeight="1" s="64">
      <c r="G970" s="93">
        <f>IF(AND(E970&lt;&gt;"",F970&lt;&gt;""),ROUND((F970-E970)*24,1),"")</f>
        <v/>
      </c>
    </row>
    <row r="971" ht="15" customHeight="1" s="64">
      <c r="G971" s="93">
        <f>IF(AND(E971&lt;&gt;"",F971&lt;&gt;""),ROUND((F971-E971)*24,1),"")</f>
        <v/>
      </c>
    </row>
    <row r="972" ht="15" customHeight="1" s="64">
      <c r="G972" s="93">
        <f>IF(AND(E972&lt;&gt;"",F972&lt;&gt;""),ROUND((F972-E972)*24,1),"")</f>
        <v/>
      </c>
    </row>
    <row r="973" ht="15" customHeight="1" s="64">
      <c r="G973" s="93">
        <f>IF(AND(E973&lt;&gt;"",F973&lt;&gt;""),ROUND((F973-E973)*24,1),"")</f>
        <v/>
      </c>
    </row>
    <row r="974" ht="15" customHeight="1" s="64">
      <c r="G974" s="93">
        <f>IF(AND(E974&lt;&gt;"",F974&lt;&gt;""),ROUND((F974-E974)*24,1),"")</f>
        <v/>
      </c>
    </row>
    <row r="975" ht="15" customHeight="1" s="64">
      <c r="G975" s="93">
        <f>IF(AND(E975&lt;&gt;"",F975&lt;&gt;""),ROUND((F975-E975)*24,1),"")</f>
        <v/>
      </c>
    </row>
    <row r="976" ht="15" customHeight="1" s="64">
      <c r="G976" s="93">
        <f>IF(AND(E976&lt;&gt;"",F976&lt;&gt;""),ROUND((F976-E976)*24,1),"")</f>
        <v/>
      </c>
    </row>
    <row r="977" ht="15" customHeight="1" s="64">
      <c r="G977" s="93">
        <f>IF(AND(E977&lt;&gt;"",F977&lt;&gt;""),ROUND((F977-E977)*24,1),"")</f>
        <v/>
      </c>
    </row>
    <row r="978" ht="15" customHeight="1" s="64">
      <c r="G978" s="93">
        <f>IF(AND(E978&lt;&gt;"",F978&lt;&gt;""),ROUND((F978-E978)*24,1),"")</f>
        <v/>
      </c>
    </row>
    <row r="979" ht="15" customHeight="1" s="64">
      <c r="G979" s="93">
        <f>IF(AND(E979&lt;&gt;"",F979&lt;&gt;""),ROUND((F979-E979)*24,1),"")</f>
        <v/>
      </c>
    </row>
    <row r="980" ht="15" customHeight="1" s="64">
      <c r="G980" s="93">
        <f>IF(AND(E980&lt;&gt;"",F980&lt;&gt;""),ROUND((F980-E980)*24,1),"")</f>
        <v/>
      </c>
    </row>
    <row r="981" ht="15" customHeight="1" s="64">
      <c r="G981" s="93">
        <f>IF(AND(E981&lt;&gt;"",F981&lt;&gt;""),ROUND((F981-E981)*24,1),"")</f>
        <v/>
      </c>
    </row>
    <row r="982" ht="15" customHeight="1" s="64">
      <c r="G982" s="93">
        <f>IF(AND(E982&lt;&gt;"",F982&lt;&gt;""),ROUND((F982-E982)*24,1),"")</f>
        <v/>
      </c>
    </row>
    <row r="983" ht="15" customHeight="1" s="64">
      <c r="G983" s="93">
        <f>IF(AND(E983&lt;&gt;"",F983&lt;&gt;""),ROUND((F983-E983)*24,1),"")</f>
        <v/>
      </c>
    </row>
    <row r="984" ht="15" customHeight="1" s="64">
      <c r="G984" s="93">
        <f>IF(AND(E984&lt;&gt;"",F984&lt;&gt;""),ROUND((F984-E984)*24,1),"")</f>
        <v/>
      </c>
    </row>
    <row r="985" ht="15" customHeight="1" s="64">
      <c r="G985" s="93">
        <f>IF(AND(E985&lt;&gt;"",F985&lt;&gt;""),ROUND((F985-E985)*24,1),"")</f>
        <v/>
      </c>
    </row>
    <row r="986" ht="15" customHeight="1" s="64">
      <c r="G986" s="93">
        <f>IF(AND(E986&lt;&gt;"",F986&lt;&gt;""),ROUND((F986-E986)*24,1),"")</f>
        <v/>
      </c>
    </row>
    <row r="987" ht="15" customHeight="1" s="64">
      <c r="G987" s="93">
        <f>IF(AND(E987&lt;&gt;"",F987&lt;&gt;""),ROUND((F987-E987)*24,1),"")</f>
        <v/>
      </c>
    </row>
    <row r="988" ht="15" customHeight="1" s="64">
      <c r="G988" s="93">
        <f>IF(AND(E988&lt;&gt;"",F988&lt;&gt;""),ROUND((F988-E988)*24,1),"")</f>
        <v/>
      </c>
    </row>
    <row r="989" ht="15" customHeight="1" s="64">
      <c r="G989" s="93">
        <f>IF(AND(E989&lt;&gt;"",F989&lt;&gt;""),ROUND((F989-E989)*24,1),"")</f>
        <v/>
      </c>
    </row>
    <row r="990" ht="15" customHeight="1" s="64">
      <c r="G990" s="93">
        <f>IF(AND(E990&lt;&gt;"",F990&lt;&gt;""),ROUND((F990-E990)*24,1),"")</f>
        <v/>
      </c>
    </row>
    <row r="991" ht="15" customHeight="1" s="64">
      <c r="G991" s="93">
        <f>IF(AND(E991&lt;&gt;"",F991&lt;&gt;""),ROUND((F991-E991)*24,1),"")</f>
        <v/>
      </c>
    </row>
    <row r="992" ht="15" customHeight="1" s="64">
      <c r="G992" s="93">
        <f>IF(AND(E992&lt;&gt;"",F992&lt;&gt;""),ROUND((F992-E992)*24,1),"")</f>
        <v/>
      </c>
    </row>
    <row r="993" ht="15" customHeight="1" s="64">
      <c r="G993" s="93">
        <f>IF(AND(E993&lt;&gt;"",F993&lt;&gt;""),ROUND((F993-E993)*24,1),"")</f>
        <v/>
      </c>
    </row>
    <row r="994" ht="15" customHeight="1" s="64">
      <c r="G994" s="93">
        <f>IF(AND(E994&lt;&gt;"",F994&lt;&gt;""),ROUND((F994-E994)*24,1),"")</f>
        <v/>
      </c>
    </row>
    <row r="995" ht="15" customHeight="1" s="64">
      <c r="G995" s="93">
        <f>IF(AND(E995&lt;&gt;"",F995&lt;&gt;""),ROUND((F995-E995)*24,1),"")</f>
        <v/>
      </c>
    </row>
    <row r="996" ht="15" customHeight="1" s="64">
      <c r="G996" s="93">
        <f>IF(AND(E996&lt;&gt;"",F996&lt;&gt;""),ROUND((F996-E996)*24,1),"")</f>
        <v/>
      </c>
    </row>
    <row r="997" ht="15" customHeight="1" s="64">
      <c r="G997" s="93">
        <f>IF(AND(E997&lt;&gt;"",F997&lt;&gt;""),ROUND((F997-E997)*24,1),"")</f>
        <v/>
      </c>
    </row>
    <row r="998" ht="15" customHeight="1" s="64">
      <c r="G998" s="93">
        <f>IF(AND(E998&lt;&gt;"",F998&lt;&gt;""),ROUND((F998-E998)*24,1),"")</f>
        <v/>
      </c>
    </row>
    <row r="999" ht="15" customHeight="1" s="64">
      <c r="G999" s="93">
        <f>IF(AND(E999&lt;&gt;"",F999&lt;&gt;""),ROUND((F999-E999)*24,1),"")</f>
        <v/>
      </c>
    </row>
    <row r="1000" ht="15" customHeight="1" s="64">
      <c r="G1000" s="93">
        <f>IF(AND(E1000&lt;&gt;"",F1000&lt;&gt;""),ROUND((F1000-E1000)*24,1),"")</f>
        <v/>
      </c>
    </row>
    <row r="1001" ht="15" customHeight="1" s="64">
      <c r="G1001" s="93">
        <f>IF(AND(E1001&lt;&gt;"",F1001&lt;&gt;""),ROUND((F1001-E1001)*24,1),"")</f>
        <v/>
      </c>
    </row>
    <row r="1002" ht="15" customHeight="1" s="64">
      <c r="G1002" s="93">
        <f>IF(AND(E1002&lt;&gt;"",F1002&lt;&gt;""),ROUND((F1002-E1002)*24,1),"")</f>
        <v/>
      </c>
    </row>
    <row r="1003" ht="15" customHeight="1" s="64">
      <c r="G1003" s="93">
        <f>IF(AND(E1003&lt;&gt;"",F1003&lt;&gt;""),ROUND((F1003-E1003)*24,1),"")</f>
        <v/>
      </c>
    </row>
    <row r="1004" ht="15" customHeight="1" s="64">
      <c r="G1004" s="93">
        <f>IF(AND(E1004&lt;&gt;"",F1004&lt;&gt;""),ROUND((F1004-E1004)*24,1),"")</f>
        <v/>
      </c>
    </row>
  </sheetData>
  <mergeCells count="3">
    <mergeCell ref="A3:N3"/>
    <mergeCell ref="A2:N2"/>
    <mergeCell ref="A1:N1"/>
  </mergeCells>
  <dataValidations count="2">
    <dataValidation sqref="H5:H1004" showDropDown="0" showInputMessage="0" showErrorMessage="0" allowBlank="1" type="list" errorStyle="stop" operator="between">
      <formula1>"Quiet Zone,Collaboration Zone,Café Area,Meeting Room,Training Hall,Outdoor Terrace"</formula1>
      <formula2>0</formula2>
    </dataValidation>
    <dataValidation sqref="I5:I1004" showDropDown="0" showInputMessage="0" showErrorMessage="0" allowBlank="1" type="list" errorStyle="stop" operator="between">
      <formula1>"No,Yes — Member Guest,Yes — Day Pass Visitor,Yes — Partner/INGO"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7E22"/>
    <outlinePr summaryBelow="1" summaryRight="1"/>
    <pageSetUpPr fitToPage="0"/>
  </sheetPr>
  <dimension ref="A1:Q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63" min="1" max="1"/>
    <col width="6" customWidth="1" style="63" min="2" max="2"/>
    <col width="22" customWidth="1" style="63" min="3" max="4"/>
    <col width="14" customWidth="1" style="63" min="5" max="6"/>
    <col width="12" customWidth="1" style="63" min="7" max="7"/>
    <col width="10" customWidth="1" style="63" min="8" max="8"/>
    <col width="12" customWidth="1" style="63" min="9" max="10"/>
    <col width="14" customWidth="1" style="63" min="11" max="12"/>
    <col width="12" customWidth="1" style="63" min="13" max="13"/>
    <col width="14" customWidth="1" style="63" min="14" max="15"/>
    <col width="22" customWidth="1" style="63" min="16" max="16"/>
    <col width="14" customWidth="1" style="63" min="17" max="17"/>
  </cols>
  <sheetData>
    <row r="1" ht="17.15" customHeight="1" s="64">
      <c r="A1" s="94" t="inlineStr">
        <is>
          <t>DAY PASS SALES LOG  |  سجل مبيعات التصاريح اليومية  |  KAY-OPS-MMS-001 Tab 4</t>
        </is>
      </c>
    </row>
    <row r="2" ht="15" customHeight="1" s="64">
      <c r="A2" s="79" t="inlineStr">
        <is>
          <t>⚠ CASH MUST RECONCILE with KAY-OPS-CHK-001 Part 5B 'Workspace — Day Passes' line. Daily total from this log = revenue reported on closing form. Any mismatch = incident report.</t>
        </is>
      </c>
    </row>
    <row r="3" ht="15" customHeight="1" s="64">
      <c r="A3" s="68" t="inlineStr">
        <is>
          <t>PURPOSE: Revenue tracking + Conversion pipeline source data. Columns M-P feed the Conversion Funnel tab. Every day pass buyer is a potential member.</t>
        </is>
      </c>
    </row>
    <row r="4" ht="39.55" customHeight="1" s="64">
      <c r="A4" s="80" t="inlineStr">
        <is>
          <t>Date
التاريخ</t>
        </is>
      </c>
      <c r="B4" s="80" t="inlineStr">
        <is>
          <t>#
رقم</t>
        </is>
      </c>
      <c r="C4" s="80" t="inlineStr">
        <is>
          <t>Visitor Full Name
اسم الزائر الكامل</t>
        </is>
      </c>
      <c r="D4" s="80" t="inlineStr">
        <is>
          <t>Visitor Name (AR)
الاسم (عربي)</t>
        </is>
      </c>
      <c r="E4" s="80" t="inlineStr">
        <is>
          <t>Phone
الهاتف</t>
        </is>
      </c>
      <c r="F4" s="80" t="inlineStr">
        <is>
          <t>National ID
رقم الهوية</t>
        </is>
      </c>
      <c r="G4" s="80" t="inlineStr">
        <is>
          <t>Pass Type
نوع التصريح</t>
        </is>
      </c>
      <c r="H4" s="80" t="inlineStr">
        <is>
          <t>Amount USD
دولار</t>
        </is>
      </c>
      <c r="I4" s="80" t="inlineStr">
        <is>
          <t>Amount YER
ريال</t>
        </is>
      </c>
      <c r="J4" s="80" t="inlineStr">
        <is>
          <t>Payment Method
طريقة الدفع</t>
        </is>
      </c>
      <c r="K4" s="80" t="inlineStr">
        <is>
          <t>Receipt #
رقم الإيصال</t>
        </is>
      </c>
      <c r="L4" s="80" t="inlineStr">
        <is>
          <t>Referred By
مُحال بواسطة</t>
        </is>
      </c>
      <c r="M4" s="80" t="inlineStr">
        <is>
          <t>Return Visit?
زيارة عائد؟</t>
        </is>
      </c>
      <c r="N4" s="80" t="inlineStr">
        <is>
          <t>Offered Flex?
عُرض عليه فليكس؟</t>
        </is>
      </c>
      <c r="O4" s="80" t="inlineStr">
        <is>
          <t>Interest Level
مستوى الاهتمام</t>
        </is>
      </c>
      <c r="P4" s="80" t="inlineStr">
        <is>
          <t>Follow-up Action
إجراء المتابعة</t>
        </is>
      </c>
      <c r="Q4" s="80" t="inlineStr">
        <is>
          <t>Logged By
سُجّل بواسطة</t>
        </is>
      </c>
    </row>
    <row r="5" ht="15" customHeight="1" s="64">
      <c r="A5" s="85" t="inlineStr">
        <is>
          <t>2026-06-01</t>
        </is>
      </c>
      <c r="B5" s="85" t="n">
        <v>1</v>
      </c>
      <c r="C5" s="85" t="inlineStr">
        <is>
          <t>Saleh Al-Yafi</t>
        </is>
      </c>
      <c r="D5" s="85" t="inlineStr">
        <is>
          <t>صالح اليافعي</t>
        </is>
      </c>
      <c r="E5" s="85" t="inlineStr">
        <is>
          <t>777111222</t>
        </is>
      </c>
      <c r="F5" s="85" t="inlineStr">
        <is>
          <t>LOGGED</t>
        </is>
      </c>
      <c r="G5" s="85" t="inlineStr">
        <is>
          <t>Day Pass (FREE)</t>
        </is>
      </c>
      <c r="H5" s="86" t="n">
        <v>0</v>
      </c>
      <c r="I5" s="87" t="n">
        <v>0</v>
      </c>
      <c r="J5" s="85" t="inlineStr">
        <is>
          <t>N/A (Free)</t>
        </is>
      </c>
      <c r="K5" s="85" t="inlineStr">
        <is>
          <t>N/A</t>
        </is>
      </c>
      <c r="L5" s="85" t="inlineStr">
        <is>
          <t>Walk-in</t>
        </is>
      </c>
      <c r="M5" s="85" t="inlineStr">
        <is>
          <t>No</t>
        </is>
      </c>
      <c r="N5" s="85" t="n"/>
      <c r="O5" s="85" t="n"/>
      <c r="P5" s="85" t="n"/>
      <c r="Q5" s="85" t="n"/>
    </row>
    <row r="6" ht="15" customHeight="1" s="64">
      <c r="A6" s="81" t="inlineStr">
        <is>
          <t>2026-06-03</t>
        </is>
      </c>
      <c r="B6" s="81" t="n">
        <v>2</v>
      </c>
      <c r="C6" s="81" t="inlineStr">
        <is>
          <t>Rania Mohammed</t>
        </is>
      </c>
      <c r="D6" s="81" t="inlineStr">
        <is>
          <t>رانيا محمد</t>
        </is>
      </c>
      <c r="E6" s="81" t="inlineStr">
        <is>
          <t>773222333</t>
        </is>
      </c>
      <c r="F6" s="81" t="inlineStr">
        <is>
          <t>LOGGED</t>
        </is>
      </c>
      <c r="G6" s="81" t="inlineStr">
        <is>
          <t>Day Pass (FREE)</t>
        </is>
      </c>
      <c r="H6" s="83" t="n">
        <v>0</v>
      </c>
      <c r="I6" s="84" t="n">
        <v>0</v>
      </c>
      <c r="J6" s="81" t="inlineStr">
        <is>
          <t>N/A (Free)</t>
        </is>
      </c>
      <c r="K6" s="81" t="inlineStr">
        <is>
          <t>N/A</t>
        </is>
      </c>
      <c r="L6" s="81" t="inlineStr">
        <is>
          <t>Facebook</t>
        </is>
      </c>
      <c r="M6" s="81" t="inlineStr">
        <is>
          <t>No</t>
        </is>
      </c>
      <c r="N6" s="81" t="n"/>
      <c r="O6" s="81" t="n"/>
      <c r="P6" s="81" t="n"/>
      <c r="Q6" s="81" t="n"/>
    </row>
    <row r="7" ht="15" customHeight="1" s="64">
      <c r="A7" s="85" t="inlineStr">
        <is>
          <t>2026-06-05</t>
        </is>
      </c>
      <c r="B7" s="85" t="n">
        <v>3</v>
      </c>
      <c r="C7" s="85" t="inlineStr">
        <is>
          <t>Ammar Bin Sunker</t>
        </is>
      </c>
      <c r="D7" s="85" t="inlineStr">
        <is>
          <t>عمار بن سنكر</t>
        </is>
      </c>
      <c r="E7" s="85" t="inlineStr">
        <is>
          <t>771333444</t>
        </is>
      </c>
      <c r="F7" s="85" t="inlineStr">
        <is>
          <t>LOGGED</t>
        </is>
      </c>
      <c r="G7" s="85" t="inlineStr">
        <is>
          <t>Day Pass (FREE)</t>
        </is>
      </c>
      <c r="H7" s="86" t="n">
        <v>0</v>
      </c>
      <c r="I7" s="87" t="n">
        <v>0</v>
      </c>
      <c r="J7" s="85" t="inlineStr">
        <is>
          <t>N/A (Free)</t>
        </is>
      </c>
      <c r="K7" s="85" t="inlineStr">
        <is>
          <t>N/A</t>
        </is>
      </c>
      <c r="L7" s="85" t="inlineStr">
        <is>
          <t>Referral</t>
        </is>
      </c>
      <c r="M7" s="85" t="inlineStr">
        <is>
          <t>No</t>
        </is>
      </c>
      <c r="N7" s="85" t="n"/>
      <c r="O7" s="85" t="n"/>
      <c r="P7" s="85" t="n"/>
      <c r="Q7" s="85" t="n"/>
    </row>
    <row r="8" ht="15" customHeight="1" s="64">
      <c r="A8" s="81" t="inlineStr">
        <is>
          <t>2026-06-07</t>
        </is>
      </c>
      <c r="B8" s="81" t="n">
        <v>4</v>
      </c>
      <c r="C8" s="81" t="inlineStr">
        <is>
          <t>Lina Al-Habshi</t>
        </is>
      </c>
      <c r="D8" s="81" t="inlineStr">
        <is>
          <t>لينا الحبشي</t>
        </is>
      </c>
      <c r="E8" s="81" t="inlineStr">
        <is>
          <t>775444555</t>
        </is>
      </c>
      <c r="F8" s="81" t="inlineStr">
        <is>
          <t>LOGGED</t>
        </is>
      </c>
      <c r="G8" s="81" t="inlineStr">
        <is>
          <t>Day Pass (FREE)</t>
        </is>
      </c>
      <c r="H8" s="83" t="n">
        <v>0</v>
      </c>
      <c r="I8" s="84" t="n">
        <v>0</v>
      </c>
      <c r="J8" s="81" t="inlineStr">
        <is>
          <t>N/A (Free)</t>
        </is>
      </c>
      <c r="K8" s="81" t="inlineStr">
        <is>
          <t>N/A</t>
        </is>
      </c>
      <c r="L8" s="81" t="inlineStr">
        <is>
          <t>Walk-in</t>
        </is>
      </c>
      <c r="M8" s="81" t="inlineStr">
        <is>
          <t>No</t>
        </is>
      </c>
      <c r="N8" s="81" t="n"/>
      <c r="O8" s="81" t="n"/>
      <c r="P8" s="81" t="n"/>
      <c r="Q8" s="81" t="n"/>
    </row>
    <row r="9" ht="15" customHeight="1" s="64">
      <c r="A9" s="85" t="inlineStr">
        <is>
          <t>2026-06-09</t>
        </is>
      </c>
      <c r="B9" s="85" t="n">
        <v>5</v>
      </c>
      <c r="C9" s="85" t="inlineStr">
        <is>
          <t>Mustafa Omer</t>
        </is>
      </c>
      <c r="D9" s="85" t="inlineStr">
        <is>
          <t>مصطفى عمر</t>
        </is>
      </c>
      <c r="E9" s="85" t="inlineStr">
        <is>
          <t>772555666</t>
        </is>
      </c>
      <c r="F9" s="85" t="inlineStr">
        <is>
          <t>LOGGED</t>
        </is>
      </c>
      <c r="G9" s="85" t="inlineStr">
        <is>
          <t>Day Pass (FREE)</t>
        </is>
      </c>
      <c r="H9" s="86" t="n">
        <v>0</v>
      </c>
      <c r="I9" s="87" t="n">
        <v>0</v>
      </c>
      <c r="J9" s="85" t="inlineStr">
        <is>
          <t>N/A (Free)</t>
        </is>
      </c>
      <c r="K9" s="85" t="inlineStr">
        <is>
          <t>N/A</t>
        </is>
      </c>
      <c r="L9" s="85" t="inlineStr">
        <is>
          <t>LinkedIn</t>
        </is>
      </c>
      <c r="M9" s="85" t="inlineStr">
        <is>
          <t>No</t>
        </is>
      </c>
      <c r="N9" s="85" t="n"/>
      <c r="O9" s="85" t="n"/>
      <c r="P9" s="85" t="n"/>
      <c r="Q9" s="85" t="n"/>
    </row>
    <row r="10" ht="15" customHeight="1" s="64">
      <c r="A10" s="81" t="inlineStr">
        <is>
          <t>2026-06-11</t>
        </is>
      </c>
      <c r="B10" s="81" t="n">
        <v>6</v>
      </c>
      <c r="C10" s="81" t="inlineStr">
        <is>
          <t>Dina Saeed</t>
        </is>
      </c>
      <c r="D10" s="81" t="inlineStr">
        <is>
          <t>دينا سعيد</t>
        </is>
      </c>
      <c r="E10" s="81" t="inlineStr">
        <is>
          <t>774666777</t>
        </is>
      </c>
      <c r="F10" s="81" t="inlineStr">
        <is>
          <t>LOGGED</t>
        </is>
      </c>
      <c r="G10" s="81" t="inlineStr">
        <is>
          <t>Day Pass (FREE)</t>
        </is>
      </c>
      <c r="H10" s="83" t="n">
        <v>0</v>
      </c>
      <c r="I10" s="84" t="n">
        <v>0</v>
      </c>
      <c r="J10" s="81" t="inlineStr">
        <is>
          <t>N/A (Free)</t>
        </is>
      </c>
      <c r="K10" s="81" t="inlineStr">
        <is>
          <t>N/A</t>
        </is>
      </c>
      <c r="L10" s="81" t="inlineStr">
        <is>
          <t>Walk-in</t>
        </is>
      </c>
      <c r="M10" s="81" t="inlineStr">
        <is>
          <t>Yes</t>
        </is>
      </c>
      <c r="N10" s="81" t="n"/>
      <c r="O10" s="81" t="n"/>
      <c r="P10" s="81" t="n"/>
      <c r="Q10" s="81" t="n"/>
    </row>
    <row r="11" ht="15" customHeight="1" s="64">
      <c r="A11" s="85" t="inlineStr">
        <is>
          <t>2026-06-13</t>
        </is>
      </c>
      <c r="B11" s="85" t="n">
        <v>7</v>
      </c>
      <c r="C11" s="85" t="inlineStr">
        <is>
          <t>Faisal Al-Dhubhani</t>
        </is>
      </c>
      <c r="D11" s="85" t="inlineStr">
        <is>
          <t>فيصل الذبحاني</t>
        </is>
      </c>
      <c r="E11" s="85" t="inlineStr">
        <is>
          <t>776777888</t>
        </is>
      </c>
      <c r="F11" s="85" t="inlineStr">
        <is>
          <t>LOGGED</t>
        </is>
      </c>
      <c r="G11" s="85" t="inlineStr">
        <is>
          <t>Day Pass (FREE)</t>
        </is>
      </c>
      <c r="H11" s="86" t="n">
        <v>0</v>
      </c>
      <c r="I11" s="87" t="n">
        <v>0</v>
      </c>
      <c r="J11" s="85" t="inlineStr">
        <is>
          <t>N/A (Free)</t>
        </is>
      </c>
      <c r="K11" s="85" t="inlineStr">
        <is>
          <t>N/A</t>
        </is>
      </c>
      <c r="L11" s="85" t="inlineStr">
        <is>
          <t>Referral</t>
        </is>
      </c>
      <c r="M11" s="85" t="inlineStr">
        <is>
          <t>Yes</t>
        </is>
      </c>
      <c r="N11" s="85" t="n"/>
      <c r="O11" s="85" t="n"/>
      <c r="P11" s="85" t="n"/>
      <c r="Q11" s="85" t="n"/>
    </row>
    <row r="12" ht="15" customHeight="1" s="64">
      <c r="A12" s="81" t="inlineStr">
        <is>
          <t>2026-06-15</t>
        </is>
      </c>
      <c r="B12" s="81" t="n">
        <v>8</v>
      </c>
      <c r="C12" s="81" t="inlineStr">
        <is>
          <t>Jana Abdullah</t>
        </is>
      </c>
      <c r="D12" s="81" t="inlineStr">
        <is>
          <t>جنى عبدالله</t>
        </is>
      </c>
      <c r="E12" s="81" t="inlineStr">
        <is>
          <t>778888999</t>
        </is>
      </c>
      <c r="F12" s="81" t="inlineStr">
        <is>
          <t>LOGGED</t>
        </is>
      </c>
      <c r="G12" s="81" t="inlineStr">
        <is>
          <t>Day Pass (FREE)</t>
        </is>
      </c>
      <c r="H12" s="83" t="n">
        <v>0</v>
      </c>
      <c r="I12" s="84" t="n">
        <v>0</v>
      </c>
      <c r="J12" s="81" t="inlineStr">
        <is>
          <t>N/A (Free)</t>
        </is>
      </c>
      <c r="K12" s="81" t="inlineStr">
        <is>
          <t>N/A</t>
        </is>
      </c>
      <c r="L12" s="81" t="inlineStr">
        <is>
          <t>Facebook</t>
        </is>
      </c>
      <c r="M12" s="81" t="inlineStr">
        <is>
          <t>Yes</t>
        </is>
      </c>
      <c r="N12" s="81" t="n"/>
      <c r="O12" s="81" t="n"/>
      <c r="P12" s="81" t="n"/>
      <c r="Q12" s="81" t="n"/>
    </row>
    <row r="13" ht="15" customHeight="1" s="64">
      <c r="A13" s="85" t="n"/>
      <c r="B13" s="85" t="n"/>
      <c r="C13" s="85" t="n"/>
      <c r="D13" s="85" t="n"/>
      <c r="E13" s="85" t="n"/>
      <c r="F13" s="85" t="n"/>
      <c r="G13" s="85" t="n"/>
      <c r="H13" s="86">
        <f>IF(G13="Day Pass ($5)",5,IF(G13="Half-Day ($3)",3,""))</f>
        <v/>
      </c>
      <c r="I13" s="87">
        <f>IF(H13="","",H13*1700)</f>
        <v/>
      </c>
      <c r="J13" s="85" t="n"/>
      <c r="K13" s="85" t="n"/>
      <c r="L13" s="85" t="n"/>
      <c r="M13" s="85" t="n"/>
      <c r="N13" s="85" t="n"/>
      <c r="O13" s="85" t="n"/>
      <c r="P13" s="85" t="n"/>
      <c r="Q13" s="85" t="n"/>
    </row>
    <row r="14" ht="15" customHeight="1" s="64">
      <c r="A14" s="81" t="n"/>
      <c r="B14" s="81" t="n"/>
      <c r="C14" s="81" t="n"/>
      <c r="D14" s="81" t="n"/>
      <c r="E14" s="81" t="n"/>
      <c r="F14" s="81" t="n"/>
      <c r="G14" s="81" t="n"/>
      <c r="H14" s="83">
        <f>IF(G14="Day Pass ($5)",5,IF(G14="Half-Day ($3)",3,""))</f>
        <v/>
      </c>
      <c r="I14" s="84">
        <f>IF(H14="","",H14*1700)</f>
        <v/>
      </c>
      <c r="J14" s="81" t="n"/>
      <c r="K14" s="81" t="n"/>
      <c r="L14" s="81" t="n"/>
      <c r="M14" s="81" t="n"/>
      <c r="N14" s="81" t="n"/>
      <c r="O14" s="81" t="n"/>
      <c r="P14" s="81" t="n"/>
      <c r="Q14" s="81" t="n"/>
    </row>
    <row r="15" ht="15" customHeight="1" s="64">
      <c r="A15" s="85" t="n"/>
      <c r="B15" s="85" t="n"/>
      <c r="C15" s="85" t="n"/>
      <c r="D15" s="85" t="n"/>
      <c r="E15" s="85" t="n"/>
      <c r="F15" s="85" t="n"/>
      <c r="G15" s="85" t="n"/>
      <c r="H15" s="86">
        <f>IF(G15="Day Pass ($5)",5,IF(G15="Half-Day ($3)",3,""))</f>
        <v/>
      </c>
      <c r="I15" s="87">
        <f>IF(H15="","",H15*1700)</f>
        <v/>
      </c>
      <c r="J15" s="85" t="n"/>
      <c r="K15" s="85" t="n"/>
      <c r="L15" s="85" t="n"/>
      <c r="M15" s="85" t="n"/>
      <c r="N15" s="85" t="n"/>
      <c r="O15" s="85" t="n"/>
      <c r="P15" s="85" t="n"/>
      <c r="Q15" s="85" t="n"/>
    </row>
    <row r="16" ht="15" customHeight="1" s="64">
      <c r="A16" s="81" t="n"/>
      <c r="B16" s="81" t="n"/>
      <c r="C16" s="81" t="n"/>
      <c r="D16" s="81" t="n"/>
      <c r="E16" s="81" t="n"/>
      <c r="F16" s="81" t="n"/>
      <c r="G16" s="81" t="n"/>
      <c r="H16" s="83">
        <f>IF(G16="Day Pass ($5)",5,IF(G16="Half-Day ($3)",3,""))</f>
        <v/>
      </c>
      <c r="I16" s="84">
        <f>IF(H16="","",H16*1700)</f>
        <v/>
      </c>
      <c r="J16" s="81" t="n"/>
      <c r="K16" s="81" t="n"/>
      <c r="L16" s="81" t="n"/>
      <c r="M16" s="81" t="n"/>
      <c r="N16" s="81" t="n"/>
      <c r="O16" s="81" t="n"/>
      <c r="P16" s="81" t="n"/>
      <c r="Q16" s="81" t="n"/>
    </row>
    <row r="17" ht="15" customHeight="1" s="64">
      <c r="A17" s="85" t="n"/>
      <c r="B17" s="85" t="n"/>
      <c r="C17" s="85" t="n"/>
      <c r="D17" s="85" t="n"/>
      <c r="E17" s="85" t="n"/>
      <c r="F17" s="85" t="n"/>
      <c r="G17" s="85" t="n"/>
      <c r="H17" s="86">
        <f>IF(G17="Day Pass ($5)",5,IF(G17="Half-Day ($3)",3,""))</f>
        <v/>
      </c>
      <c r="I17" s="87">
        <f>IF(H17="","",H17*1700)</f>
        <v/>
      </c>
      <c r="J17" s="85" t="n"/>
      <c r="K17" s="85" t="n"/>
      <c r="L17" s="85" t="n"/>
      <c r="M17" s="85" t="n"/>
      <c r="N17" s="85" t="n"/>
      <c r="O17" s="85" t="n"/>
      <c r="P17" s="85" t="n"/>
      <c r="Q17" s="85" t="n"/>
    </row>
    <row r="18" ht="15" customHeight="1" s="64">
      <c r="A18" s="81" t="n"/>
      <c r="B18" s="81" t="n"/>
      <c r="C18" s="81" t="n"/>
      <c r="D18" s="81" t="n"/>
      <c r="E18" s="81" t="n"/>
      <c r="F18" s="81" t="n"/>
      <c r="G18" s="81" t="n"/>
      <c r="H18" s="83">
        <f>IF(G18="Day Pass ($5)",5,IF(G18="Half-Day ($3)",3,""))</f>
        <v/>
      </c>
      <c r="I18" s="84">
        <f>IF(H18="","",H18*1700)</f>
        <v/>
      </c>
      <c r="J18" s="81" t="n"/>
      <c r="K18" s="81" t="n"/>
      <c r="L18" s="81" t="n"/>
      <c r="M18" s="81" t="n"/>
      <c r="N18" s="81" t="n"/>
      <c r="O18" s="81" t="n"/>
      <c r="P18" s="81" t="n"/>
      <c r="Q18" s="81" t="n"/>
    </row>
    <row r="19" ht="15" customHeight="1" s="64">
      <c r="A19" s="85" t="n"/>
      <c r="B19" s="85" t="n"/>
      <c r="C19" s="85" t="n"/>
      <c r="D19" s="85" t="n"/>
      <c r="E19" s="85" t="n"/>
      <c r="F19" s="85" t="n"/>
      <c r="G19" s="85" t="n"/>
      <c r="H19" s="86">
        <f>IF(G19="Day Pass ($5)",5,IF(G19="Half-Day ($3)",3,""))</f>
        <v/>
      </c>
      <c r="I19" s="87">
        <f>IF(H19="","",H19*1700)</f>
        <v/>
      </c>
      <c r="J19" s="85" t="n"/>
      <c r="K19" s="85" t="n"/>
      <c r="L19" s="85" t="n"/>
      <c r="M19" s="85" t="n"/>
      <c r="N19" s="85" t="n"/>
      <c r="O19" s="85" t="n"/>
      <c r="P19" s="85" t="n"/>
      <c r="Q19" s="85" t="n"/>
    </row>
    <row r="20" ht="15" customHeight="1" s="64">
      <c r="A20" s="81" t="n"/>
      <c r="B20" s="81" t="n"/>
      <c r="C20" s="81" t="n"/>
      <c r="D20" s="81" t="n"/>
      <c r="E20" s="81" t="n"/>
      <c r="F20" s="81" t="n"/>
      <c r="G20" s="81" t="n"/>
      <c r="H20" s="83">
        <f>IF(G20="Day Pass ($5)",5,IF(G20="Half-Day ($3)",3,""))</f>
        <v/>
      </c>
      <c r="I20" s="84">
        <f>IF(H20="","",H20*1700)</f>
        <v/>
      </c>
      <c r="J20" s="81" t="n"/>
      <c r="K20" s="81" t="n"/>
      <c r="L20" s="81" t="n"/>
      <c r="M20" s="81" t="n"/>
      <c r="N20" s="81" t="n"/>
      <c r="O20" s="81" t="n"/>
      <c r="P20" s="81" t="n"/>
      <c r="Q20" s="81" t="n"/>
    </row>
    <row r="21" ht="15" customHeight="1" s="64">
      <c r="A21" s="85" t="n"/>
      <c r="B21" s="85" t="n"/>
      <c r="C21" s="85" t="n"/>
      <c r="D21" s="85" t="n"/>
      <c r="E21" s="85" t="n"/>
      <c r="F21" s="85" t="n"/>
      <c r="G21" s="85" t="n"/>
      <c r="H21" s="86">
        <f>IF(G21="Day Pass ($5)",5,IF(G21="Half-Day ($3)",3,""))</f>
        <v/>
      </c>
      <c r="I21" s="87">
        <f>IF(H21="","",H21*1700)</f>
        <v/>
      </c>
      <c r="J21" s="85" t="n"/>
      <c r="K21" s="85" t="n"/>
      <c r="L21" s="85" t="n"/>
      <c r="M21" s="85" t="n"/>
      <c r="N21" s="85" t="n"/>
      <c r="O21" s="85" t="n"/>
      <c r="P21" s="85" t="n"/>
      <c r="Q21" s="85" t="n"/>
    </row>
    <row r="22" ht="15" customHeight="1" s="64">
      <c r="A22" s="81" t="n"/>
      <c r="B22" s="81" t="n"/>
      <c r="C22" s="81" t="n"/>
      <c r="D22" s="81" t="n"/>
      <c r="E22" s="81" t="n"/>
      <c r="F22" s="81" t="n"/>
      <c r="G22" s="81" t="n"/>
      <c r="H22" s="83">
        <f>IF(G22="Day Pass ($5)",5,IF(G22="Half-Day ($3)",3,""))</f>
        <v/>
      </c>
      <c r="I22" s="84">
        <f>IF(H22="","",H22*1700)</f>
        <v/>
      </c>
      <c r="J22" s="81" t="n"/>
      <c r="K22" s="81" t="n"/>
      <c r="L22" s="81" t="n"/>
      <c r="M22" s="81" t="n"/>
      <c r="N22" s="81" t="n"/>
      <c r="O22" s="81" t="n"/>
      <c r="P22" s="81" t="n"/>
      <c r="Q22" s="81" t="n"/>
    </row>
    <row r="23" ht="15" customHeight="1" s="64">
      <c r="A23" s="85" t="n"/>
      <c r="B23" s="85" t="n"/>
      <c r="C23" s="85" t="n"/>
      <c r="D23" s="85" t="n"/>
      <c r="E23" s="85" t="n"/>
      <c r="F23" s="85" t="n"/>
      <c r="G23" s="85" t="n"/>
      <c r="H23" s="86">
        <f>IF(G23="Day Pass ($5)",5,IF(G23="Half-Day ($3)",3,""))</f>
        <v/>
      </c>
      <c r="I23" s="87">
        <f>IF(H23="","",H23*1700)</f>
        <v/>
      </c>
      <c r="J23" s="85" t="n"/>
      <c r="K23" s="85" t="n"/>
      <c r="L23" s="85" t="n"/>
      <c r="M23" s="85" t="n"/>
      <c r="N23" s="85" t="n"/>
      <c r="O23" s="85" t="n"/>
      <c r="P23" s="85" t="n"/>
      <c r="Q23" s="85" t="n"/>
    </row>
    <row r="24" ht="15" customHeight="1" s="64">
      <c r="A24" s="81" t="n"/>
      <c r="B24" s="81" t="n"/>
      <c r="C24" s="81" t="n"/>
      <c r="D24" s="81" t="n"/>
      <c r="E24" s="81" t="n"/>
      <c r="F24" s="81" t="n"/>
      <c r="G24" s="81" t="n"/>
      <c r="H24" s="83">
        <f>IF(G24="Day Pass ($5)",5,IF(G24="Half-Day ($3)",3,""))</f>
        <v/>
      </c>
      <c r="I24" s="84">
        <f>IF(H24="","",H24*1700)</f>
        <v/>
      </c>
      <c r="J24" s="81" t="n"/>
      <c r="K24" s="81" t="n"/>
      <c r="L24" s="81" t="n"/>
      <c r="M24" s="81" t="n"/>
      <c r="N24" s="81" t="n"/>
      <c r="O24" s="81" t="n"/>
      <c r="P24" s="81" t="n"/>
      <c r="Q24" s="81" t="n"/>
    </row>
    <row r="25" ht="15" customHeight="1" s="64">
      <c r="A25" s="85" t="n"/>
      <c r="B25" s="85" t="n"/>
      <c r="C25" s="85" t="n"/>
      <c r="D25" s="85" t="n"/>
      <c r="E25" s="85" t="n"/>
      <c r="F25" s="85" t="n"/>
      <c r="G25" s="85" t="n"/>
      <c r="H25" s="86">
        <f>IF(G25="Day Pass ($5)",5,IF(G25="Half-Day ($3)",3,""))</f>
        <v/>
      </c>
      <c r="I25" s="87">
        <f>IF(H25="","",H25*1700)</f>
        <v/>
      </c>
      <c r="J25" s="85" t="n"/>
      <c r="K25" s="85" t="n"/>
      <c r="L25" s="85" t="n"/>
      <c r="M25" s="85" t="n"/>
      <c r="N25" s="85" t="n"/>
      <c r="O25" s="85" t="n"/>
      <c r="P25" s="85" t="n"/>
      <c r="Q25" s="85" t="n"/>
    </row>
    <row r="26" ht="15" customHeight="1" s="64">
      <c r="A26" s="81" t="n"/>
      <c r="B26" s="81" t="n"/>
      <c r="C26" s="81" t="n"/>
      <c r="D26" s="81" t="n"/>
      <c r="E26" s="81" t="n"/>
      <c r="F26" s="81" t="n"/>
      <c r="G26" s="81" t="n"/>
      <c r="H26" s="83">
        <f>IF(G26="Day Pass ($5)",5,IF(G26="Half-Day ($3)",3,""))</f>
        <v/>
      </c>
      <c r="I26" s="84">
        <f>IF(H26="","",H26*1700)</f>
        <v/>
      </c>
      <c r="J26" s="81" t="n"/>
      <c r="K26" s="81" t="n"/>
      <c r="L26" s="81" t="n"/>
      <c r="M26" s="81" t="n"/>
      <c r="N26" s="81" t="n"/>
      <c r="O26" s="81" t="n"/>
      <c r="P26" s="81" t="n"/>
      <c r="Q26" s="81" t="n"/>
    </row>
    <row r="27" ht="15" customHeight="1" s="64">
      <c r="A27" s="85" t="n"/>
      <c r="B27" s="85" t="n"/>
      <c r="C27" s="85" t="n"/>
      <c r="D27" s="85" t="n"/>
      <c r="E27" s="85" t="n"/>
      <c r="F27" s="85" t="n"/>
      <c r="G27" s="85" t="n"/>
      <c r="H27" s="86">
        <f>IF(G27="Day Pass ($5)",5,IF(G27="Half-Day ($3)",3,""))</f>
        <v/>
      </c>
      <c r="I27" s="87">
        <f>IF(H27="","",H27*1700)</f>
        <v/>
      </c>
      <c r="J27" s="85" t="n"/>
      <c r="K27" s="85" t="n"/>
      <c r="L27" s="85" t="n"/>
      <c r="M27" s="85" t="n"/>
      <c r="N27" s="85" t="n"/>
      <c r="O27" s="85" t="n"/>
      <c r="P27" s="85" t="n"/>
      <c r="Q27" s="85" t="n"/>
    </row>
    <row r="28" ht="15" customHeight="1" s="64">
      <c r="A28" s="81" t="n"/>
      <c r="B28" s="81" t="n"/>
      <c r="C28" s="81" t="n"/>
      <c r="D28" s="81" t="n"/>
      <c r="E28" s="81" t="n"/>
      <c r="F28" s="81" t="n"/>
      <c r="G28" s="81" t="n"/>
      <c r="H28" s="83">
        <f>IF(G28="Day Pass ($5)",5,IF(G28="Half-Day ($3)",3,""))</f>
        <v/>
      </c>
      <c r="I28" s="84">
        <f>IF(H28="","",H28*1700)</f>
        <v/>
      </c>
      <c r="J28" s="81" t="n"/>
      <c r="K28" s="81" t="n"/>
      <c r="L28" s="81" t="n"/>
      <c r="M28" s="81" t="n"/>
      <c r="N28" s="81" t="n"/>
      <c r="O28" s="81" t="n"/>
      <c r="P28" s="81" t="n"/>
      <c r="Q28" s="81" t="n"/>
    </row>
    <row r="29" ht="15" customHeight="1" s="64">
      <c r="A29" s="85" t="n"/>
      <c r="B29" s="85" t="n"/>
      <c r="C29" s="85" t="n"/>
      <c r="D29" s="85" t="n"/>
      <c r="E29" s="85" t="n"/>
      <c r="F29" s="85" t="n"/>
      <c r="G29" s="85" t="n"/>
      <c r="H29" s="86">
        <f>IF(G29="Day Pass ($5)",5,IF(G29="Half-Day ($3)",3,""))</f>
        <v/>
      </c>
      <c r="I29" s="87">
        <f>IF(H29="","",H29*1700)</f>
        <v/>
      </c>
      <c r="J29" s="85" t="n"/>
      <c r="K29" s="85" t="n"/>
      <c r="L29" s="85" t="n"/>
      <c r="M29" s="85" t="n"/>
      <c r="N29" s="85" t="n"/>
      <c r="O29" s="85" t="n"/>
      <c r="P29" s="85" t="n"/>
      <c r="Q29" s="85" t="n"/>
    </row>
    <row r="30" ht="15" customHeight="1" s="64">
      <c r="A30" s="81" t="n"/>
      <c r="B30" s="81" t="n"/>
      <c r="C30" s="81" t="n"/>
      <c r="D30" s="81" t="n"/>
      <c r="E30" s="81" t="n"/>
      <c r="F30" s="81" t="n"/>
      <c r="G30" s="81" t="n"/>
      <c r="H30" s="83">
        <f>IF(G30="Day Pass ($5)",5,IF(G30="Half-Day ($3)",3,""))</f>
        <v/>
      </c>
      <c r="I30" s="84">
        <f>IF(H30="","",H30*1700)</f>
        <v/>
      </c>
      <c r="J30" s="81" t="n"/>
      <c r="K30" s="81" t="n"/>
      <c r="L30" s="81" t="n"/>
      <c r="M30" s="81" t="n"/>
      <c r="N30" s="81" t="n"/>
      <c r="O30" s="81" t="n"/>
      <c r="P30" s="81" t="n"/>
      <c r="Q30" s="81" t="n"/>
    </row>
    <row r="31" ht="15" customHeight="1" s="64">
      <c r="A31" s="85" t="n"/>
      <c r="B31" s="85" t="n"/>
      <c r="C31" s="85" t="n"/>
      <c r="D31" s="85" t="n"/>
      <c r="E31" s="85" t="n"/>
      <c r="F31" s="85" t="n"/>
      <c r="G31" s="85" t="n"/>
      <c r="H31" s="86">
        <f>IF(G31="Day Pass ($5)",5,IF(G31="Half-Day ($3)",3,""))</f>
        <v/>
      </c>
      <c r="I31" s="87">
        <f>IF(H31="","",H31*1700)</f>
        <v/>
      </c>
      <c r="J31" s="85" t="n"/>
      <c r="K31" s="85" t="n"/>
      <c r="L31" s="85" t="n"/>
      <c r="M31" s="85" t="n"/>
      <c r="N31" s="85" t="n"/>
      <c r="O31" s="85" t="n"/>
      <c r="P31" s="85" t="n"/>
      <c r="Q31" s="85" t="n"/>
    </row>
    <row r="32" ht="15" customHeight="1" s="64">
      <c r="A32" s="81" t="n"/>
      <c r="B32" s="81" t="n"/>
      <c r="C32" s="81" t="n"/>
      <c r="D32" s="81" t="n"/>
      <c r="E32" s="81" t="n"/>
      <c r="F32" s="81" t="n"/>
      <c r="G32" s="81" t="n"/>
      <c r="H32" s="83">
        <f>IF(G32="Day Pass ($5)",5,IF(G32="Half-Day ($3)",3,""))</f>
        <v/>
      </c>
      <c r="I32" s="84">
        <f>IF(H32="","",H32*1700)</f>
        <v/>
      </c>
      <c r="J32" s="81" t="n"/>
      <c r="K32" s="81" t="n"/>
      <c r="L32" s="81" t="n"/>
      <c r="M32" s="81" t="n"/>
      <c r="N32" s="81" t="n"/>
      <c r="O32" s="81" t="n"/>
      <c r="P32" s="81" t="n"/>
      <c r="Q32" s="81" t="n"/>
    </row>
    <row r="33" ht="15" customHeight="1" s="64">
      <c r="A33" s="85" t="n"/>
      <c r="B33" s="85" t="n"/>
      <c r="C33" s="85" t="n"/>
      <c r="D33" s="85" t="n"/>
      <c r="E33" s="85" t="n"/>
      <c r="F33" s="85" t="n"/>
      <c r="G33" s="85" t="n"/>
      <c r="H33" s="86">
        <f>IF(G33="Day Pass ($5)",5,IF(G33="Half-Day ($3)",3,""))</f>
        <v/>
      </c>
      <c r="I33" s="87">
        <f>IF(H33="","",H33*1700)</f>
        <v/>
      </c>
      <c r="J33" s="85" t="n"/>
      <c r="K33" s="85" t="n"/>
      <c r="L33" s="85" t="n"/>
      <c r="M33" s="85" t="n"/>
      <c r="N33" s="85" t="n"/>
      <c r="O33" s="85" t="n"/>
      <c r="P33" s="85" t="n"/>
      <c r="Q33" s="85" t="n"/>
    </row>
    <row r="34" ht="15" customHeight="1" s="64">
      <c r="A34" s="81" t="n"/>
      <c r="B34" s="81" t="n"/>
      <c r="C34" s="81" t="n"/>
      <c r="D34" s="81" t="n"/>
      <c r="E34" s="81" t="n"/>
      <c r="F34" s="81" t="n"/>
      <c r="G34" s="81" t="n"/>
      <c r="H34" s="83">
        <f>IF(G34="Day Pass ($5)",5,IF(G34="Half-Day ($3)",3,""))</f>
        <v/>
      </c>
      <c r="I34" s="84">
        <f>IF(H34="","",H34*1700)</f>
        <v/>
      </c>
      <c r="J34" s="81" t="n"/>
      <c r="K34" s="81" t="n"/>
      <c r="L34" s="81" t="n"/>
      <c r="M34" s="81" t="n"/>
      <c r="N34" s="81" t="n"/>
      <c r="O34" s="81" t="n"/>
      <c r="P34" s="81" t="n"/>
      <c r="Q34" s="81" t="n"/>
    </row>
    <row r="35" ht="15" customHeight="1" s="64">
      <c r="A35" s="85" t="n"/>
      <c r="B35" s="85" t="n"/>
      <c r="C35" s="85" t="n"/>
      <c r="D35" s="85" t="n"/>
      <c r="E35" s="85" t="n"/>
      <c r="F35" s="85" t="n"/>
      <c r="G35" s="85" t="n"/>
      <c r="H35" s="86">
        <f>IF(G35="Day Pass ($5)",5,IF(G35="Half-Day ($3)",3,""))</f>
        <v/>
      </c>
      <c r="I35" s="87">
        <f>IF(H35="","",H35*1700)</f>
        <v/>
      </c>
      <c r="J35" s="85" t="n"/>
      <c r="K35" s="85" t="n"/>
      <c r="L35" s="85" t="n"/>
      <c r="M35" s="85" t="n"/>
      <c r="N35" s="85" t="n"/>
      <c r="O35" s="85" t="n"/>
      <c r="P35" s="85" t="n"/>
      <c r="Q35" s="85" t="n"/>
    </row>
    <row r="36" ht="15" customHeight="1" s="64">
      <c r="A36" s="81" t="n"/>
      <c r="B36" s="81" t="n"/>
      <c r="C36" s="81" t="n"/>
      <c r="D36" s="81" t="n"/>
      <c r="E36" s="81" t="n"/>
      <c r="F36" s="81" t="n"/>
      <c r="G36" s="81" t="n"/>
      <c r="H36" s="83">
        <f>IF(G36="Day Pass ($5)",5,IF(G36="Half-Day ($3)",3,""))</f>
        <v/>
      </c>
      <c r="I36" s="84">
        <f>IF(H36="","",H36*1700)</f>
        <v/>
      </c>
      <c r="J36" s="81" t="n"/>
      <c r="K36" s="81" t="n"/>
      <c r="L36" s="81" t="n"/>
      <c r="M36" s="81" t="n"/>
      <c r="N36" s="81" t="n"/>
      <c r="O36" s="81" t="n"/>
      <c r="P36" s="81" t="n"/>
      <c r="Q36" s="81" t="n"/>
    </row>
    <row r="37" ht="15" customHeight="1" s="64">
      <c r="A37" s="85" t="n"/>
      <c r="B37" s="85" t="n"/>
      <c r="C37" s="85" t="n"/>
      <c r="D37" s="85" t="n"/>
      <c r="E37" s="85" t="n"/>
      <c r="F37" s="85" t="n"/>
      <c r="G37" s="85" t="n"/>
      <c r="H37" s="86">
        <f>IF(G37="Day Pass ($5)",5,IF(G37="Half-Day ($3)",3,""))</f>
        <v/>
      </c>
      <c r="I37" s="87">
        <f>IF(H37="","",H37*1700)</f>
        <v/>
      </c>
      <c r="J37" s="85" t="n"/>
      <c r="K37" s="85" t="n"/>
      <c r="L37" s="85" t="n"/>
      <c r="M37" s="85" t="n"/>
      <c r="N37" s="85" t="n"/>
      <c r="O37" s="85" t="n"/>
      <c r="P37" s="85" t="n"/>
      <c r="Q37" s="85" t="n"/>
    </row>
    <row r="38" ht="15" customHeight="1" s="64">
      <c r="A38" s="81" t="n"/>
      <c r="B38" s="81" t="n"/>
      <c r="C38" s="81" t="n"/>
      <c r="D38" s="81" t="n"/>
      <c r="E38" s="81" t="n"/>
      <c r="F38" s="81" t="n"/>
      <c r="G38" s="81" t="n"/>
      <c r="H38" s="83">
        <f>IF(G38="Day Pass ($5)",5,IF(G38="Half-Day ($3)",3,""))</f>
        <v/>
      </c>
      <c r="I38" s="84">
        <f>IF(H38="","",H38*1700)</f>
        <v/>
      </c>
      <c r="J38" s="81" t="n"/>
      <c r="K38" s="81" t="n"/>
      <c r="L38" s="81" t="n"/>
      <c r="M38" s="81" t="n"/>
      <c r="N38" s="81" t="n"/>
      <c r="O38" s="81" t="n"/>
      <c r="P38" s="81" t="n"/>
      <c r="Q38" s="81" t="n"/>
    </row>
    <row r="39" ht="15" customHeight="1" s="64">
      <c r="A39" s="85" t="n"/>
      <c r="B39" s="85" t="n"/>
      <c r="C39" s="85" t="n"/>
      <c r="D39" s="85" t="n"/>
      <c r="E39" s="85" t="n"/>
      <c r="F39" s="85" t="n"/>
      <c r="G39" s="85" t="n"/>
      <c r="H39" s="86">
        <f>IF(G39="Day Pass ($5)",5,IF(G39="Half-Day ($3)",3,""))</f>
        <v/>
      </c>
      <c r="I39" s="87">
        <f>IF(H39="","",H39*1700)</f>
        <v/>
      </c>
      <c r="J39" s="85" t="n"/>
      <c r="K39" s="85" t="n"/>
      <c r="L39" s="85" t="n"/>
      <c r="M39" s="85" t="n"/>
      <c r="N39" s="85" t="n"/>
      <c r="O39" s="85" t="n"/>
      <c r="P39" s="85" t="n"/>
      <c r="Q39" s="85" t="n"/>
    </row>
    <row r="40" ht="15" customHeight="1" s="64">
      <c r="A40" s="81" t="n"/>
      <c r="B40" s="81" t="n"/>
      <c r="C40" s="81" t="n"/>
      <c r="D40" s="81" t="n"/>
      <c r="E40" s="81" t="n"/>
      <c r="F40" s="81" t="n"/>
      <c r="G40" s="81" t="n"/>
      <c r="H40" s="83">
        <f>IF(G40="Day Pass ($5)",5,IF(G40="Half-Day ($3)",3,""))</f>
        <v/>
      </c>
      <c r="I40" s="84">
        <f>IF(H40="","",H40*1700)</f>
        <v/>
      </c>
      <c r="J40" s="81" t="n"/>
      <c r="K40" s="81" t="n"/>
      <c r="L40" s="81" t="n"/>
      <c r="M40" s="81" t="n"/>
      <c r="N40" s="81" t="n"/>
      <c r="O40" s="81" t="n"/>
      <c r="P40" s="81" t="n"/>
      <c r="Q40" s="81" t="n"/>
    </row>
    <row r="41" ht="15" customHeight="1" s="64">
      <c r="A41" s="85" t="n"/>
      <c r="B41" s="85" t="n"/>
      <c r="C41" s="85" t="n"/>
      <c r="D41" s="85" t="n"/>
      <c r="E41" s="85" t="n"/>
      <c r="F41" s="85" t="n"/>
      <c r="G41" s="85" t="n"/>
      <c r="H41" s="86">
        <f>IF(G41="Day Pass ($5)",5,IF(G41="Half-Day ($3)",3,""))</f>
        <v/>
      </c>
      <c r="I41" s="87">
        <f>IF(H41="","",H41*1700)</f>
        <v/>
      </c>
      <c r="J41" s="85" t="n"/>
      <c r="K41" s="85" t="n"/>
      <c r="L41" s="85" t="n"/>
      <c r="M41" s="85" t="n"/>
      <c r="N41" s="85" t="n"/>
      <c r="O41" s="85" t="n"/>
      <c r="P41" s="85" t="n"/>
      <c r="Q41" s="85" t="n"/>
    </row>
    <row r="42" ht="15" customHeight="1" s="64">
      <c r="A42" s="81" t="n"/>
      <c r="B42" s="81" t="n"/>
      <c r="C42" s="81" t="n"/>
      <c r="D42" s="81" t="n"/>
      <c r="E42" s="81" t="n"/>
      <c r="F42" s="81" t="n"/>
      <c r="G42" s="81" t="n"/>
      <c r="H42" s="83">
        <f>IF(G42="Day Pass ($5)",5,IF(G42="Half-Day ($3)",3,""))</f>
        <v/>
      </c>
      <c r="I42" s="84">
        <f>IF(H42="","",H42*1700)</f>
        <v/>
      </c>
      <c r="J42" s="81" t="n"/>
      <c r="K42" s="81" t="n"/>
      <c r="L42" s="81" t="n"/>
      <c r="M42" s="81" t="n"/>
      <c r="N42" s="81" t="n"/>
      <c r="O42" s="81" t="n"/>
      <c r="P42" s="81" t="n"/>
      <c r="Q42" s="81" t="n"/>
    </row>
    <row r="43" ht="15" customHeight="1" s="64">
      <c r="A43" s="85" t="n"/>
      <c r="B43" s="85" t="n"/>
      <c r="C43" s="85" t="n"/>
      <c r="D43" s="85" t="n"/>
      <c r="E43" s="85" t="n"/>
      <c r="F43" s="85" t="n"/>
      <c r="G43" s="85" t="n"/>
      <c r="H43" s="86">
        <f>IF(G43="Day Pass ($5)",5,IF(G43="Half-Day ($3)",3,""))</f>
        <v/>
      </c>
      <c r="I43" s="87">
        <f>IF(H43="","",H43*1700)</f>
        <v/>
      </c>
      <c r="J43" s="85" t="n"/>
      <c r="K43" s="85" t="n"/>
      <c r="L43" s="85" t="n"/>
      <c r="M43" s="85" t="n"/>
      <c r="N43" s="85" t="n"/>
      <c r="O43" s="85" t="n"/>
      <c r="P43" s="85" t="n"/>
      <c r="Q43" s="85" t="n"/>
    </row>
    <row r="44" ht="15" customHeight="1" s="64">
      <c r="A44" s="81" t="n"/>
      <c r="B44" s="81" t="n"/>
      <c r="C44" s="81" t="n"/>
      <c r="D44" s="81" t="n"/>
      <c r="E44" s="81" t="n"/>
      <c r="F44" s="81" t="n"/>
      <c r="G44" s="81" t="n"/>
      <c r="H44" s="83">
        <f>IF(G44="Day Pass ($5)",5,IF(G44="Half-Day ($3)",3,""))</f>
        <v/>
      </c>
      <c r="I44" s="84">
        <f>IF(H44="","",H44*1700)</f>
        <v/>
      </c>
      <c r="J44" s="81" t="n"/>
      <c r="K44" s="81" t="n"/>
      <c r="L44" s="81" t="n"/>
      <c r="M44" s="81" t="n"/>
      <c r="N44" s="81" t="n"/>
      <c r="O44" s="81" t="n"/>
      <c r="P44" s="81" t="n"/>
      <c r="Q44" s="81" t="n"/>
    </row>
    <row r="45" ht="15" customHeight="1" s="64">
      <c r="A45" s="85" t="n"/>
      <c r="B45" s="85" t="n"/>
      <c r="C45" s="85" t="n"/>
      <c r="D45" s="85" t="n"/>
      <c r="E45" s="85" t="n"/>
      <c r="F45" s="85" t="n"/>
      <c r="G45" s="85" t="n"/>
      <c r="H45" s="86">
        <f>IF(G45="Day Pass ($5)",5,IF(G45="Half-Day ($3)",3,""))</f>
        <v/>
      </c>
      <c r="I45" s="87">
        <f>IF(H45="","",H45*1700)</f>
        <v/>
      </c>
      <c r="J45" s="85" t="n"/>
      <c r="K45" s="85" t="n"/>
      <c r="L45" s="85" t="n"/>
      <c r="M45" s="85" t="n"/>
      <c r="N45" s="85" t="n"/>
      <c r="O45" s="85" t="n"/>
      <c r="P45" s="85" t="n"/>
      <c r="Q45" s="85" t="n"/>
    </row>
    <row r="46" ht="15" customHeight="1" s="64">
      <c r="A46" s="81" t="n"/>
      <c r="B46" s="81" t="n"/>
      <c r="C46" s="81" t="n"/>
      <c r="D46" s="81" t="n"/>
      <c r="E46" s="81" t="n"/>
      <c r="F46" s="81" t="n"/>
      <c r="G46" s="81" t="n"/>
      <c r="H46" s="83">
        <f>IF(G46="Day Pass ($5)",5,IF(G46="Half-Day ($3)",3,""))</f>
        <v/>
      </c>
      <c r="I46" s="84">
        <f>IF(H46="","",H46*1700)</f>
        <v/>
      </c>
      <c r="J46" s="81" t="n"/>
      <c r="K46" s="81" t="n"/>
      <c r="L46" s="81" t="n"/>
      <c r="M46" s="81" t="n"/>
      <c r="N46" s="81" t="n"/>
      <c r="O46" s="81" t="n"/>
      <c r="P46" s="81" t="n"/>
      <c r="Q46" s="81" t="n"/>
    </row>
    <row r="47" ht="15" customHeight="1" s="64">
      <c r="A47" s="85" t="n"/>
      <c r="B47" s="85" t="n"/>
      <c r="C47" s="85" t="n"/>
      <c r="D47" s="85" t="n"/>
      <c r="E47" s="85" t="n"/>
      <c r="F47" s="85" t="n"/>
      <c r="G47" s="85" t="n"/>
      <c r="H47" s="86">
        <f>IF(G47="Day Pass ($5)",5,IF(G47="Half-Day ($3)",3,""))</f>
        <v/>
      </c>
      <c r="I47" s="87">
        <f>IF(H47="","",H47*1700)</f>
        <v/>
      </c>
      <c r="J47" s="85" t="n"/>
      <c r="K47" s="85" t="n"/>
      <c r="L47" s="85" t="n"/>
      <c r="M47" s="85" t="n"/>
      <c r="N47" s="85" t="n"/>
      <c r="O47" s="85" t="n"/>
      <c r="P47" s="85" t="n"/>
      <c r="Q47" s="85" t="n"/>
    </row>
    <row r="48" ht="15" customHeight="1" s="64">
      <c r="A48" s="81" t="n"/>
      <c r="B48" s="81" t="n"/>
      <c r="C48" s="81" t="n"/>
      <c r="D48" s="81" t="n"/>
      <c r="E48" s="81" t="n"/>
      <c r="F48" s="81" t="n"/>
      <c r="G48" s="81" t="n"/>
      <c r="H48" s="83">
        <f>IF(G48="Day Pass ($5)",5,IF(G48="Half-Day ($3)",3,""))</f>
        <v/>
      </c>
      <c r="I48" s="84">
        <f>IF(H48="","",H48*1700)</f>
        <v/>
      </c>
      <c r="J48" s="81" t="n"/>
      <c r="K48" s="81" t="n"/>
      <c r="L48" s="81" t="n"/>
      <c r="M48" s="81" t="n"/>
      <c r="N48" s="81" t="n"/>
      <c r="O48" s="81" t="n"/>
      <c r="P48" s="81" t="n"/>
      <c r="Q48" s="81" t="n"/>
    </row>
    <row r="49" ht="15" customHeight="1" s="64">
      <c r="A49" s="85" t="n"/>
      <c r="B49" s="85" t="n"/>
      <c r="C49" s="85" t="n"/>
      <c r="D49" s="85" t="n"/>
      <c r="E49" s="85" t="n"/>
      <c r="F49" s="85" t="n"/>
      <c r="G49" s="85" t="n"/>
      <c r="H49" s="86">
        <f>IF(G49="Day Pass ($5)",5,IF(G49="Half-Day ($3)",3,""))</f>
        <v/>
      </c>
      <c r="I49" s="87">
        <f>IF(H49="","",H49*1700)</f>
        <v/>
      </c>
      <c r="J49" s="85" t="n"/>
      <c r="K49" s="85" t="n"/>
      <c r="L49" s="85" t="n"/>
      <c r="M49" s="85" t="n"/>
      <c r="N49" s="85" t="n"/>
      <c r="O49" s="85" t="n"/>
      <c r="P49" s="85" t="n"/>
      <c r="Q49" s="85" t="n"/>
    </row>
    <row r="50" ht="15" customHeight="1" s="64">
      <c r="A50" s="81" t="n"/>
      <c r="B50" s="81" t="n"/>
      <c r="C50" s="81" t="n"/>
      <c r="D50" s="81" t="n"/>
      <c r="E50" s="81" t="n"/>
      <c r="F50" s="81" t="n"/>
      <c r="G50" s="81" t="n"/>
      <c r="H50" s="83">
        <f>IF(G50="Day Pass ($5)",5,IF(G50="Half-Day ($3)",3,""))</f>
        <v/>
      </c>
      <c r="I50" s="84">
        <f>IF(H50="","",H50*1700)</f>
        <v/>
      </c>
      <c r="J50" s="81" t="n"/>
      <c r="K50" s="81" t="n"/>
      <c r="L50" s="81" t="n"/>
      <c r="M50" s="81" t="n"/>
      <c r="N50" s="81" t="n"/>
      <c r="O50" s="81" t="n"/>
      <c r="P50" s="81" t="n"/>
      <c r="Q50" s="81" t="n"/>
    </row>
    <row r="51" ht="15" customHeight="1" s="64">
      <c r="A51" s="85" t="n"/>
      <c r="B51" s="85" t="n"/>
      <c r="C51" s="85" t="n"/>
      <c r="D51" s="85" t="n"/>
      <c r="E51" s="85" t="n"/>
      <c r="F51" s="85" t="n"/>
      <c r="G51" s="85" t="n"/>
      <c r="H51" s="86">
        <f>IF(G51="Day Pass ($5)",5,IF(G51="Half-Day ($3)",3,""))</f>
        <v/>
      </c>
      <c r="I51" s="87">
        <f>IF(H51="","",H51*1700)</f>
        <v/>
      </c>
      <c r="J51" s="85" t="n"/>
      <c r="K51" s="85" t="n"/>
      <c r="L51" s="85" t="n"/>
      <c r="M51" s="85" t="n"/>
      <c r="N51" s="85" t="n"/>
      <c r="O51" s="85" t="n"/>
      <c r="P51" s="85" t="n"/>
      <c r="Q51" s="85" t="n"/>
    </row>
    <row r="52" ht="15" customHeight="1" s="64">
      <c r="A52" s="81" t="n"/>
      <c r="B52" s="81" t="n"/>
      <c r="C52" s="81" t="n"/>
      <c r="D52" s="81" t="n"/>
      <c r="E52" s="81" t="n"/>
      <c r="F52" s="81" t="n"/>
      <c r="G52" s="81" t="n"/>
      <c r="H52" s="83">
        <f>IF(G52="Day Pass ($5)",5,IF(G52="Half-Day ($3)",3,""))</f>
        <v/>
      </c>
      <c r="I52" s="84">
        <f>IF(H52="","",H52*1700)</f>
        <v/>
      </c>
      <c r="J52" s="81" t="n"/>
      <c r="K52" s="81" t="n"/>
      <c r="L52" s="81" t="n"/>
      <c r="M52" s="81" t="n"/>
      <c r="N52" s="81" t="n"/>
      <c r="O52" s="81" t="n"/>
      <c r="P52" s="81" t="n"/>
      <c r="Q52" s="81" t="n"/>
    </row>
    <row r="53" ht="15" customHeight="1" s="64">
      <c r="A53" s="85" t="n"/>
      <c r="B53" s="85" t="n"/>
      <c r="C53" s="85" t="n"/>
      <c r="D53" s="85" t="n"/>
      <c r="E53" s="85" t="n"/>
      <c r="F53" s="85" t="n"/>
      <c r="G53" s="85" t="n"/>
      <c r="H53" s="86">
        <f>IF(G53="Day Pass ($5)",5,IF(G53="Half-Day ($3)",3,""))</f>
        <v/>
      </c>
      <c r="I53" s="87">
        <f>IF(H53="","",H53*1700)</f>
        <v/>
      </c>
      <c r="J53" s="85" t="n"/>
      <c r="K53" s="85" t="n"/>
      <c r="L53" s="85" t="n"/>
      <c r="M53" s="85" t="n"/>
      <c r="N53" s="85" t="n"/>
      <c r="O53" s="85" t="n"/>
      <c r="P53" s="85" t="n"/>
      <c r="Q53" s="85" t="n"/>
    </row>
    <row r="54" ht="15" customHeight="1" s="64">
      <c r="A54" s="81" t="n"/>
      <c r="B54" s="81" t="n"/>
      <c r="C54" s="81" t="n"/>
      <c r="D54" s="81" t="n"/>
      <c r="E54" s="81" t="n"/>
      <c r="F54" s="81" t="n"/>
      <c r="G54" s="81" t="n"/>
      <c r="H54" s="83">
        <f>IF(G54="Day Pass ($5)",5,IF(G54="Half-Day ($3)",3,""))</f>
        <v/>
      </c>
      <c r="I54" s="84">
        <f>IF(H54="","",H54*1700)</f>
        <v/>
      </c>
      <c r="J54" s="81" t="n"/>
      <c r="K54" s="81" t="n"/>
      <c r="L54" s="81" t="n"/>
      <c r="M54" s="81" t="n"/>
      <c r="N54" s="81" t="n"/>
      <c r="O54" s="81" t="n"/>
      <c r="P54" s="81" t="n"/>
      <c r="Q54" s="81" t="n"/>
    </row>
    <row r="55" ht="15" customHeight="1" s="64">
      <c r="H55" s="88">
        <f>IF(G55="Day Pass ($5)",5,IF(G55="Half-Day ($3)",3,""))</f>
        <v/>
      </c>
      <c r="I55" s="89">
        <f>IF(H55="","",H55*1700)</f>
        <v/>
      </c>
    </row>
    <row r="56" ht="15" customHeight="1" s="64">
      <c r="H56" s="88">
        <f>IF(G56="Day Pass ($5)",5,IF(G56="Half-Day ($3)",3,""))</f>
        <v/>
      </c>
      <c r="I56" s="89">
        <f>IF(H56="","",H56*1700)</f>
        <v/>
      </c>
    </row>
    <row r="57" ht="15" customHeight="1" s="64">
      <c r="H57" s="88">
        <f>IF(G57="Day Pass ($5)",5,IF(G57="Half-Day ($3)",3,""))</f>
        <v/>
      </c>
      <c r="I57" s="89">
        <f>IF(H57="","",H57*1700)</f>
        <v/>
      </c>
    </row>
    <row r="58" ht="15" customHeight="1" s="64">
      <c r="H58" s="88">
        <f>IF(G58="Day Pass ($5)",5,IF(G58="Half-Day ($3)",3,""))</f>
        <v/>
      </c>
      <c r="I58" s="89">
        <f>IF(H58="","",H58*1700)</f>
        <v/>
      </c>
    </row>
    <row r="59" ht="15" customHeight="1" s="64">
      <c r="H59" s="88">
        <f>IF(G59="Day Pass ($5)",5,IF(G59="Half-Day ($3)",3,""))</f>
        <v/>
      </c>
      <c r="I59" s="89">
        <f>IF(H59="","",H59*1700)</f>
        <v/>
      </c>
    </row>
    <row r="60" ht="15" customHeight="1" s="64">
      <c r="H60" s="88">
        <f>IF(G60="Day Pass ($5)",5,IF(G60="Half-Day ($3)",3,""))</f>
        <v/>
      </c>
      <c r="I60" s="89">
        <f>IF(H60="","",H60*1700)</f>
        <v/>
      </c>
    </row>
    <row r="61" ht="15" customHeight="1" s="64">
      <c r="H61" s="88">
        <f>IF(G61="Day Pass ($5)",5,IF(G61="Half-Day ($3)",3,""))</f>
        <v/>
      </c>
      <c r="I61" s="89">
        <f>IF(H61="","",H61*1700)</f>
        <v/>
      </c>
    </row>
    <row r="62" ht="15" customHeight="1" s="64">
      <c r="H62" s="88">
        <f>IF(G62="Day Pass ($5)",5,IF(G62="Half-Day ($3)",3,""))</f>
        <v/>
      </c>
      <c r="I62" s="89">
        <f>IF(H62="","",H62*1700)</f>
        <v/>
      </c>
    </row>
    <row r="63" ht="15" customHeight="1" s="64">
      <c r="H63" s="88">
        <f>IF(G63="Day Pass ($5)",5,IF(G63="Half-Day ($3)",3,""))</f>
        <v/>
      </c>
      <c r="I63" s="89">
        <f>IF(H63="","",H63*1700)</f>
        <v/>
      </c>
    </row>
    <row r="64" ht="15" customHeight="1" s="64">
      <c r="H64" s="88">
        <f>IF(G64="Day Pass ($5)",5,IF(G64="Half-Day ($3)",3,""))</f>
        <v/>
      </c>
      <c r="I64" s="89">
        <f>IF(H64="","",H64*1700)</f>
        <v/>
      </c>
    </row>
    <row r="65" ht="15" customHeight="1" s="64">
      <c r="H65" s="88">
        <f>IF(G65="Day Pass ($5)",5,IF(G65="Half-Day ($3)",3,""))</f>
        <v/>
      </c>
      <c r="I65" s="89">
        <f>IF(H65="","",H65*1700)</f>
        <v/>
      </c>
    </row>
    <row r="66" ht="15" customHeight="1" s="64">
      <c r="H66" s="88">
        <f>IF(G66="Day Pass ($5)",5,IF(G66="Half-Day ($3)",3,""))</f>
        <v/>
      </c>
      <c r="I66" s="89">
        <f>IF(H66="","",H66*1700)</f>
        <v/>
      </c>
    </row>
    <row r="67" ht="15" customHeight="1" s="64">
      <c r="H67" s="88">
        <f>IF(G67="Day Pass ($5)",5,IF(G67="Half-Day ($3)",3,""))</f>
        <v/>
      </c>
      <c r="I67" s="89">
        <f>IF(H67="","",H67*1700)</f>
        <v/>
      </c>
    </row>
    <row r="68" ht="15" customHeight="1" s="64">
      <c r="H68" s="88">
        <f>IF(G68="Day Pass ($5)",5,IF(G68="Half-Day ($3)",3,""))</f>
        <v/>
      </c>
      <c r="I68" s="89">
        <f>IF(H68="","",H68*1700)</f>
        <v/>
      </c>
    </row>
    <row r="69" ht="15" customHeight="1" s="64">
      <c r="H69" s="88">
        <f>IF(G69="Day Pass ($5)",5,IF(G69="Half-Day ($3)",3,""))</f>
        <v/>
      </c>
      <c r="I69" s="89">
        <f>IF(H69="","",H69*1700)</f>
        <v/>
      </c>
    </row>
    <row r="70" ht="15" customHeight="1" s="64">
      <c r="H70" s="88">
        <f>IF(G70="Day Pass ($5)",5,IF(G70="Half-Day ($3)",3,""))</f>
        <v/>
      </c>
      <c r="I70" s="89">
        <f>IF(H70="","",H70*1700)</f>
        <v/>
      </c>
    </row>
    <row r="71" ht="15" customHeight="1" s="64">
      <c r="H71" s="88">
        <f>IF(G71="Day Pass ($5)",5,IF(G71="Half-Day ($3)",3,""))</f>
        <v/>
      </c>
      <c r="I71" s="89">
        <f>IF(H71="","",H71*1700)</f>
        <v/>
      </c>
    </row>
    <row r="72" ht="15" customHeight="1" s="64">
      <c r="H72" s="88">
        <f>IF(G72="Day Pass ($5)",5,IF(G72="Half-Day ($3)",3,""))</f>
        <v/>
      </c>
      <c r="I72" s="89">
        <f>IF(H72="","",H72*1700)</f>
        <v/>
      </c>
    </row>
    <row r="73" ht="15" customHeight="1" s="64">
      <c r="H73" s="88">
        <f>IF(G73="Day Pass ($5)",5,IF(G73="Half-Day ($3)",3,""))</f>
        <v/>
      </c>
      <c r="I73" s="89">
        <f>IF(H73="","",H73*1700)</f>
        <v/>
      </c>
    </row>
    <row r="74" ht="15" customHeight="1" s="64">
      <c r="H74" s="88">
        <f>IF(G74="Day Pass ($5)",5,IF(G74="Half-Day ($3)",3,""))</f>
        <v/>
      </c>
      <c r="I74" s="89">
        <f>IF(H74="","",H74*1700)</f>
        <v/>
      </c>
    </row>
    <row r="75" ht="15" customHeight="1" s="64">
      <c r="H75" s="88">
        <f>IF(G75="Day Pass ($5)",5,IF(G75="Half-Day ($3)",3,""))</f>
        <v/>
      </c>
      <c r="I75" s="89">
        <f>IF(H75="","",H75*1700)</f>
        <v/>
      </c>
    </row>
    <row r="76" ht="15" customHeight="1" s="64">
      <c r="H76" s="88">
        <f>IF(G76="Day Pass ($5)",5,IF(G76="Half-Day ($3)",3,""))</f>
        <v/>
      </c>
      <c r="I76" s="89">
        <f>IF(H76="","",H76*1700)</f>
        <v/>
      </c>
    </row>
    <row r="77" ht="15" customHeight="1" s="64">
      <c r="H77" s="88">
        <f>IF(G77="Day Pass ($5)",5,IF(G77="Half-Day ($3)",3,""))</f>
        <v/>
      </c>
      <c r="I77" s="89">
        <f>IF(H77="","",H77*1700)</f>
        <v/>
      </c>
    </row>
    <row r="78" ht="15" customHeight="1" s="64">
      <c r="H78" s="88">
        <f>IF(G78="Day Pass ($5)",5,IF(G78="Half-Day ($3)",3,""))</f>
        <v/>
      </c>
      <c r="I78" s="89">
        <f>IF(H78="","",H78*1700)</f>
        <v/>
      </c>
    </row>
    <row r="79" ht="15" customHeight="1" s="64">
      <c r="H79" s="88">
        <f>IF(G79="Day Pass ($5)",5,IF(G79="Half-Day ($3)",3,""))</f>
        <v/>
      </c>
      <c r="I79" s="89">
        <f>IF(H79="","",H79*1700)</f>
        <v/>
      </c>
    </row>
    <row r="80" ht="15" customHeight="1" s="64">
      <c r="H80" s="88">
        <f>IF(G80="Day Pass ($5)",5,IF(G80="Half-Day ($3)",3,""))</f>
        <v/>
      </c>
      <c r="I80" s="89">
        <f>IF(H80="","",H80*1700)</f>
        <v/>
      </c>
    </row>
    <row r="81" ht="15" customHeight="1" s="64">
      <c r="H81" s="88">
        <f>IF(G81="Day Pass ($5)",5,IF(G81="Half-Day ($3)",3,""))</f>
        <v/>
      </c>
      <c r="I81" s="89">
        <f>IF(H81="","",H81*1700)</f>
        <v/>
      </c>
    </row>
    <row r="82" ht="15" customHeight="1" s="64">
      <c r="H82" s="88">
        <f>IF(G82="Day Pass ($5)",5,IF(G82="Half-Day ($3)",3,""))</f>
        <v/>
      </c>
      <c r="I82" s="89">
        <f>IF(H82="","",H82*1700)</f>
        <v/>
      </c>
    </row>
    <row r="83" ht="15" customHeight="1" s="64">
      <c r="H83" s="88">
        <f>IF(G83="Day Pass ($5)",5,IF(G83="Half-Day ($3)",3,""))</f>
        <v/>
      </c>
      <c r="I83" s="89">
        <f>IF(H83="","",H83*1700)</f>
        <v/>
      </c>
    </row>
    <row r="84" ht="15" customHeight="1" s="64">
      <c r="H84" s="88">
        <f>IF(G84="Day Pass ($5)",5,IF(G84="Half-Day ($3)",3,""))</f>
        <v/>
      </c>
      <c r="I84" s="89">
        <f>IF(H84="","",H84*1700)</f>
        <v/>
      </c>
    </row>
    <row r="85" ht="15" customHeight="1" s="64">
      <c r="H85" s="88">
        <f>IF(G85="Day Pass ($5)",5,IF(G85="Half-Day ($3)",3,""))</f>
        <v/>
      </c>
      <c r="I85" s="89">
        <f>IF(H85="","",H85*1700)</f>
        <v/>
      </c>
    </row>
    <row r="86" ht="15" customHeight="1" s="64">
      <c r="H86" s="88">
        <f>IF(G86="Day Pass ($5)",5,IF(G86="Half-Day ($3)",3,""))</f>
        <v/>
      </c>
      <c r="I86" s="89">
        <f>IF(H86="","",H86*1700)</f>
        <v/>
      </c>
    </row>
    <row r="87" ht="15" customHeight="1" s="64">
      <c r="H87" s="88">
        <f>IF(G87="Day Pass ($5)",5,IF(G87="Half-Day ($3)",3,""))</f>
        <v/>
      </c>
      <c r="I87" s="89">
        <f>IF(H87="","",H87*1700)</f>
        <v/>
      </c>
    </row>
    <row r="88" ht="15" customHeight="1" s="64">
      <c r="H88" s="88">
        <f>IF(G88="Day Pass ($5)",5,IF(G88="Half-Day ($3)",3,""))</f>
        <v/>
      </c>
      <c r="I88" s="89">
        <f>IF(H88="","",H88*1700)</f>
        <v/>
      </c>
    </row>
    <row r="89" ht="15" customHeight="1" s="64">
      <c r="H89" s="88">
        <f>IF(G89="Day Pass ($5)",5,IF(G89="Half-Day ($3)",3,""))</f>
        <v/>
      </c>
      <c r="I89" s="89">
        <f>IF(H89="","",H89*1700)</f>
        <v/>
      </c>
    </row>
    <row r="90" ht="15" customHeight="1" s="64">
      <c r="H90" s="88">
        <f>IF(G90="Day Pass ($5)",5,IF(G90="Half-Day ($3)",3,""))</f>
        <v/>
      </c>
      <c r="I90" s="89">
        <f>IF(H90="","",H90*1700)</f>
        <v/>
      </c>
    </row>
    <row r="91" ht="15" customHeight="1" s="64">
      <c r="H91" s="88">
        <f>IF(G91="Day Pass ($5)",5,IF(G91="Half-Day ($3)",3,""))</f>
        <v/>
      </c>
      <c r="I91" s="89">
        <f>IF(H91="","",H91*1700)</f>
        <v/>
      </c>
    </row>
    <row r="92" ht="15" customHeight="1" s="64">
      <c r="H92" s="88">
        <f>IF(G92="Day Pass ($5)",5,IF(G92="Half-Day ($3)",3,""))</f>
        <v/>
      </c>
      <c r="I92" s="89">
        <f>IF(H92="","",H92*1700)</f>
        <v/>
      </c>
    </row>
    <row r="93" ht="15" customHeight="1" s="64">
      <c r="H93" s="88">
        <f>IF(G93="Day Pass ($5)",5,IF(G93="Half-Day ($3)",3,""))</f>
        <v/>
      </c>
      <c r="I93" s="89">
        <f>IF(H93="","",H93*1700)</f>
        <v/>
      </c>
    </row>
    <row r="94" ht="15" customHeight="1" s="64">
      <c r="H94" s="88">
        <f>IF(G94="Day Pass ($5)",5,IF(G94="Half-Day ($3)",3,""))</f>
        <v/>
      </c>
      <c r="I94" s="89">
        <f>IF(H94="","",H94*1700)</f>
        <v/>
      </c>
    </row>
    <row r="95" ht="15" customHeight="1" s="64">
      <c r="H95" s="88">
        <f>IF(G95="Day Pass ($5)",5,IF(G95="Half-Day ($3)",3,""))</f>
        <v/>
      </c>
      <c r="I95" s="89">
        <f>IF(H95="","",H95*1700)</f>
        <v/>
      </c>
    </row>
    <row r="96" ht="15" customHeight="1" s="64">
      <c r="H96" s="88">
        <f>IF(G96="Day Pass ($5)",5,IF(G96="Half-Day ($3)",3,""))</f>
        <v/>
      </c>
      <c r="I96" s="89">
        <f>IF(H96="","",H96*1700)</f>
        <v/>
      </c>
    </row>
    <row r="97" ht="15" customHeight="1" s="64">
      <c r="H97" s="88">
        <f>IF(G97="Day Pass ($5)",5,IF(G97="Half-Day ($3)",3,""))</f>
        <v/>
      </c>
      <c r="I97" s="89">
        <f>IF(H97="","",H97*1700)</f>
        <v/>
      </c>
    </row>
    <row r="98" ht="15" customHeight="1" s="64">
      <c r="H98" s="88">
        <f>IF(G98="Day Pass ($5)",5,IF(G98="Half-Day ($3)",3,""))</f>
        <v/>
      </c>
      <c r="I98" s="89">
        <f>IF(H98="","",H98*1700)</f>
        <v/>
      </c>
    </row>
    <row r="99" ht="15" customHeight="1" s="64">
      <c r="H99" s="88">
        <f>IF(G99="Day Pass ($5)",5,IF(G99="Half-Day ($3)",3,""))</f>
        <v/>
      </c>
      <c r="I99" s="89">
        <f>IF(H99="","",H99*1700)</f>
        <v/>
      </c>
    </row>
    <row r="100" ht="15" customHeight="1" s="64">
      <c r="H100" s="88">
        <f>IF(G100="Day Pass ($5)",5,IF(G100="Half-Day ($3)",3,""))</f>
        <v/>
      </c>
      <c r="I100" s="89">
        <f>IF(H100="","",H100*1700)</f>
        <v/>
      </c>
    </row>
    <row r="101" ht="15" customHeight="1" s="64">
      <c r="H101" s="88">
        <f>IF(G101="Day Pass ($5)",5,IF(G101="Half-Day ($3)",3,""))</f>
        <v/>
      </c>
      <c r="I101" s="89">
        <f>IF(H101="","",H101*1700)</f>
        <v/>
      </c>
    </row>
    <row r="102" ht="15" customHeight="1" s="64">
      <c r="H102" s="88">
        <f>IF(G102="Day Pass ($5)",5,IF(G102="Half-Day ($3)",3,""))</f>
        <v/>
      </c>
      <c r="I102" s="89">
        <f>IF(H102="","",H102*1700)</f>
        <v/>
      </c>
    </row>
    <row r="103" ht="15" customHeight="1" s="64">
      <c r="H103" s="88">
        <f>IF(G103="Day Pass ($5)",5,IF(G103="Half-Day ($3)",3,""))</f>
        <v/>
      </c>
      <c r="I103" s="89">
        <f>IF(H103="","",H103*1700)</f>
        <v/>
      </c>
    </row>
    <row r="104" ht="15" customHeight="1" s="64">
      <c r="H104" s="88">
        <f>IF(G104="Day Pass ($5)",5,IF(G104="Half-Day ($3)",3,""))</f>
        <v/>
      </c>
      <c r="I104" s="89">
        <f>IF(H104="","",H104*1700)</f>
        <v/>
      </c>
    </row>
    <row r="105" ht="15" customHeight="1" s="64">
      <c r="H105" s="88">
        <f>IF(G105="Day Pass ($5)",5,IF(G105="Half-Day ($3)",3,""))</f>
        <v/>
      </c>
      <c r="I105" s="89">
        <f>IF(H105="","",H105*1700)</f>
        <v/>
      </c>
    </row>
    <row r="106" ht="15" customHeight="1" s="64">
      <c r="H106" s="88">
        <f>IF(G106="Day Pass ($5)",5,IF(G106="Half-Day ($3)",3,""))</f>
        <v/>
      </c>
      <c r="I106" s="89">
        <f>IF(H106="","",H106*1700)</f>
        <v/>
      </c>
    </row>
    <row r="107" ht="15" customHeight="1" s="64">
      <c r="H107" s="88">
        <f>IF(G107="Day Pass ($5)",5,IF(G107="Half-Day ($3)",3,""))</f>
        <v/>
      </c>
      <c r="I107" s="89">
        <f>IF(H107="","",H107*1700)</f>
        <v/>
      </c>
    </row>
    <row r="108" ht="15" customHeight="1" s="64">
      <c r="H108" s="88">
        <f>IF(G108="Day Pass ($5)",5,IF(G108="Half-Day ($3)",3,""))</f>
        <v/>
      </c>
      <c r="I108" s="89">
        <f>IF(H108="","",H108*1700)</f>
        <v/>
      </c>
    </row>
    <row r="109" ht="15" customHeight="1" s="64">
      <c r="H109" s="88">
        <f>IF(G109="Day Pass ($5)",5,IF(G109="Half-Day ($3)",3,""))</f>
        <v/>
      </c>
      <c r="I109" s="89">
        <f>IF(H109="","",H109*1700)</f>
        <v/>
      </c>
    </row>
    <row r="110" ht="15" customHeight="1" s="64">
      <c r="H110" s="88">
        <f>IF(G110="Day Pass ($5)",5,IF(G110="Half-Day ($3)",3,""))</f>
        <v/>
      </c>
      <c r="I110" s="89">
        <f>IF(H110="","",H110*1700)</f>
        <v/>
      </c>
    </row>
    <row r="111" ht="15" customHeight="1" s="64">
      <c r="H111" s="88">
        <f>IF(G111="Day Pass ($5)",5,IF(G111="Half-Day ($3)",3,""))</f>
        <v/>
      </c>
      <c r="I111" s="89">
        <f>IF(H111="","",H111*1700)</f>
        <v/>
      </c>
    </row>
    <row r="112" ht="15" customHeight="1" s="64">
      <c r="H112" s="88">
        <f>IF(G112="Day Pass ($5)",5,IF(G112="Half-Day ($3)",3,""))</f>
        <v/>
      </c>
      <c r="I112" s="89">
        <f>IF(H112="","",H112*1700)</f>
        <v/>
      </c>
    </row>
    <row r="113" ht="15" customHeight="1" s="64">
      <c r="H113" s="88">
        <f>IF(G113="Day Pass ($5)",5,IF(G113="Half-Day ($3)",3,""))</f>
        <v/>
      </c>
      <c r="I113" s="89">
        <f>IF(H113="","",H113*1700)</f>
        <v/>
      </c>
    </row>
    <row r="114" ht="15" customHeight="1" s="64">
      <c r="H114" s="88">
        <f>IF(G114="Day Pass ($5)",5,IF(G114="Half-Day ($3)",3,""))</f>
        <v/>
      </c>
      <c r="I114" s="89">
        <f>IF(H114="","",H114*1700)</f>
        <v/>
      </c>
    </row>
    <row r="115" ht="15" customHeight="1" s="64">
      <c r="H115" s="88">
        <f>IF(G115="Day Pass ($5)",5,IF(G115="Half-Day ($3)",3,""))</f>
        <v/>
      </c>
      <c r="I115" s="89">
        <f>IF(H115="","",H115*1700)</f>
        <v/>
      </c>
    </row>
    <row r="116" ht="15" customHeight="1" s="64">
      <c r="H116" s="88">
        <f>IF(G116="Day Pass ($5)",5,IF(G116="Half-Day ($3)",3,""))</f>
        <v/>
      </c>
      <c r="I116" s="89">
        <f>IF(H116="","",H116*1700)</f>
        <v/>
      </c>
    </row>
    <row r="117" ht="15" customHeight="1" s="64">
      <c r="H117" s="88">
        <f>IF(G117="Day Pass ($5)",5,IF(G117="Half-Day ($3)",3,""))</f>
        <v/>
      </c>
      <c r="I117" s="89">
        <f>IF(H117="","",H117*1700)</f>
        <v/>
      </c>
    </row>
    <row r="118" ht="15" customHeight="1" s="64">
      <c r="H118" s="88">
        <f>IF(G118="Day Pass ($5)",5,IF(G118="Half-Day ($3)",3,""))</f>
        <v/>
      </c>
      <c r="I118" s="89">
        <f>IF(H118="","",H118*1700)</f>
        <v/>
      </c>
    </row>
    <row r="119" ht="15" customHeight="1" s="64">
      <c r="H119" s="88">
        <f>IF(G119="Day Pass ($5)",5,IF(G119="Half-Day ($3)",3,""))</f>
        <v/>
      </c>
      <c r="I119" s="89">
        <f>IF(H119="","",H119*1700)</f>
        <v/>
      </c>
    </row>
    <row r="120" ht="15" customHeight="1" s="64">
      <c r="H120" s="88">
        <f>IF(G120="Day Pass ($5)",5,IF(G120="Half-Day ($3)",3,""))</f>
        <v/>
      </c>
      <c r="I120" s="89">
        <f>IF(H120="","",H120*1700)</f>
        <v/>
      </c>
    </row>
    <row r="121" ht="15" customHeight="1" s="64">
      <c r="H121" s="88">
        <f>IF(G121="Day Pass ($5)",5,IF(G121="Half-Day ($3)",3,""))</f>
        <v/>
      </c>
      <c r="I121" s="89">
        <f>IF(H121="","",H121*1700)</f>
        <v/>
      </c>
    </row>
    <row r="122" ht="15" customHeight="1" s="64">
      <c r="H122" s="88">
        <f>IF(G122="Day Pass ($5)",5,IF(G122="Half-Day ($3)",3,""))</f>
        <v/>
      </c>
      <c r="I122" s="89">
        <f>IF(H122="","",H122*1700)</f>
        <v/>
      </c>
    </row>
    <row r="123" ht="15" customHeight="1" s="64">
      <c r="H123" s="88">
        <f>IF(G123="Day Pass ($5)",5,IF(G123="Half-Day ($3)",3,""))</f>
        <v/>
      </c>
      <c r="I123" s="89">
        <f>IF(H123="","",H123*1700)</f>
        <v/>
      </c>
    </row>
    <row r="124" ht="15" customHeight="1" s="64">
      <c r="H124" s="88">
        <f>IF(G124="Day Pass ($5)",5,IF(G124="Half-Day ($3)",3,""))</f>
        <v/>
      </c>
      <c r="I124" s="89">
        <f>IF(H124="","",H124*1700)</f>
        <v/>
      </c>
    </row>
    <row r="125" ht="15" customHeight="1" s="64">
      <c r="H125" s="88">
        <f>IF(G125="Day Pass ($5)",5,IF(G125="Half-Day ($3)",3,""))</f>
        <v/>
      </c>
      <c r="I125" s="89">
        <f>IF(H125="","",H125*1700)</f>
        <v/>
      </c>
    </row>
    <row r="126" ht="15" customHeight="1" s="64">
      <c r="H126" s="88">
        <f>IF(G126="Day Pass ($5)",5,IF(G126="Half-Day ($3)",3,""))</f>
        <v/>
      </c>
      <c r="I126" s="89">
        <f>IF(H126="","",H126*1700)</f>
        <v/>
      </c>
    </row>
    <row r="127" ht="15" customHeight="1" s="64">
      <c r="H127" s="88">
        <f>IF(G127="Day Pass ($5)",5,IF(G127="Half-Day ($3)",3,""))</f>
        <v/>
      </c>
      <c r="I127" s="89">
        <f>IF(H127="","",H127*1700)</f>
        <v/>
      </c>
    </row>
    <row r="128" ht="15" customHeight="1" s="64">
      <c r="H128" s="88">
        <f>IF(G128="Day Pass ($5)",5,IF(G128="Half-Day ($3)",3,""))</f>
        <v/>
      </c>
      <c r="I128" s="89">
        <f>IF(H128="","",H128*1700)</f>
        <v/>
      </c>
    </row>
    <row r="129" ht="15" customHeight="1" s="64">
      <c r="H129" s="88">
        <f>IF(G129="Day Pass ($5)",5,IF(G129="Half-Day ($3)",3,""))</f>
        <v/>
      </c>
      <c r="I129" s="89">
        <f>IF(H129="","",H129*1700)</f>
        <v/>
      </c>
    </row>
    <row r="130" ht="15" customHeight="1" s="64">
      <c r="H130" s="88">
        <f>IF(G130="Day Pass ($5)",5,IF(G130="Half-Day ($3)",3,""))</f>
        <v/>
      </c>
      <c r="I130" s="89">
        <f>IF(H130="","",H130*1700)</f>
        <v/>
      </c>
    </row>
    <row r="131" ht="15" customHeight="1" s="64">
      <c r="H131" s="88">
        <f>IF(G131="Day Pass ($5)",5,IF(G131="Half-Day ($3)",3,""))</f>
        <v/>
      </c>
      <c r="I131" s="89">
        <f>IF(H131="","",H131*1700)</f>
        <v/>
      </c>
    </row>
    <row r="132" ht="15" customHeight="1" s="64">
      <c r="H132" s="88">
        <f>IF(G132="Day Pass ($5)",5,IF(G132="Half-Day ($3)",3,""))</f>
        <v/>
      </c>
      <c r="I132" s="89">
        <f>IF(H132="","",H132*1700)</f>
        <v/>
      </c>
    </row>
    <row r="133" ht="15" customHeight="1" s="64">
      <c r="H133" s="88">
        <f>IF(G133="Day Pass ($5)",5,IF(G133="Half-Day ($3)",3,""))</f>
        <v/>
      </c>
      <c r="I133" s="89">
        <f>IF(H133="","",H133*1700)</f>
        <v/>
      </c>
    </row>
    <row r="134" ht="15" customHeight="1" s="64">
      <c r="H134" s="88">
        <f>IF(G134="Day Pass ($5)",5,IF(G134="Half-Day ($3)",3,""))</f>
        <v/>
      </c>
      <c r="I134" s="89">
        <f>IF(H134="","",H134*1700)</f>
        <v/>
      </c>
    </row>
    <row r="135" ht="15" customHeight="1" s="64">
      <c r="H135" s="88">
        <f>IF(G135="Day Pass ($5)",5,IF(G135="Half-Day ($3)",3,""))</f>
        <v/>
      </c>
      <c r="I135" s="89">
        <f>IF(H135="","",H135*1700)</f>
        <v/>
      </c>
    </row>
    <row r="136" ht="15" customHeight="1" s="64">
      <c r="H136" s="88">
        <f>IF(G136="Day Pass ($5)",5,IF(G136="Half-Day ($3)",3,""))</f>
        <v/>
      </c>
      <c r="I136" s="89">
        <f>IF(H136="","",H136*1700)</f>
        <v/>
      </c>
    </row>
    <row r="137" ht="15" customHeight="1" s="64">
      <c r="H137" s="88">
        <f>IF(G137="Day Pass ($5)",5,IF(G137="Half-Day ($3)",3,""))</f>
        <v/>
      </c>
      <c r="I137" s="89">
        <f>IF(H137="","",H137*1700)</f>
        <v/>
      </c>
    </row>
    <row r="138" ht="15" customHeight="1" s="64">
      <c r="H138" s="88">
        <f>IF(G138="Day Pass ($5)",5,IF(G138="Half-Day ($3)",3,""))</f>
        <v/>
      </c>
      <c r="I138" s="89">
        <f>IF(H138="","",H138*1700)</f>
        <v/>
      </c>
    </row>
    <row r="139" ht="15" customHeight="1" s="64">
      <c r="H139" s="88">
        <f>IF(G139="Day Pass ($5)",5,IF(G139="Half-Day ($3)",3,""))</f>
        <v/>
      </c>
      <c r="I139" s="89">
        <f>IF(H139="","",H139*1700)</f>
        <v/>
      </c>
    </row>
    <row r="140" ht="15" customHeight="1" s="64">
      <c r="H140" s="88">
        <f>IF(G140="Day Pass ($5)",5,IF(G140="Half-Day ($3)",3,""))</f>
        <v/>
      </c>
      <c r="I140" s="89">
        <f>IF(H140="","",H140*1700)</f>
        <v/>
      </c>
    </row>
    <row r="141" ht="15" customHeight="1" s="64">
      <c r="H141" s="88">
        <f>IF(G141="Day Pass ($5)",5,IF(G141="Half-Day ($3)",3,""))</f>
        <v/>
      </c>
      <c r="I141" s="89">
        <f>IF(H141="","",H141*1700)</f>
        <v/>
      </c>
    </row>
    <row r="142" ht="15" customHeight="1" s="64">
      <c r="H142" s="88">
        <f>IF(G142="Day Pass ($5)",5,IF(G142="Half-Day ($3)",3,""))</f>
        <v/>
      </c>
      <c r="I142" s="89">
        <f>IF(H142="","",H142*1700)</f>
        <v/>
      </c>
    </row>
    <row r="143" ht="15" customHeight="1" s="64">
      <c r="H143" s="88">
        <f>IF(G143="Day Pass ($5)",5,IF(G143="Half-Day ($3)",3,""))</f>
        <v/>
      </c>
      <c r="I143" s="89">
        <f>IF(H143="","",H143*1700)</f>
        <v/>
      </c>
    </row>
    <row r="144" ht="15" customHeight="1" s="64">
      <c r="H144" s="88">
        <f>IF(G144="Day Pass ($5)",5,IF(G144="Half-Day ($3)",3,""))</f>
        <v/>
      </c>
      <c r="I144" s="89">
        <f>IF(H144="","",H144*1700)</f>
        <v/>
      </c>
    </row>
    <row r="145" ht="15" customHeight="1" s="64">
      <c r="H145" s="88">
        <f>IF(G145="Day Pass ($5)",5,IF(G145="Half-Day ($3)",3,""))</f>
        <v/>
      </c>
      <c r="I145" s="89">
        <f>IF(H145="","",H145*1700)</f>
        <v/>
      </c>
    </row>
    <row r="146" ht="15" customHeight="1" s="64">
      <c r="H146" s="88">
        <f>IF(G146="Day Pass ($5)",5,IF(G146="Half-Day ($3)",3,""))</f>
        <v/>
      </c>
      <c r="I146" s="89">
        <f>IF(H146="","",H146*1700)</f>
        <v/>
      </c>
    </row>
    <row r="147" ht="15" customHeight="1" s="64">
      <c r="H147" s="88">
        <f>IF(G147="Day Pass ($5)",5,IF(G147="Half-Day ($3)",3,""))</f>
        <v/>
      </c>
      <c r="I147" s="89">
        <f>IF(H147="","",H147*1700)</f>
        <v/>
      </c>
    </row>
    <row r="148" ht="15" customHeight="1" s="64">
      <c r="H148" s="88">
        <f>IF(G148="Day Pass ($5)",5,IF(G148="Half-Day ($3)",3,""))</f>
        <v/>
      </c>
      <c r="I148" s="89">
        <f>IF(H148="","",H148*1700)</f>
        <v/>
      </c>
    </row>
    <row r="149" ht="15" customHeight="1" s="64">
      <c r="H149" s="88">
        <f>IF(G149="Day Pass ($5)",5,IF(G149="Half-Day ($3)",3,""))</f>
        <v/>
      </c>
      <c r="I149" s="89">
        <f>IF(H149="","",H149*1700)</f>
        <v/>
      </c>
    </row>
    <row r="150" ht="15" customHeight="1" s="64">
      <c r="H150" s="88">
        <f>IF(G150="Day Pass ($5)",5,IF(G150="Half-Day ($3)",3,""))</f>
        <v/>
      </c>
      <c r="I150" s="89">
        <f>IF(H150="","",H150*1700)</f>
        <v/>
      </c>
    </row>
    <row r="151" ht="15" customHeight="1" s="64">
      <c r="H151" s="88">
        <f>IF(G151="Day Pass ($5)",5,IF(G151="Half-Day ($3)",3,""))</f>
        <v/>
      </c>
      <c r="I151" s="89">
        <f>IF(H151="","",H151*1700)</f>
        <v/>
      </c>
    </row>
    <row r="152" ht="15" customHeight="1" s="64">
      <c r="H152" s="88">
        <f>IF(G152="Day Pass ($5)",5,IF(G152="Half-Day ($3)",3,""))</f>
        <v/>
      </c>
      <c r="I152" s="89">
        <f>IF(H152="","",H152*1700)</f>
        <v/>
      </c>
    </row>
    <row r="153" ht="15" customHeight="1" s="64">
      <c r="H153" s="88">
        <f>IF(G153="Day Pass ($5)",5,IF(G153="Half-Day ($3)",3,""))</f>
        <v/>
      </c>
      <c r="I153" s="89">
        <f>IF(H153="","",H153*1700)</f>
        <v/>
      </c>
    </row>
    <row r="154" ht="15" customHeight="1" s="64">
      <c r="H154" s="88">
        <f>IF(G154="Day Pass ($5)",5,IF(G154="Half-Day ($3)",3,""))</f>
        <v/>
      </c>
      <c r="I154" s="89">
        <f>IF(H154="","",H154*1700)</f>
        <v/>
      </c>
    </row>
    <row r="155" ht="15" customHeight="1" s="64">
      <c r="H155" s="88">
        <f>IF(G155="Day Pass ($5)",5,IF(G155="Half-Day ($3)",3,""))</f>
        <v/>
      </c>
      <c r="I155" s="89">
        <f>IF(H155="","",H155*1700)</f>
        <v/>
      </c>
    </row>
    <row r="156" ht="15" customHeight="1" s="64">
      <c r="H156" s="88">
        <f>IF(G156="Day Pass ($5)",5,IF(G156="Half-Day ($3)",3,""))</f>
        <v/>
      </c>
      <c r="I156" s="89">
        <f>IF(H156="","",H156*1700)</f>
        <v/>
      </c>
    </row>
    <row r="157" ht="15" customHeight="1" s="64">
      <c r="H157" s="88">
        <f>IF(G157="Day Pass ($5)",5,IF(G157="Half-Day ($3)",3,""))</f>
        <v/>
      </c>
      <c r="I157" s="89">
        <f>IF(H157="","",H157*1700)</f>
        <v/>
      </c>
    </row>
    <row r="158" ht="15" customHeight="1" s="64">
      <c r="H158" s="88">
        <f>IF(G158="Day Pass ($5)",5,IF(G158="Half-Day ($3)",3,""))</f>
        <v/>
      </c>
      <c r="I158" s="89">
        <f>IF(H158="","",H158*1700)</f>
        <v/>
      </c>
    </row>
    <row r="159" ht="15" customHeight="1" s="64">
      <c r="H159" s="88">
        <f>IF(G159="Day Pass ($5)",5,IF(G159="Half-Day ($3)",3,""))</f>
        <v/>
      </c>
      <c r="I159" s="89">
        <f>IF(H159="","",H159*1700)</f>
        <v/>
      </c>
    </row>
    <row r="160" ht="15" customHeight="1" s="64">
      <c r="H160" s="88">
        <f>IF(G160="Day Pass ($5)",5,IF(G160="Half-Day ($3)",3,""))</f>
        <v/>
      </c>
      <c r="I160" s="89">
        <f>IF(H160="","",H160*1700)</f>
        <v/>
      </c>
    </row>
    <row r="161" ht="15" customHeight="1" s="64">
      <c r="H161" s="88">
        <f>IF(G161="Day Pass ($5)",5,IF(G161="Half-Day ($3)",3,""))</f>
        <v/>
      </c>
      <c r="I161" s="89">
        <f>IF(H161="","",H161*1700)</f>
        <v/>
      </c>
    </row>
    <row r="162" ht="15" customHeight="1" s="64">
      <c r="H162" s="88">
        <f>IF(G162="Day Pass ($5)",5,IF(G162="Half-Day ($3)",3,""))</f>
        <v/>
      </c>
      <c r="I162" s="89">
        <f>IF(H162="","",H162*1700)</f>
        <v/>
      </c>
    </row>
    <row r="163" ht="15" customHeight="1" s="64">
      <c r="H163" s="88">
        <f>IF(G163="Day Pass ($5)",5,IF(G163="Half-Day ($3)",3,""))</f>
        <v/>
      </c>
      <c r="I163" s="89">
        <f>IF(H163="","",H163*1700)</f>
        <v/>
      </c>
    </row>
    <row r="164" ht="15" customHeight="1" s="64">
      <c r="H164" s="88">
        <f>IF(G164="Day Pass ($5)",5,IF(G164="Half-Day ($3)",3,""))</f>
        <v/>
      </c>
      <c r="I164" s="89">
        <f>IF(H164="","",H164*1700)</f>
        <v/>
      </c>
    </row>
    <row r="165" ht="15" customHeight="1" s="64">
      <c r="H165" s="88">
        <f>IF(G165="Day Pass ($5)",5,IF(G165="Half-Day ($3)",3,""))</f>
        <v/>
      </c>
      <c r="I165" s="89">
        <f>IF(H165="","",H165*1700)</f>
        <v/>
      </c>
    </row>
    <row r="166" ht="15" customHeight="1" s="64">
      <c r="H166" s="88">
        <f>IF(G166="Day Pass ($5)",5,IF(G166="Half-Day ($3)",3,""))</f>
        <v/>
      </c>
      <c r="I166" s="89">
        <f>IF(H166="","",H166*1700)</f>
        <v/>
      </c>
    </row>
    <row r="167" ht="15" customHeight="1" s="64">
      <c r="H167" s="88">
        <f>IF(G167="Day Pass ($5)",5,IF(G167="Half-Day ($3)",3,""))</f>
        <v/>
      </c>
      <c r="I167" s="89">
        <f>IF(H167="","",H167*1700)</f>
        <v/>
      </c>
    </row>
    <row r="168" ht="15" customHeight="1" s="64">
      <c r="H168" s="88">
        <f>IF(G168="Day Pass ($5)",5,IF(G168="Half-Day ($3)",3,""))</f>
        <v/>
      </c>
      <c r="I168" s="89">
        <f>IF(H168="","",H168*1700)</f>
        <v/>
      </c>
    </row>
    <row r="169" ht="15" customHeight="1" s="64">
      <c r="H169" s="88">
        <f>IF(G169="Day Pass ($5)",5,IF(G169="Half-Day ($3)",3,""))</f>
        <v/>
      </c>
      <c r="I169" s="89">
        <f>IF(H169="","",H169*1700)</f>
        <v/>
      </c>
    </row>
    <row r="170" ht="15" customHeight="1" s="64">
      <c r="H170" s="88">
        <f>IF(G170="Day Pass ($5)",5,IF(G170="Half-Day ($3)",3,""))</f>
        <v/>
      </c>
      <c r="I170" s="89">
        <f>IF(H170="","",H170*1700)</f>
        <v/>
      </c>
    </row>
    <row r="171" ht="15" customHeight="1" s="64">
      <c r="H171" s="88">
        <f>IF(G171="Day Pass ($5)",5,IF(G171="Half-Day ($3)",3,""))</f>
        <v/>
      </c>
      <c r="I171" s="89">
        <f>IF(H171="","",H171*1700)</f>
        <v/>
      </c>
    </row>
    <row r="172" ht="15" customHeight="1" s="64">
      <c r="H172" s="88">
        <f>IF(G172="Day Pass ($5)",5,IF(G172="Half-Day ($3)",3,""))</f>
        <v/>
      </c>
      <c r="I172" s="89">
        <f>IF(H172="","",H172*1700)</f>
        <v/>
      </c>
    </row>
    <row r="173" ht="15" customHeight="1" s="64">
      <c r="H173" s="88">
        <f>IF(G173="Day Pass ($5)",5,IF(G173="Half-Day ($3)",3,""))</f>
        <v/>
      </c>
      <c r="I173" s="89">
        <f>IF(H173="","",H173*1700)</f>
        <v/>
      </c>
    </row>
    <row r="174" ht="15" customHeight="1" s="64">
      <c r="H174" s="88">
        <f>IF(G174="Day Pass ($5)",5,IF(G174="Half-Day ($3)",3,""))</f>
        <v/>
      </c>
      <c r="I174" s="89">
        <f>IF(H174="","",H174*1700)</f>
        <v/>
      </c>
    </row>
    <row r="175" ht="15" customHeight="1" s="64">
      <c r="H175" s="88">
        <f>IF(G175="Day Pass ($5)",5,IF(G175="Half-Day ($3)",3,""))</f>
        <v/>
      </c>
      <c r="I175" s="89">
        <f>IF(H175="","",H175*1700)</f>
        <v/>
      </c>
    </row>
    <row r="176" ht="15" customHeight="1" s="64">
      <c r="H176" s="88">
        <f>IF(G176="Day Pass ($5)",5,IF(G176="Half-Day ($3)",3,""))</f>
        <v/>
      </c>
      <c r="I176" s="89">
        <f>IF(H176="","",H176*1700)</f>
        <v/>
      </c>
    </row>
    <row r="177" ht="15" customHeight="1" s="64">
      <c r="H177" s="88">
        <f>IF(G177="Day Pass ($5)",5,IF(G177="Half-Day ($3)",3,""))</f>
        <v/>
      </c>
      <c r="I177" s="89">
        <f>IF(H177="","",H177*1700)</f>
        <v/>
      </c>
    </row>
    <row r="178" ht="15" customHeight="1" s="64">
      <c r="H178" s="88">
        <f>IF(G178="Day Pass ($5)",5,IF(G178="Half-Day ($3)",3,""))</f>
        <v/>
      </c>
      <c r="I178" s="89">
        <f>IF(H178="","",H178*1700)</f>
        <v/>
      </c>
    </row>
    <row r="179" ht="15" customHeight="1" s="64">
      <c r="H179" s="88">
        <f>IF(G179="Day Pass ($5)",5,IF(G179="Half-Day ($3)",3,""))</f>
        <v/>
      </c>
      <c r="I179" s="89">
        <f>IF(H179="","",H179*1700)</f>
        <v/>
      </c>
    </row>
    <row r="180" ht="15" customHeight="1" s="64">
      <c r="H180" s="88">
        <f>IF(G180="Day Pass ($5)",5,IF(G180="Half-Day ($3)",3,""))</f>
        <v/>
      </c>
      <c r="I180" s="89">
        <f>IF(H180="","",H180*1700)</f>
        <v/>
      </c>
    </row>
    <row r="181" ht="15" customHeight="1" s="64">
      <c r="H181" s="88">
        <f>IF(G181="Day Pass ($5)",5,IF(G181="Half-Day ($3)",3,""))</f>
        <v/>
      </c>
      <c r="I181" s="89">
        <f>IF(H181="","",H181*1700)</f>
        <v/>
      </c>
    </row>
    <row r="182" ht="15" customHeight="1" s="64">
      <c r="H182" s="88">
        <f>IF(G182="Day Pass ($5)",5,IF(G182="Half-Day ($3)",3,""))</f>
        <v/>
      </c>
      <c r="I182" s="89">
        <f>IF(H182="","",H182*1700)</f>
        <v/>
      </c>
    </row>
    <row r="183" ht="15" customHeight="1" s="64">
      <c r="H183" s="88">
        <f>IF(G183="Day Pass ($5)",5,IF(G183="Half-Day ($3)",3,""))</f>
        <v/>
      </c>
      <c r="I183" s="89">
        <f>IF(H183="","",H183*1700)</f>
        <v/>
      </c>
    </row>
    <row r="184" ht="15" customHeight="1" s="64">
      <c r="H184" s="88">
        <f>IF(G184="Day Pass ($5)",5,IF(G184="Half-Day ($3)",3,""))</f>
        <v/>
      </c>
      <c r="I184" s="89">
        <f>IF(H184="","",H184*1700)</f>
        <v/>
      </c>
    </row>
    <row r="185" ht="15" customHeight="1" s="64">
      <c r="H185" s="88">
        <f>IF(G185="Day Pass ($5)",5,IF(G185="Half-Day ($3)",3,""))</f>
        <v/>
      </c>
      <c r="I185" s="89">
        <f>IF(H185="","",H185*1700)</f>
        <v/>
      </c>
    </row>
    <row r="186" ht="15" customHeight="1" s="64">
      <c r="H186" s="88">
        <f>IF(G186="Day Pass ($5)",5,IF(G186="Half-Day ($3)",3,""))</f>
        <v/>
      </c>
      <c r="I186" s="89">
        <f>IF(H186="","",H186*1700)</f>
        <v/>
      </c>
    </row>
    <row r="187" ht="15" customHeight="1" s="64">
      <c r="H187" s="88">
        <f>IF(G187="Day Pass ($5)",5,IF(G187="Half-Day ($3)",3,""))</f>
        <v/>
      </c>
      <c r="I187" s="89">
        <f>IF(H187="","",H187*1700)</f>
        <v/>
      </c>
    </row>
    <row r="188" ht="15" customHeight="1" s="64">
      <c r="H188" s="88">
        <f>IF(G188="Day Pass ($5)",5,IF(G188="Half-Day ($3)",3,""))</f>
        <v/>
      </c>
      <c r="I188" s="89">
        <f>IF(H188="","",H188*1700)</f>
        <v/>
      </c>
    </row>
    <row r="189" ht="15" customHeight="1" s="64">
      <c r="H189" s="88">
        <f>IF(G189="Day Pass ($5)",5,IF(G189="Half-Day ($3)",3,""))</f>
        <v/>
      </c>
      <c r="I189" s="89">
        <f>IF(H189="","",H189*1700)</f>
        <v/>
      </c>
    </row>
    <row r="190" ht="15" customHeight="1" s="64">
      <c r="H190" s="88">
        <f>IF(G190="Day Pass ($5)",5,IF(G190="Half-Day ($3)",3,""))</f>
        <v/>
      </c>
      <c r="I190" s="89">
        <f>IF(H190="","",H190*1700)</f>
        <v/>
      </c>
    </row>
    <row r="191" ht="15" customHeight="1" s="64">
      <c r="H191" s="88">
        <f>IF(G191="Day Pass ($5)",5,IF(G191="Half-Day ($3)",3,""))</f>
        <v/>
      </c>
      <c r="I191" s="89">
        <f>IF(H191="","",H191*1700)</f>
        <v/>
      </c>
    </row>
    <row r="192" ht="15" customHeight="1" s="64">
      <c r="H192" s="88">
        <f>IF(G192="Day Pass ($5)",5,IF(G192="Half-Day ($3)",3,""))</f>
        <v/>
      </c>
      <c r="I192" s="89">
        <f>IF(H192="","",H192*1700)</f>
        <v/>
      </c>
    </row>
    <row r="193" ht="15" customHeight="1" s="64">
      <c r="H193" s="88">
        <f>IF(G193="Day Pass ($5)",5,IF(G193="Half-Day ($3)",3,""))</f>
        <v/>
      </c>
      <c r="I193" s="89">
        <f>IF(H193="","",H193*1700)</f>
        <v/>
      </c>
    </row>
    <row r="194" ht="15" customHeight="1" s="64">
      <c r="H194" s="88">
        <f>IF(G194="Day Pass ($5)",5,IF(G194="Half-Day ($3)",3,""))</f>
        <v/>
      </c>
      <c r="I194" s="89">
        <f>IF(H194="","",H194*1700)</f>
        <v/>
      </c>
    </row>
    <row r="195" ht="15" customHeight="1" s="64">
      <c r="H195" s="88">
        <f>IF(G195="Day Pass ($5)",5,IF(G195="Half-Day ($3)",3,""))</f>
        <v/>
      </c>
      <c r="I195" s="89">
        <f>IF(H195="","",H195*1700)</f>
        <v/>
      </c>
    </row>
    <row r="196" ht="15" customHeight="1" s="64">
      <c r="H196" s="88">
        <f>IF(G196="Day Pass ($5)",5,IF(G196="Half-Day ($3)",3,""))</f>
        <v/>
      </c>
      <c r="I196" s="89">
        <f>IF(H196="","",H196*1700)</f>
        <v/>
      </c>
    </row>
    <row r="197" ht="15" customHeight="1" s="64">
      <c r="H197" s="88">
        <f>IF(G197="Day Pass ($5)",5,IF(G197="Half-Day ($3)",3,""))</f>
        <v/>
      </c>
      <c r="I197" s="89">
        <f>IF(H197="","",H197*1700)</f>
        <v/>
      </c>
    </row>
    <row r="198" ht="15" customHeight="1" s="64">
      <c r="H198" s="88">
        <f>IF(G198="Day Pass ($5)",5,IF(G198="Half-Day ($3)",3,""))</f>
        <v/>
      </c>
      <c r="I198" s="89">
        <f>IF(H198="","",H198*1700)</f>
        <v/>
      </c>
    </row>
    <row r="199" ht="15" customHeight="1" s="64">
      <c r="H199" s="88">
        <f>IF(G199="Day Pass ($5)",5,IF(G199="Half-Day ($3)",3,""))</f>
        <v/>
      </c>
      <c r="I199" s="89">
        <f>IF(H199="","",H199*1700)</f>
        <v/>
      </c>
    </row>
    <row r="200" ht="15" customHeight="1" s="64">
      <c r="H200" s="88">
        <f>IF(G200="Day Pass ($5)",5,IF(G200="Half-Day ($3)",3,""))</f>
        <v/>
      </c>
      <c r="I200" s="89">
        <f>IF(H200="","",H200*1700)</f>
        <v/>
      </c>
    </row>
    <row r="201" ht="15" customHeight="1" s="64">
      <c r="H201" s="88">
        <f>IF(G201="Day Pass ($5)",5,IF(G201="Half-Day ($3)",3,""))</f>
        <v/>
      </c>
      <c r="I201" s="89">
        <f>IF(H201="","",H201*1700)</f>
        <v/>
      </c>
    </row>
    <row r="202" ht="15" customHeight="1" s="64">
      <c r="H202" s="88">
        <f>IF(G202="Day Pass ($5)",5,IF(G202="Half-Day ($3)",3,""))</f>
        <v/>
      </c>
      <c r="I202" s="89">
        <f>IF(H202="","",H202*1700)</f>
        <v/>
      </c>
    </row>
    <row r="203" ht="15" customHeight="1" s="64">
      <c r="H203" s="88">
        <f>IF(G203="Day Pass ($5)",5,IF(G203="Half-Day ($3)",3,""))</f>
        <v/>
      </c>
      <c r="I203" s="89">
        <f>IF(H203="","",H203*1700)</f>
        <v/>
      </c>
    </row>
    <row r="204" ht="15" customHeight="1" s="64">
      <c r="H204" s="88">
        <f>IF(G204="Day Pass ($5)",5,IF(G204="Half-Day ($3)",3,""))</f>
        <v/>
      </c>
      <c r="I204" s="89">
        <f>IF(H204="","",H204*1700)</f>
        <v/>
      </c>
    </row>
    <row r="205" ht="15" customHeight="1" s="64">
      <c r="H205" s="88">
        <f>IF(G205="Day Pass ($5)",5,IF(G205="Half-Day ($3)",3,""))</f>
        <v/>
      </c>
      <c r="I205" s="89">
        <f>IF(H205="","",H205*1700)</f>
        <v/>
      </c>
    </row>
    <row r="206" ht="15" customHeight="1" s="64">
      <c r="H206" s="88">
        <f>IF(G206="Day Pass ($5)",5,IF(G206="Half-Day ($3)",3,""))</f>
        <v/>
      </c>
      <c r="I206" s="89">
        <f>IF(H206="","",H206*1700)</f>
        <v/>
      </c>
    </row>
    <row r="207" ht="15" customHeight="1" s="64">
      <c r="H207" s="88">
        <f>IF(G207="Day Pass ($5)",5,IF(G207="Half-Day ($3)",3,""))</f>
        <v/>
      </c>
      <c r="I207" s="89">
        <f>IF(H207="","",H207*1700)</f>
        <v/>
      </c>
    </row>
    <row r="208" ht="15" customHeight="1" s="64">
      <c r="H208" s="88">
        <f>IF(G208="Day Pass ($5)",5,IF(G208="Half-Day ($3)",3,""))</f>
        <v/>
      </c>
      <c r="I208" s="89">
        <f>IF(H208="","",H208*1700)</f>
        <v/>
      </c>
    </row>
    <row r="209" ht="15" customHeight="1" s="64">
      <c r="H209" s="88">
        <f>IF(G209="Day Pass ($5)",5,IF(G209="Half-Day ($3)",3,""))</f>
        <v/>
      </c>
      <c r="I209" s="89">
        <f>IF(H209="","",H209*1700)</f>
        <v/>
      </c>
    </row>
    <row r="210" ht="15" customHeight="1" s="64">
      <c r="H210" s="88">
        <f>IF(G210="Day Pass ($5)",5,IF(G210="Half-Day ($3)",3,""))</f>
        <v/>
      </c>
      <c r="I210" s="89">
        <f>IF(H210="","",H210*1700)</f>
        <v/>
      </c>
    </row>
    <row r="211" ht="15" customHeight="1" s="64">
      <c r="H211" s="88">
        <f>IF(G211="Day Pass ($5)",5,IF(G211="Half-Day ($3)",3,""))</f>
        <v/>
      </c>
      <c r="I211" s="89">
        <f>IF(H211="","",H211*1700)</f>
        <v/>
      </c>
    </row>
    <row r="212" ht="15" customHeight="1" s="64">
      <c r="H212" s="88">
        <f>IF(G212="Day Pass ($5)",5,IF(G212="Half-Day ($3)",3,""))</f>
        <v/>
      </c>
      <c r="I212" s="89">
        <f>IF(H212="","",H212*1700)</f>
        <v/>
      </c>
    </row>
    <row r="213" ht="15" customHeight="1" s="64">
      <c r="H213" s="88">
        <f>IF(G213="Day Pass ($5)",5,IF(G213="Half-Day ($3)",3,""))</f>
        <v/>
      </c>
      <c r="I213" s="89">
        <f>IF(H213="","",H213*1700)</f>
        <v/>
      </c>
    </row>
    <row r="214" ht="15" customHeight="1" s="64">
      <c r="H214" s="88">
        <f>IF(G214="Day Pass ($5)",5,IF(G214="Half-Day ($3)",3,""))</f>
        <v/>
      </c>
      <c r="I214" s="89">
        <f>IF(H214="","",H214*1700)</f>
        <v/>
      </c>
    </row>
    <row r="215" ht="15" customHeight="1" s="64">
      <c r="H215" s="88">
        <f>IF(G215="Day Pass ($5)",5,IF(G215="Half-Day ($3)",3,""))</f>
        <v/>
      </c>
      <c r="I215" s="89">
        <f>IF(H215="","",H215*1700)</f>
        <v/>
      </c>
    </row>
    <row r="216" ht="15" customHeight="1" s="64">
      <c r="H216" s="88">
        <f>IF(G216="Day Pass ($5)",5,IF(G216="Half-Day ($3)",3,""))</f>
        <v/>
      </c>
      <c r="I216" s="89">
        <f>IF(H216="","",H216*1700)</f>
        <v/>
      </c>
    </row>
    <row r="217" ht="15" customHeight="1" s="64">
      <c r="H217" s="88">
        <f>IF(G217="Day Pass ($5)",5,IF(G217="Half-Day ($3)",3,""))</f>
        <v/>
      </c>
      <c r="I217" s="89">
        <f>IF(H217="","",H217*1700)</f>
        <v/>
      </c>
    </row>
    <row r="218" ht="15" customHeight="1" s="64">
      <c r="H218" s="88">
        <f>IF(G218="Day Pass ($5)",5,IF(G218="Half-Day ($3)",3,""))</f>
        <v/>
      </c>
      <c r="I218" s="89">
        <f>IF(H218="","",H218*1700)</f>
        <v/>
      </c>
    </row>
    <row r="219" ht="15" customHeight="1" s="64">
      <c r="H219" s="88">
        <f>IF(G219="Day Pass ($5)",5,IF(G219="Half-Day ($3)",3,""))</f>
        <v/>
      </c>
      <c r="I219" s="89">
        <f>IF(H219="","",H219*1700)</f>
        <v/>
      </c>
    </row>
    <row r="220" ht="15" customHeight="1" s="64">
      <c r="H220" s="88">
        <f>IF(G220="Day Pass ($5)",5,IF(G220="Half-Day ($3)",3,""))</f>
        <v/>
      </c>
      <c r="I220" s="89">
        <f>IF(H220="","",H220*1700)</f>
        <v/>
      </c>
    </row>
    <row r="221" ht="15" customHeight="1" s="64">
      <c r="H221" s="88">
        <f>IF(G221="Day Pass ($5)",5,IF(G221="Half-Day ($3)",3,""))</f>
        <v/>
      </c>
      <c r="I221" s="89">
        <f>IF(H221="","",H221*1700)</f>
        <v/>
      </c>
    </row>
    <row r="222" ht="15" customHeight="1" s="64">
      <c r="H222" s="88">
        <f>IF(G222="Day Pass ($5)",5,IF(G222="Half-Day ($3)",3,""))</f>
        <v/>
      </c>
      <c r="I222" s="89">
        <f>IF(H222="","",H222*1700)</f>
        <v/>
      </c>
    </row>
    <row r="223" ht="15" customHeight="1" s="64">
      <c r="H223" s="88">
        <f>IF(G223="Day Pass ($5)",5,IF(G223="Half-Day ($3)",3,""))</f>
        <v/>
      </c>
      <c r="I223" s="89">
        <f>IF(H223="","",H223*1700)</f>
        <v/>
      </c>
    </row>
    <row r="224" ht="15" customHeight="1" s="64">
      <c r="H224" s="88">
        <f>IF(G224="Day Pass ($5)",5,IF(G224="Half-Day ($3)",3,""))</f>
        <v/>
      </c>
      <c r="I224" s="89">
        <f>IF(H224="","",H224*1700)</f>
        <v/>
      </c>
    </row>
    <row r="225" ht="15" customHeight="1" s="64">
      <c r="H225" s="88">
        <f>IF(G225="Day Pass ($5)",5,IF(G225="Half-Day ($3)",3,""))</f>
        <v/>
      </c>
      <c r="I225" s="89">
        <f>IF(H225="","",H225*1700)</f>
        <v/>
      </c>
    </row>
    <row r="226" ht="15" customHeight="1" s="64">
      <c r="H226" s="88">
        <f>IF(G226="Day Pass ($5)",5,IF(G226="Half-Day ($3)",3,""))</f>
        <v/>
      </c>
      <c r="I226" s="89">
        <f>IF(H226="","",H226*1700)</f>
        <v/>
      </c>
    </row>
    <row r="227" ht="15" customHeight="1" s="64">
      <c r="H227" s="88">
        <f>IF(G227="Day Pass ($5)",5,IF(G227="Half-Day ($3)",3,""))</f>
        <v/>
      </c>
      <c r="I227" s="89">
        <f>IF(H227="","",H227*1700)</f>
        <v/>
      </c>
    </row>
    <row r="228" ht="15" customHeight="1" s="64">
      <c r="H228" s="88">
        <f>IF(G228="Day Pass ($5)",5,IF(G228="Half-Day ($3)",3,""))</f>
        <v/>
      </c>
      <c r="I228" s="89">
        <f>IF(H228="","",H228*1700)</f>
        <v/>
      </c>
    </row>
    <row r="229" ht="15" customHeight="1" s="64">
      <c r="H229" s="88">
        <f>IF(G229="Day Pass ($5)",5,IF(G229="Half-Day ($3)",3,""))</f>
        <v/>
      </c>
      <c r="I229" s="89">
        <f>IF(H229="","",H229*1700)</f>
        <v/>
      </c>
    </row>
    <row r="230" ht="15" customHeight="1" s="64">
      <c r="H230" s="88">
        <f>IF(G230="Day Pass ($5)",5,IF(G230="Half-Day ($3)",3,""))</f>
        <v/>
      </c>
      <c r="I230" s="89">
        <f>IF(H230="","",H230*1700)</f>
        <v/>
      </c>
    </row>
    <row r="231" ht="15" customHeight="1" s="64">
      <c r="H231" s="88">
        <f>IF(G231="Day Pass ($5)",5,IF(G231="Half-Day ($3)",3,""))</f>
        <v/>
      </c>
      <c r="I231" s="89">
        <f>IF(H231="","",H231*1700)</f>
        <v/>
      </c>
    </row>
    <row r="232" ht="15" customHeight="1" s="64">
      <c r="H232" s="88">
        <f>IF(G232="Day Pass ($5)",5,IF(G232="Half-Day ($3)",3,""))</f>
        <v/>
      </c>
      <c r="I232" s="89">
        <f>IF(H232="","",H232*1700)</f>
        <v/>
      </c>
    </row>
    <row r="233" ht="15" customHeight="1" s="64">
      <c r="H233" s="88">
        <f>IF(G233="Day Pass ($5)",5,IF(G233="Half-Day ($3)",3,""))</f>
        <v/>
      </c>
      <c r="I233" s="89">
        <f>IF(H233="","",H233*1700)</f>
        <v/>
      </c>
    </row>
    <row r="234" ht="15" customHeight="1" s="64">
      <c r="H234" s="88">
        <f>IF(G234="Day Pass ($5)",5,IF(G234="Half-Day ($3)",3,""))</f>
        <v/>
      </c>
      <c r="I234" s="89">
        <f>IF(H234="","",H234*1700)</f>
        <v/>
      </c>
    </row>
    <row r="235" ht="15" customHeight="1" s="64">
      <c r="H235" s="88">
        <f>IF(G235="Day Pass ($5)",5,IF(G235="Half-Day ($3)",3,""))</f>
        <v/>
      </c>
      <c r="I235" s="89">
        <f>IF(H235="","",H235*1700)</f>
        <v/>
      </c>
    </row>
    <row r="236" ht="15" customHeight="1" s="64">
      <c r="H236" s="88">
        <f>IF(G236="Day Pass ($5)",5,IF(G236="Half-Day ($3)",3,""))</f>
        <v/>
      </c>
      <c r="I236" s="89">
        <f>IF(H236="","",H236*1700)</f>
        <v/>
      </c>
    </row>
    <row r="237" ht="15" customHeight="1" s="64">
      <c r="H237" s="88">
        <f>IF(G237="Day Pass ($5)",5,IF(G237="Half-Day ($3)",3,""))</f>
        <v/>
      </c>
      <c r="I237" s="89">
        <f>IF(H237="","",H237*1700)</f>
        <v/>
      </c>
    </row>
    <row r="238" ht="15" customHeight="1" s="64">
      <c r="H238" s="88">
        <f>IF(G238="Day Pass ($5)",5,IF(G238="Half-Day ($3)",3,""))</f>
        <v/>
      </c>
      <c r="I238" s="89">
        <f>IF(H238="","",H238*1700)</f>
        <v/>
      </c>
    </row>
    <row r="239" ht="15" customHeight="1" s="64">
      <c r="H239" s="88">
        <f>IF(G239="Day Pass ($5)",5,IF(G239="Half-Day ($3)",3,""))</f>
        <v/>
      </c>
      <c r="I239" s="89">
        <f>IF(H239="","",H239*1700)</f>
        <v/>
      </c>
    </row>
    <row r="240" ht="15" customHeight="1" s="64">
      <c r="H240" s="88">
        <f>IF(G240="Day Pass ($5)",5,IF(G240="Half-Day ($3)",3,""))</f>
        <v/>
      </c>
      <c r="I240" s="89">
        <f>IF(H240="","",H240*1700)</f>
        <v/>
      </c>
    </row>
    <row r="241" ht="15" customHeight="1" s="64">
      <c r="H241" s="88">
        <f>IF(G241="Day Pass ($5)",5,IF(G241="Half-Day ($3)",3,""))</f>
        <v/>
      </c>
      <c r="I241" s="89">
        <f>IF(H241="","",H241*1700)</f>
        <v/>
      </c>
    </row>
    <row r="242" ht="15" customHeight="1" s="64">
      <c r="H242" s="88">
        <f>IF(G242="Day Pass ($5)",5,IF(G242="Half-Day ($3)",3,""))</f>
        <v/>
      </c>
      <c r="I242" s="89">
        <f>IF(H242="","",H242*1700)</f>
        <v/>
      </c>
    </row>
    <row r="243" ht="15" customHeight="1" s="64">
      <c r="H243" s="88">
        <f>IF(G243="Day Pass ($5)",5,IF(G243="Half-Day ($3)",3,""))</f>
        <v/>
      </c>
      <c r="I243" s="89">
        <f>IF(H243="","",H243*1700)</f>
        <v/>
      </c>
    </row>
    <row r="244" ht="15" customHeight="1" s="64">
      <c r="H244" s="88">
        <f>IF(G244="Day Pass ($5)",5,IF(G244="Half-Day ($3)",3,""))</f>
        <v/>
      </c>
      <c r="I244" s="89">
        <f>IF(H244="","",H244*1700)</f>
        <v/>
      </c>
    </row>
    <row r="245" ht="15" customHeight="1" s="64">
      <c r="H245" s="88">
        <f>IF(G245="Day Pass ($5)",5,IF(G245="Half-Day ($3)",3,""))</f>
        <v/>
      </c>
      <c r="I245" s="89">
        <f>IF(H245="","",H245*1700)</f>
        <v/>
      </c>
    </row>
    <row r="246" ht="15" customHeight="1" s="64">
      <c r="H246" s="88">
        <f>IF(G246="Day Pass ($5)",5,IF(G246="Half-Day ($3)",3,""))</f>
        <v/>
      </c>
      <c r="I246" s="89">
        <f>IF(H246="","",H246*1700)</f>
        <v/>
      </c>
    </row>
    <row r="247" ht="15" customHeight="1" s="64">
      <c r="H247" s="88">
        <f>IF(G247="Day Pass ($5)",5,IF(G247="Half-Day ($3)",3,""))</f>
        <v/>
      </c>
      <c r="I247" s="89">
        <f>IF(H247="","",H247*1700)</f>
        <v/>
      </c>
    </row>
    <row r="248" ht="15" customHeight="1" s="64">
      <c r="H248" s="88">
        <f>IF(G248="Day Pass ($5)",5,IF(G248="Half-Day ($3)",3,""))</f>
        <v/>
      </c>
      <c r="I248" s="89">
        <f>IF(H248="","",H248*1700)</f>
        <v/>
      </c>
    </row>
    <row r="249" ht="15" customHeight="1" s="64">
      <c r="H249" s="88">
        <f>IF(G249="Day Pass ($5)",5,IF(G249="Half-Day ($3)",3,""))</f>
        <v/>
      </c>
      <c r="I249" s="89">
        <f>IF(H249="","",H249*1700)</f>
        <v/>
      </c>
    </row>
    <row r="250" ht="15" customHeight="1" s="64">
      <c r="H250" s="88">
        <f>IF(G250="Day Pass ($5)",5,IF(G250="Half-Day ($3)",3,""))</f>
        <v/>
      </c>
      <c r="I250" s="89">
        <f>IF(H250="","",H250*1700)</f>
        <v/>
      </c>
    </row>
    <row r="251" ht="15" customHeight="1" s="64">
      <c r="H251" s="88">
        <f>IF(G251="Day Pass ($5)",5,IF(G251="Half-Day ($3)",3,""))</f>
        <v/>
      </c>
      <c r="I251" s="89">
        <f>IF(H251="","",H251*1700)</f>
        <v/>
      </c>
    </row>
    <row r="252" ht="15" customHeight="1" s="64">
      <c r="H252" s="88">
        <f>IF(G252="Day Pass ($5)",5,IF(G252="Half-Day ($3)",3,""))</f>
        <v/>
      </c>
      <c r="I252" s="89">
        <f>IF(H252="","",H252*1700)</f>
        <v/>
      </c>
    </row>
    <row r="253" ht="15" customHeight="1" s="64">
      <c r="H253" s="88">
        <f>IF(G253="Day Pass ($5)",5,IF(G253="Half-Day ($3)",3,""))</f>
        <v/>
      </c>
      <c r="I253" s="89">
        <f>IF(H253="","",H253*1700)</f>
        <v/>
      </c>
    </row>
    <row r="254" ht="15" customHeight="1" s="64">
      <c r="H254" s="88">
        <f>IF(G254="Day Pass ($5)",5,IF(G254="Half-Day ($3)",3,""))</f>
        <v/>
      </c>
      <c r="I254" s="89">
        <f>IF(H254="","",H254*1700)</f>
        <v/>
      </c>
    </row>
    <row r="255" ht="15" customHeight="1" s="64">
      <c r="H255" s="88">
        <f>IF(G255="Day Pass ($5)",5,IF(G255="Half-Day ($3)",3,""))</f>
        <v/>
      </c>
      <c r="I255" s="89">
        <f>IF(H255="","",H255*1700)</f>
        <v/>
      </c>
    </row>
    <row r="256" ht="15" customHeight="1" s="64">
      <c r="H256" s="88">
        <f>IF(G256="Day Pass ($5)",5,IF(G256="Half-Day ($3)",3,""))</f>
        <v/>
      </c>
      <c r="I256" s="89">
        <f>IF(H256="","",H256*1700)</f>
        <v/>
      </c>
    </row>
    <row r="257" ht="15" customHeight="1" s="64">
      <c r="H257" s="88">
        <f>IF(G257="Day Pass ($5)",5,IF(G257="Half-Day ($3)",3,""))</f>
        <v/>
      </c>
      <c r="I257" s="89">
        <f>IF(H257="","",H257*1700)</f>
        <v/>
      </c>
    </row>
    <row r="258" ht="15" customHeight="1" s="64">
      <c r="H258" s="88">
        <f>IF(G258="Day Pass ($5)",5,IF(G258="Half-Day ($3)",3,""))</f>
        <v/>
      </c>
      <c r="I258" s="89">
        <f>IF(H258="","",H258*1700)</f>
        <v/>
      </c>
    </row>
    <row r="259" ht="15" customHeight="1" s="64">
      <c r="H259" s="88">
        <f>IF(G259="Day Pass ($5)",5,IF(G259="Half-Day ($3)",3,""))</f>
        <v/>
      </c>
      <c r="I259" s="89">
        <f>IF(H259="","",H259*1700)</f>
        <v/>
      </c>
    </row>
    <row r="260" ht="15" customHeight="1" s="64">
      <c r="H260" s="88">
        <f>IF(G260="Day Pass ($5)",5,IF(G260="Half-Day ($3)",3,""))</f>
        <v/>
      </c>
      <c r="I260" s="89">
        <f>IF(H260="","",H260*1700)</f>
        <v/>
      </c>
    </row>
    <row r="261" ht="15" customHeight="1" s="64">
      <c r="H261" s="88">
        <f>IF(G261="Day Pass ($5)",5,IF(G261="Half-Day ($3)",3,""))</f>
        <v/>
      </c>
      <c r="I261" s="89">
        <f>IF(H261="","",H261*1700)</f>
        <v/>
      </c>
    </row>
    <row r="262" ht="15" customHeight="1" s="64">
      <c r="H262" s="88">
        <f>IF(G262="Day Pass ($5)",5,IF(G262="Half-Day ($3)",3,""))</f>
        <v/>
      </c>
      <c r="I262" s="89">
        <f>IF(H262="","",H262*1700)</f>
        <v/>
      </c>
    </row>
    <row r="263" ht="15" customHeight="1" s="64">
      <c r="H263" s="88">
        <f>IF(G263="Day Pass ($5)",5,IF(G263="Half-Day ($3)",3,""))</f>
        <v/>
      </c>
      <c r="I263" s="89">
        <f>IF(H263="","",H263*1700)</f>
        <v/>
      </c>
    </row>
    <row r="264" ht="15" customHeight="1" s="64">
      <c r="H264" s="88">
        <f>IF(G264="Day Pass ($5)",5,IF(G264="Half-Day ($3)",3,""))</f>
        <v/>
      </c>
      <c r="I264" s="89">
        <f>IF(H264="","",H264*1700)</f>
        <v/>
      </c>
    </row>
    <row r="265" ht="15" customHeight="1" s="64">
      <c r="H265" s="88">
        <f>IF(G265="Day Pass ($5)",5,IF(G265="Half-Day ($3)",3,""))</f>
        <v/>
      </c>
      <c r="I265" s="89">
        <f>IF(H265="","",H265*1700)</f>
        <v/>
      </c>
    </row>
    <row r="266" ht="15" customHeight="1" s="64">
      <c r="H266" s="88">
        <f>IF(G266="Day Pass ($5)",5,IF(G266="Half-Day ($3)",3,""))</f>
        <v/>
      </c>
      <c r="I266" s="89">
        <f>IF(H266="","",H266*1700)</f>
        <v/>
      </c>
    </row>
    <row r="267" ht="15" customHeight="1" s="64">
      <c r="H267" s="88">
        <f>IF(G267="Day Pass ($5)",5,IF(G267="Half-Day ($3)",3,""))</f>
        <v/>
      </c>
      <c r="I267" s="89">
        <f>IF(H267="","",H267*1700)</f>
        <v/>
      </c>
    </row>
    <row r="268" ht="15" customHeight="1" s="64">
      <c r="H268" s="88">
        <f>IF(G268="Day Pass ($5)",5,IF(G268="Half-Day ($3)",3,""))</f>
        <v/>
      </c>
      <c r="I268" s="89">
        <f>IF(H268="","",H268*1700)</f>
        <v/>
      </c>
    </row>
    <row r="269" ht="15" customHeight="1" s="64">
      <c r="H269" s="88">
        <f>IF(G269="Day Pass ($5)",5,IF(G269="Half-Day ($3)",3,""))</f>
        <v/>
      </c>
      <c r="I269" s="89">
        <f>IF(H269="","",H269*1700)</f>
        <v/>
      </c>
    </row>
    <row r="270" ht="15" customHeight="1" s="64">
      <c r="H270" s="88">
        <f>IF(G270="Day Pass ($5)",5,IF(G270="Half-Day ($3)",3,""))</f>
        <v/>
      </c>
      <c r="I270" s="89">
        <f>IF(H270="","",H270*1700)</f>
        <v/>
      </c>
    </row>
    <row r="271" ht="15" customHeight="1" s="64">
      <c r="H271" s="88">
        <f>IF(G271="Day Pass ($5)",5,IF(G271="Half-Day ($3)",3,""))</f>
        <v/>
      </c>
      <c r="I271" s="89">
        <f>IF(H271="","",H271*1700)</f>
        <v/>
      </c>
    </row>
    <row r="272" ht="15" customHeight="1" s="64">
      <c r="H272" s="88">
        <f>IF(G272="Day Pass ($5)",5,IF(G272="Half-Day ($3)",3,""))</f>
        <v/>
      </c>
      <c r="I272" s="89">
        <f>IF(H272="","",H272*1700)</f>
        <v/>
      </c>
    </row>
    <row r="273" ht="15" customHeight="1" s="64">
      <c r="H273" s="88">
        <f>IF(G273="Day Pass ($5)",5,IF(G273="Half-Day ($3)",3,""))</f>
        <v/>
      </c>
      <c r="I273" s="89">
        <f>IF(H273="","",H273*1700)</f>
        <v/>
      </c>
    </row>
    <row r="274" ht="15" customHeight="1" s="64">
      <c r="H274" s="88">
        <f>IF(G274="Day Pass ($5)",5,IF(G274="Half-Day ($3)",3,""))</f>
        <v/>
      </c>
      <c r="I274" s="89">
        <f>IF(H274="","",H274*1700)</f>
        <v/>
      </c>
    </row>
    <row r="275" ht="15" customHeight="1" s="64">
      <c r="H275" s="88">
        <f>IF(G275="Day Pass ($5)",5,IF(G275="Half-Day ($3)",3,""))</f>
        <v/>
      </c>
      <c r="I275" s="89">
        <f>IF(H275="","",H275*1700)</f>
        <v/>
      </c>
    </row>
    <row r="276" ht="15" customHeight="1" s="64">
      <c r="H276" s="88">
        <f>IF(G276="Day Pass ($5)",5,IF(G276="Half-Day ($3)",3,""))</f>
        <v/>
      </c>
      <c r="I276" s="89">
        <f>IF(H276="","",H276*1700)</f>
        <v/>
      </c>
    </row>
    <row r="277" ht="15" customHeight="1" s="64">
      <c r="H277" s="88">
        <f>IF(G277="Day Pass ($5)",5,IF(G277="Half-Day ($3)",3,""))</f>
        <v/>
      </c>
      <c r="I277" s="89">
        <f>IF(H277="","",H277*1700)</f>
        <v/>
      </c>
    </row>
    <row r="278" ht="15" customHeight="1" s="64">
      <c r="H278" s="88">
        <f>IF(G278="Day Pass ($5)",5,IF(G278="Half-Day ($3)",3,""))</f>
        <v/>
      </c>
      <c r="I278" s="89">
        <f>IF(H278="","",H278*1700)</f>
        <v/>
      </c>
    </row>
    <row r="279" ht="15" customHeight="1" s="64">
      <c r="H279" s="88">
        <f>IF(G279="Day Pass ($5)",5,IF(G279="Half-Day ($3)",3,""))</f>
        <v/>
      </c>
      <c r="I279" s="89">
        <f>IF(H279="","",H279*1700)</f>
        <v/>
      </c>
    </row>
    <row r="280" ht="15" customHeight="1" s="64">
      <c r="H280" s="88">
        <f>IF(G280="Day Pass ($5)",5,IF(G280="Half-Day ($3)",3,""))</f>
        <v/>
      </c>
      <c r="I280" s="89">
        <f>IF(H280="","",H280*1700)</f>
        <v/>
      </c>
    </row>
    <row r="281" ht="15" customHeight="1" s="64">
      <c r="H281" s="88">
        <f>IF(G281="Day Pass ($5)",5,IF(G281="Half-Day ($3)",3,""))</f>
        <v/>
      </c>
      <c r="I281" s="89">
        <f>IF(H281="","",H281*1700)</f>
        <v/>
      </c>
    </row>
    <row r="282" ht="15" customHeight="1" s="64">
      <c r="H282" s="88">
        <f>IF(G282="Day Pass ($5)",5,IF(G282="Half-Day ($3)",3,""))</f>
        <v/>
      </c>
      <c r="I282" s="89">
        <f>IF(H282="","",H282*1700)</f>
        <v/>
      </c>
    </row>
    <row r="283" ht="15" customHeight="1" s="64">
      <c r="H283" s="88">
        <f>IF(G283="Day Pass ($5)",5,IF(G283="Half-Day ($3)",3,""))</f>
        <v/>
      </c>
      <c r="I283" s="89">
        <f>IF(H283="","",H283*1700)</f>
        <v/>
      </c>
    </row>
    <row r="284" ht="15" customHeight="1" s="64">
      <c r="H284" s="88">
        <f>IF(G284="Day Pass ($5)",5,IF(G284="Half-Day ($3)",3,""))</f>
        <v/>
      </c>
      <c r="I284" s="89">
        <f>IF(H284="","",H284*1700)</f>
        <v/>
      </c>
    </row>
    <row r="285" ht="15" customHeight="1" s="64">
      <c r="H285" s="88">
        <f>IF(G285="Day Pass ($5)",5,IF(G285="Half-Day ($3)",3,""))</f>
        <v/>
      </c>
      <c r="I285" s="89">
        <f>IF(H285="","",H285*1700)</f>
        <v/>
      </c>
    </row>
    <row r="286" ht="15" customHeight="1" s="64">
      <c r="H286" s="88">
        <f>IF(G286="Day Pass ($5)",5,IF(G286="Half-Day ($3)",3,""))</f>
        <v/>
      </c>
      <c r="I286" s="89">
        <f>IF(H286="","",H286*1700)</f>
        <v/>
      </c>
    </row>
    <row r="287" ht="15" customHeight="1" s="64">
      <c r="H287" s="88">
        <f>IF(G287="Day Pass ($5)",5,IF(G287="Half-Day ($3)",3,""))</f>
        <v/>
      </c>
      <c r="I287" s="89">
        <f>IF(H287="","",H287*1700)</f>
        <v/>
      </c>
    </row>
    <row r="288" ht="15" customHeight="1" s="64">
      <c r="H288" s="88">
        <f>IF(G288="Day Pass ($5)",5,IF(G288="Half-Day ($3)",3,""))</f>
        <v/>
      </c>
      <c r="I288" s="89">
        <f>IF(H288="","",H288*1700)</f>
        <v/>
      </c>
    </row>
    <row r="289" ht="15" customHeight="1" s="64">
      <c r="H289" s="88">
        <f>IF(G289="Day Pass ($5)",5,IF(G289="Half-Day ($3)",3,""))</f>
        <v/>
      </c>
      <c r="I289" s="89">
        <f>IF(H289="","",H289*1700)</f>
        <v/>
      </c>
    </row>
    <row r="290" ht="15" customHeight="1" s="64">
      <c r="H290" s="88">
        <f>IF(G290="Day Pass ($5)",5,IF(G290="Half-Day ($3)",3,""))</f>
        <v/>
      </c>
      <c r="I290" s="89">
        <f>IF(H290="","",H290*1700)</f>
        <v/>
      </c>
    </row>
    <row r="291" ht="15" customHeight="1" s="64">
      <c r="H291" s="88">
        <f>IF(G291="Day Pass ($5)",5,IF(G291="Half-Day ($3)",3,""))</f>
        <v/>
      </c>
      <c r="I291" s="89">
        <f>IF(H291="","",H291*1700)</f>
        <v/>
      </c>
    </row>
    <row r="292" ht="15" customHeight="1" s="64">
      <c r="H292" s="88">
        <f>IF(G292="Day Pass ($5)",5,IF(G292="Half-Day ($3)",3,""))</f>
        <v/>
      </c>
      <c r="I292" s="89">
        <f>IF(H292="","",H292*1700)</f>
        <v/>
      </c>
    </row>
    <row r="293" ht="15" customHeight="1" s="64">
      <c r="H293" s="88">
        <f>IF(G293="Day Pass ($5)",5,IF(G293="Half-Day ($3)",3,""))</f>
        <v/>
      </c>
      <c r="I293" s="89">
        <f>IF(H293="","",H293*1700)</f>
        <v/>
      </c>
    </row>
    <row r="294" ht="15" customHeight="1" s="64">
      <c r="H294" s="88">
        <f>IF(G294="Day Pass ($5)",5,IF(G294="Half-Day ($3)",3,""))</f>
        <v/>
      </c>
      <c r="I294" s="89">
        <f>IF(H294="","",H294*1700)</f>
        <v/>
      </c>
    </row>
    <row r="295" ht="15" customHeight="1" s="64">
      <c r="H295" s="88">
        <f>IF(G295="Day Pass ($5)",5,IF(G295="Half-Day ($3)",3,""))</f>
        <v/>
      </c>
      <c r="I295" s="89">
        <f>IF(H295="","",H295*1700)</f>
        <v/>
      </c>
    </row>
    <row r="296" ht="15" customHeight="1" s="64">
      <c r="H296" s="88">
        <f>IF(G296="Day Pass ($5)",5,IF(G296="Half-Day ($3)",3,""))</f>
        <v/>
      </c>
      <c r="I296" s="89">
        <f>IF(H296="","",H296*1700)</f>
        <v/>
      </c>
    </row>
    <row r="297" ht="15" customHeight="1" s="64">
      <c r="H297" s="88">
        <f>IF(G297="Day Pass ($5)",5,IF(G297="Half-Day ($3)",3,""))</f>
        <v/>
      </c>
      <c r="I297" s="89">
        <f>IF(H297="","",H297*1700)</f>
        <v/>
      </c>
    </row>
    <row r="298" ht="15" customHeight="1" s="64">
      <c r="H298" s="88">
        <f>IF(G298="Day Pass ($5)",5,IF(G298="Half-Day ($3)",3,""))</f>
        <v/>
      </c>
      <c r="I298" s="89">
        <f>IF(H298="","",H298*1700)</f>
        <v/>
      </c>
    </row>
    <row r="299" ht="15" customHeight="1" s="64">
      <c r="H299" s="88">
        <f>IF(G299="Day Pass ($5)",5,IF(G299="Half-Day ($3)",3,""))</f>
        <v/>
      </c>
      <c r="I299" s="89">
        <f>IF(H299="","",H299*1700)</f>
        <v/>
      </c>
    </row>
    <row r="300" ht="15" customHeight="1" s="64">
      <c r="H300" s="88">
        <f>IF(G300="Day Pass ($5)",5,IF(G300="Half-Day ($3)",3,""))</f>
        <v/>
      </c>
      <c r="I300" s="89">
        <f>IF(H300="","",H300*1700)</f>
        <v/>
      </c>
    </row>
    <row r="301" ht="15" customHeight="1" s="64">
      <c r="H301" s="88">
        <f>IF(G301="Day Pass ($5)",5,IF(G301="Half-Day ($3)",3,""))</f>
        <v/>
      </c>
      <c r="I301" s="89">
        <f>IF(H301="","",H301*1700)</f>
        <v/>
      </c>
    </row>
    <row r="302" ht="15" customHeight="1" s="64">
      <c r="H302" s="88">
        <f>IF(G302="Day Pass ($5)",5,IF(G302="Half-Day ($3)",3,""))</f>
        <v/>
      </c>
      <c r="I302" s="89">
        <f>IF(H302="","",H302*1700)</f>
        <v/>
      </c>
    </row>
    <row r="303" ht="15" customHeight="1" s="64">
      <c r="H303" s="88">
        <f>IF(G303="Day Pass ($5)",5,IF(G303="Half-Day ($3)",3,""))</f>
        <v/>
      </c>
      <c r="I303" s="89">
        <f>IF(H303="","",H303*1700)</f>
        <v/>
      </c>
    </row>
    <row r="304" ht="15" customHeight="1" s="64">
      <c r="H304" s="88">
        <f>IF(G304="Day Pass ($5)",5,IF(G304="Half-Day ($3)",3,""))</f>
        <v/>
      </c>
      <c r="I304" s="89">
        <f>IF(H304="","",H304*1700)</f>
        <v/>
      </c>
    </row>
    <row r="305" ht="15" customHeight="1" s="64">
      <c r="H305" s="88">
        <f>IF(G305="Day Pass ($5)",5,IF(G305="Half-Day ($3)",3,""))</f>
        <v/>
      </c>
      <c r="I305" s="89">
        <f>IF(H305="","",H305*1700)</f>
        <v/>
      </c>
    </row>
    <row r="306" ht="15" customHeight="1" s="64">
      <c r="H306" s="88">
        <f>IF(G306="Day Pass ($5)",5,IF(G306="Half-Day ($3)",3,""))</f>
        <v/>
      </c>
      <c r="I306" s="89">
        <f>IF(H306="","",H306*1700)</f>
        <v/>
      </c>
    </row>
    <row r="307" ht="15" customHeight="1" s="64">
      <c r="H307" s="88">
        <f>IF(G307="Day Pass ($5)",5,IF(G307="Half-Day ($3)",3,""))</f>
        <v/>
      </c>
      <c r="I307" s="89">
        <f>IF(H307="","",H307*1700)</f>
        <v/>
      </c>
    </row>
    <row r="308" ht="15" customHeight="1" s="64">
      <c r="H308" s="88">
        <f>IF(G308="Day Pass ($5)",5,IF(G308="Half-Day ($3)",3,""))</f>
        <v/>
      </c>
      <c r="I308" s="89">
        <f>IF(H308="","",H308*1700)</f>
        <v/>
      </c>
    </row>
    <row r="309" ht="15" customHeight="1" s="64">
      <c r="H309" s="88">
        <f>IF(G309="Day Pass ($5)",5,IF(G309="Half-Day ($3)",3,""))</f>
        <v/>
      </c>
      <c r="I309" s="89">
        <f>IF(H309="","",H309*1700)</f>
        <v/>
      </c>
    </row>
    <row r="310" ht="15" customHeight="1" s="64">
      <c r="H310" s="88">
        <f>IF(G310="Day Pass ($5)",5,IF(G310="Half-Day ($3)",3,""))</f>
        <v/>
      </c>
      <c r="I310" s="89">
        <f>IF(H310="","",H310*1700)</f>
        <v/>
      </c>
    </row>
    <row r="311" ht="15" customHeight="1" s="64">
      <c r="H311" s="88">
        <f>IF(G311="Day Pass ($5)",5,IF(G311="Half-Day ($3)",3,""))</f>
        <v/>
      </c>
      <c r="I311" s="89">
        <f>IF(H311="","",H311*1700)</f>
        <v/>
      </c>
    </row>
    <row r="312" ht="15" customHeight="1" s="64">
      <c r="H312" s="88">
        <f>IF(G312="Day Pass ($5)",5,IF(G312="Half-Day ($3)",3,""))</f>
        <v/>
      </c>
      <c r="I312" s="89">
        <f>IF(H312="","",H312*1700)</f>
        <v/>
      </c>
    </row>
    <row r="313" ht="15" customHeight="1" s="64">
      <c r="H313" s="88">
        <f>IF(G313="Day Pass ($5)",5,IF(G313="Half-Day ($3)",3,""))</f>
        <v/>
      </c>
      <c r="I313" s="89">
        <f>IF(H313="","",H313*1700)</f>
        <v/>
      </c>
    </row>
    <row r="314" ht="15" customHeight="1" s="64">
      <c r="H314" s="88">
        <f>IF(G314="Day Pass ($5)",5,IF(G314="Half-Day ($3)",3,""))</f>
        <v/>
      </c>
      <c r="I314" s="89">
        <f>IF(H314="","",H314*1700)</f>
        <v/>
      </c>
    </row>
    <row r="315" ht="15" customHeight="1" s="64">
      <c r="H315" s="88">
        <f>IF(G315="Day Pass ($5)",5,IF(G315="Half-Day ($3)",3,""))</f>
        <v/>
      </c>
      <c r="I315" s="89">
        <f>IF(H315="","",H315*1700)</f>
        <v/>
      </c>
    </row>
    <row r="316" ht="15" customHeight="1" s="64">
      <c r="H316" s="88">
        <f>IF(G316="Day Pass ($5)",5,IF(G316="Half-Day ($3)",3,""))</f>
        <v/>
      </c>
      <c r="I316" s="89">
        <f>IF(H316="","",H316*1700)</f>
        <v/>
      </c>
    </row>
    <row r="317" ht="15" customHeight="1" s="64">
      <c r="H317" s="88">
        <f>IF(G317="Day Pass ($5)",5,IF(G317="Half-Day ($3)",3,""))</f>
        <v/>
      </c>
      <c r="I317" s="89">
        <f>IF(H317="","",H317*1700)</f>
        <v/>
      </c>
    </row>
    <row r="318" ht="15" customHeight="1" s="64">
      <c r="H318" s="88">
        <f>IF(G318="Day Pass ($5)",5,IF(G318="Half-Day ($3)",3,""))</f>
        <v/>
      </c>
      <c r="I318" s="89">
        <f>IF(H318="","",H318*1700)</f>
        <v/>
      </c>
    </row>
    <row r="319" ht="15" customHeight="1" s="64">
      <c r="H319" s="88">
        <f>IF(G319="Day Pass ($5)",5,IF(G319="Half-Day ($3)",3,""))</f>
        <v/>
      </c>
      <c r="I319" s="89">
        <f>IF(H319="","",H319*1700)</f>
        <v/>
      </c>
    </row>
    <row r="320" ht="15" customHeight="1" s="64">
      <c r="H320" s="88">
        <f>IF(G320="Day Pass ($5)",5,IF(G320="Half-Day ($3)",3,""))</f>
        <v/>
      </c>
      <c r="I320" s="89">
        <f>IF(H320="","",H320*1700)</f>
        <v/>
      </c>
    </row>
    <row r="321" ht="15" customHeight="1" s="64">
      <c r="H321" s="88">
        <f>IF(G321="Day Pass ($5)",5,IF(G321="Half-Day ($3)",3,""))</f>
        <v/>
      </c>
      <c r="I321" s="89">
        <f>IF(H321="","",H321*1700)</f>
        <v/>
      </c>
    </row>
    <row r="322" ht="15" customHeight="1" s="64">
      <c r="H322" s="88">
        <f>IF(G322="Day Pass ($5)",5,IF(G322="Half-Day ($3)",3,""))</f>
        <v/>
      </c>
      <c r="I322" s="89">
        <f>IF(H322="","",H322*1700)</f>
        <v/>
      </c>
    </row>
    <row r="323" ht="15" customHeight="1" s="64">
      <c r="H323" s="88">
        <f>IF(G323="Day Pass ($5)",5,IF(G323="Half-Day ($3)",3,""))</f>
        <v/>
      </c>
      <c r="I323" s="89">
        <f>IF(H323="","",H323*1700)</f>
        <v/>
      </c>
    </row>
    <row r="324" ht="15" customHeight="1" s="64">
      <c r="H324" s="88">
        <f>IF(G324="Day Pass ($5)",5,IF(G324="Half-Day ($3)",3,""))</f>
        <v/>
      </c>
      <c r="I324" s="89">
        <f>IF(H324="","",H324*1700)</f>
        <v/>
      </c>
    </row>
    <row r="325" ht="15" customHeight="1" s="64">
      <c r="H325" s="88">
        <f>IF(G325="Day Pass ($5)",5,IF(G325="Half-Day ($3)",3,""))</f>
        <v/>
      </c>
      <c r="I325" s="89">
        <f>IF(H325="","",H325*1700)</f>
        <v/>
      </c>
    </row>
    <row r="326" ht="15" customHeight="1" s="64">
      <c r="H326" s="88">
        <f>IF(G326="Day Pass ($5)",5,IF(G326="Half-Day ($3)",3,""))</f>
        <v/>
      </c>
      <c r="I326" s="89">
        <f>IF(H326="","",H326*1700)</f>
        <v/>
      </c>
    </row>
    <row r="327" ht="15" customHeight="1" s="64">
      <c r="H327" s="88">
        <f>IF(G327="Day Pass ($5)",5,IF(G327="Half-Day ($3)",3,""))</f>
        <v/>
      </c>
      <c r="I327" s="89">
        <f>IF(H327="","",H327*1700)</f>
        <v/>
      </c>
    </row>
    <row r="328" ht="15" customHeight="1" s="64">
      <c r="H328" s="88">
        <f>IF(G328="Day Pass ($5)",5,IF(G328="Half-Day ($3)",3,""))</f>
        <v/>
      </c>
      <c r="I328" s="89">
        <f>IF(H328="","",H328*1700)</f>
        <v/>
      </c>
    </row>
    <row r="329" ht="15" customHeight="1" s="64">
      <c r="H329" s="88">
        <f>IF(G329="Day Pass ($5)",5,IF(G329="Half-Day ($3)",3,""))</f>
        <v/>
      </c>
      <c r="I329" s="89">
        <f>IF(H329="","",H329*1700)</f>
        <v/>
      </c>
    </row>
    <row r="330" ht="15" customHeight="1" s="64">
      <c r="H330" s="88">
        <f>IF(G330="Day Pass ($5)",5,IF(G330="Half-Day ($3)",3,""))</f>
        <v/>
      </c>
      <c r="I330" s="89">
        <f>IF(H330="","",H330*1700)</f>
        <v/>
      </c>
    </row>
    <row r="331" ht="15" customHeight="1" s="64">
      <c r="H331" s="88">
        <f>IF(G331="Day Pass ($5)",5,IF(G331="Half-Day ($3)",3,""))</f>
        <v/>
      </c>
      <c r="I331" s="89">
        <f>IF(H331="","",H331*1700)</f>
        <v/>
      </c>
    </row>
    <row r="332" ht="15" customHeight="1" s="64">
      <c r="H332" s="88">
        <f>IF(G332="Day Pass ($5)",5,IF(G332="Half-Day ($3)",3,""))</f>
        <v/>
      </c>
      <c r="I332" s="89">
        <f>IF(H332="","",H332*1700)</f>
        <v/>
      </c>
    </row>
    <row r="333" ht="15" customHeight="1" s="64">
      <c r="H333" s="88">
        <f>IF(G333="Day Pass ($5)",5,IF(G333="Half-Day ($3)",3,""))</f>
        <v/>
      </c>
      <c r="I333" s="89">
        <f>IF(H333="","",H333*1700)</f>
        <v/>
      </c>
    </row>
    <row r="334" ht="15" customHeight="1" s="64">
      <c r="H334" s="88">
        <f>IF(G334="Day Pass ($5)",5,IF(G334="Half-Day ($3)",3,""))</f>
        <v/>
      </c>
      <c r="I334" s="89">
        <f>IF(H334="","",H334*1700)</f>
        <v/>
      </c>
    </row>
    <row r="335" ht="15" customHeight="1" s="64">
      <c r="H335" s="88">
        <f>IF(G335="Day Pass ($5)",5,IF(G335="Half-Day ($3)",3,""))</f>
        <v/>
      </c>
      <c r="I335" s="89">
        <f>IF(H335="","",H335*1700)</f>
        <v/>
      </c>
    </row>
    <row r="336" ht="15" customHeight="1" s="64">
      <c r="H336" s="88">
        <f>IF(G336="Day Pass ($5)",5,IF(G336="Half-Day ($3)",3,""))</f>
        <v/>
      </c>
      <c r="I336" s="89">
        <f>IF(H336="","",H336*1700)</f>
        <v/>
      </c>
    </row>
    <row r="337" ht="15" customHeight="1" s="64">
      <c r="H337" s="88">
        <f>IF(G337="Day Pass ($5)",5,IF(G337="Half-Day ($3)",3,""))</f>
        <v/>
      </c>
      <c r="I337" s="89">
        <f>IF(H337="","",H337*1700)</f>
        <v/>
      </c>
    </row>
    <row r="338" ht="15" customHeight="1" s="64">
      <c r="H338" s="88">
        <f>IF(G338="Day Pass ($5)",5,IF(G338="Half-Day ($3)",3,""))</f>
        <v/>
      </c>
      <c r="I338" s="89">
        <f>IF(H338="","",H338*1700)</f>
        <v/>
      </c>
    </row>
    <row r="339" ht="15" customHeight="1" s="64">
      <c r="H339" s="88">
        <f>IF(G339="Day Pass ($5)",5,IF(G339="Half-Day ($3)",3,""))</f>
        <v/>
      </c>
      <c r="I339" s="89">
        <f>IF(H339="","",H339*1700)</f>
        <v/>
      </c>
    </row>
    <row r="340" ht="15" customHeight="1" s="64">
      <c r="H340" s="88">
        <f>IF(G340="Day Pass ($5)",5,IF(G340="Half-Day ($3)",3,""))</f>
        <v/>
      </c>
      <c r="I340" s="89">
        <f>IF(H340="","",H340*1700)</f>
        <v/>
      </c>
    </row>
    <row r="341" ht="15" customHeight="1" s="64">
      <c r="H341" s="88">
        <f>IF(G341="Day Pass ($5)",5,IF(G341="Half-Day ($3)",3,""))</f>
        <v/>
      </c>
      <c r="I341" s="89">
        <f>IF(H341="","",H341*1700)</f>
        <v/>
      </c>
    </row>
    <row r="342" ht="15" customHeight="1" s="64">
      <c r="H342" s="88">
        <f>IF(G342="Day Pass ($5)",5,IF(G342="Half-Day ($3)",3,""))</f>
        <v/>
      </c>
      <c r="I342" s="89">
        <f>IF(H342="","",H342*1700)</f>
        <v/>
      </c>
    </row>
    <row r="343" ht="15" customHeight="1" s="64">
      <c r="H343" s="88">
        <f>IF(G343="Day Pass ($5)",5,IF(G343="Half-Day ($3)",3,""))</f>
        <v/>
      </c>
      <c r="I343" s="89">
        <f>IF(H343="","",H343*1700)</f>
        <v/>
      </c>
    </row>
    <row r="344" ht="15" customHeight="1" s="64">
      <c r="H344" s="88">
        <f>IF(G344="Day Pass ($5)",5,IF(G344="Half-Day ($3)",3,""))</f>
        <v/>
      </c>
      <c r="I344" s="89">
        <f>IF(H344="","",H344*1700)</f>
        <v/>
      </c>
    </row>
    <row r="345" ht="15" customHeight="1" s="64">
      <c r="H345" s="88">
        <f>IF(G345="Day Pass ($5)",5,IF(G345="Half-Day ($3)",3,""))</f>
        <v/>
      </c>
      <c r="I345" s="89">
        <f>IF(H345="","",H345*1700)</f>
        <v/>
      </c>
    </row>
    <row r="346" ht="15" customHeight="1" s="64">
      <c r="H346" s="88">
        <f>IF(G346="Day Pass ($5)",5,IF(G346="Half-Day ($3)",3,""))</f>
        <v/>
      </c>
      <c r="I346" s="89">
        <f>IF(H346="","",H346*1700)</f>
        <v/>
      </c>
    </row>
    <row r="347" ht="15" customHeight="1" s="64">
      <c r="H347" s="88">
        <f>IF(G347="Day Pass ($5)",5,IF(G347="Half-Day ($3)",3,""))</f>
        <v/>
      </c>
      <c r="I347" s="89">
        <f>IF(H347="","",H347*1700)</f>
        <v/>
      </c>
    </row>
    <row r="348" ht="15" customHeight="1" s="64">
      <c r="H348" s="88">
        <f>IF(G348="Day Pass ($5)",5,IF(G348="Half-Day ($3)",3,""))</f>
        <v/>
      </c>
      <c r="I348" s="89">
        <f>IF(H348="","",H348*1700)</f>
        <v/>
      </c>
    </row>
    <row r="349" ht="15" customHeight="1" s="64">
      <c r="H349" s="88">
        <f>IF(G349="Day Pass ($5)",5,IF(G349="Half-Day ($3)",3,""))</f>
        <v/>
      </c>
      <c r="I349" s="89">
        <f>IF(H349="","",H349*1700)</f>
        <v/>
      </c>
    </row>
    <row r="350" ht="15" customHeight="1" s="64">
      <c r="H350" s="88">
        <f>IF(G350="Day Pass ($5)",5,IF(G350="Half-Day ($3)",3,""))</f>
        <v/>
      </c>
      <c r="I350" s="89">
        <f>IF(H350="","",H350*1700)</f>
        <v/>
      </c>
    </row>
    <row r="351" ht="15" customHeight="1" s="64">
      <c r="H351" s="88">
        <f>IF(G351="Day Pass ($5)",5,IF(G351="Half-Day ($3)",3,""))</f>
        <v/>
      </c>
      <c r="I351" s="89">
        <f>IF(H351="","",H351*1700)</f>
        <v/>
      </c>
    </row>
    <row r="352" ht="15" customHeight="1" s="64">
      <c r="H352" s="88">
        <f>IF(G352="Day Pass ($5)",5,IF(G352="Half-Day ($3)",3,""))</f>
        <v/>
      </c>
      <c r="I352" s="89">
        <f>IF(H352="","",H352*1700)</f>
        <v/>
      </c>
    </row>
    <row r="353" ht="15" customHeight="1" s="64">
      <c r="H353" s="88">
        <f>IF(G353="Day Pass ($5)",5,IF(G353="Half-Day ($3)",3,""))</f>
        <v/>
      </c>
      <c r="I353" s="89">
        <f>IF(H353="","",H353*1700)</f>
        <v/>
      </c>
    </row>
    <row r="354" ht="15" customHeight="1" s="64">
      <c r="H354" s="88">
        <f>IF(G354="Day Pass ($5)",5,IF(G354="Half-Day ($3)",3,""))</f>
        <v/>
      </c>
      <c r="I354" s="89">
        <f>IF(H354="","",H354*1700)</f>
        <v/>
      </c>
    </row>
    <row r="355" ht="15" customHeight="1" s="64">
      <c r="H355" s="88">
        <f>IF(G355="Day Pass ($5)",5,IF(G355="Half-Day ($3)",3,""))</f>
        <v/>
      </c>
      <c r="I355" s="89">
        <f>IF(H355="","",H355*1700)</f>
        <v/>
      </c>
    </row>
    <row r="356" ht="15" customHeight="1" s="64">
      <c r="H356" s="88">
        <f>IF(G356="Day Pass ($5)",5,IF(G356="Half-Day ($3)",3,""))</f>
        <v/>
      </c>
      <c r="I356" s="89">
        <f>IF(H356="","",H356*1700)</f>
        <v/>
      </c>
    </row>
    <row r="357" ht="15" customHeight="1" s="64">
      <c r="H357" s="88">
        <f>IF(G357="Day Pass ($5)",5,IF(G357="Half-Day ($3)",3,""))</f>
        <v/>
      </c>
      <c r="I357" s="89">
        <f>IF(H357="","",H357*1700)</f>
        <v/>
      </c>
    </row>
    <row r="358" ht="15" customHeight="1" s="64">
      <c r="H358" s="88">
        <f>IF(G358="Day Pass ($5)",5,IF(G358="Half-Day ($3)",3,""))</f>
        <v/>
      </c>
      <c r="I358" s="89">
        <f>IF(H358="","",H358*1700)</f>
        <v/>
      </c>
    </row>
    <row r="359" ht="15" customHeight="1" s="64">
      <c r="H359" s="88">
        <f>IF(G359="Day Pass ($5)",5,IF(G359="Half-Day ($3)",3,""))</f>
        <v/>
      </c>
      <c r="I359" s="89">
        <f>IF(H359="","",H359*1700)</f>
        <v/>
      </c>
    </row>
    <row r="360" ht="15" customHeight="1" s="64">
      <c r="H360" s="88">
        <f>IF(G360="Day Pass ($5)",5,IF(G360="Half-Day ($3)",3,""))</f>
        <v/>
      </c>
      <c r="I360" s="89">
        <f>IF(H360="","",H360*1700)</f>
        <v/>
      </c>
    </row>
    <row r="361" ht="15" customHeight="1" s="64">
      <c r="H361" s="88">
        <f>IF(G361="Day Pass ($5)",5,IF(G361="Half-Day ($3)",3,""))</f>
        <v/>
      </c>
      <c r="I361" s="89">
        <f>IF(H361="","",H361*1700)</f>
        <v/>
      </c>
    </row>
    <row r="362" ht="15" customHeight="1" s="64">
      <c r="H362" s="88">
        <f>IF(G362="Day Pass ($5)",5,IF(G362="Half-Day ($3)",3,""))</f>
        <v/>
      </c>
      <c r="I362" s="89">
        <f>IF(H362="","",H362*1700)</f>
        <v/>
      </c>
    </row>
    <row r="363" ht="15" customHeight="1" s="64">
      <c r="H363" s="88">
        <f>IF(G363="Day Pass ($5)",5,IF(G363="Half-Day ($3)",3,""))</f>
        <v/>
      </c>
      <c r="I363" s="89">
        <f>IF(H363="","",H363*1700)</f>
        <v/>
      </c>
    </row>
    <row r="364" ht="15" customHeight="1" s="64">
      <c r="H364" s="88">
        <f>IF(G364="Day Pass ($5)",5,IF(G364="Half-Day ($3)",3,""))</f>
        <v/>
      </c>
      <c r="I364" s="89">
        <f>IF(H364="","",H364*1700)</f>
        <v/>
      </c>
    </row>
    <row r="365" ht="15" customHeight="1" s="64">
      <c r="H365" s="88">
        <f>IF(G365="Day Pass ($5)",5,IF(G365="Half-Day ($3)",3,""))</f>
        <v/>
      </c>
      <c r="I365" s="89">
        <f>IF(H365="","",H365*1700)</f>
        <v/>
      </c>
    </row>
    <row r="366" ht="15" customHeight="1" s="64">
      <c r="H366" s="88">
        <f>IF(G366="Day Pass ($5)",5,IF(G366="Half-Day ($3)",3,""))</f>
        <v/>
      </c>
      <c r="I366" s="89">
        <f>IF(H366="","",H366*1700)</f>
        <v/>
      </c>
    </row>
    <row r="367" ht="15" customHeight="1" s="64">
      <c r="H367" s="88">
        <f>IF(G367="Day Pass ($5)",5,IF(G367="Half-Day ($3)",3,""))</f>
        <v/>
      </c>
      <c r="I367" s="89">
        <f>IF(H367="","",H367*1700)</f>
        <v/>
      </c>
    </row>
    <row r="368" ht="15" customHeight="1" s="64">
      <c r="H368" s="88">
        <f>IF(G368="Day Pass ($5)",5,IF(G368="Half-Day ($3)",3,""))</f>
        <v/>
      </c>
      <c r="I368" s="89">
        <f>IF(H368="","",H368*1700)</f>
        <v/>
      </c>
    </row>
    <row r="369" ht="15" customHeight="1" s="64">
      <c r="H369" s="88">
        <f>IF(G369="Day Pass ($5)",5,IF(G369="Half-Day ($3)",3,""))</f>
        <v/>
      </c>
      <c r="I369" s="89">
        <f>IF(H369="","",H369*1700)</f>
        <v/>
      </c>
    </row>
    <row r="370" ht="15" customHeight="1" s="64">
      <c r="H370" s="88">
        <f>IF(G370="Day Pass ($5)",5,IF(G370="Half-Day ($3)",3,""))</f>
        <v/>
      </c>
      <c r="I370" s="89">
        <f>IF(H370="","",H370*1700)</f>
        <v/>
      </c>
    </row>
    <row r="371" ht="15" customHeight="1" s="64">
      <c r="H371" s="88">
        <f>IF(G371="Day Pass ($5)",5,IF(G371="Half-Day ($3)",3,""))</f>
        <v/>
      </c>
      <c r="I371" s="89">
        <f>IF(H371="","",H371*1700)</f>
        <v/>
      </c>
    </row>
    <row r="372" ht="15" customHeight="1" s="64">
      <c r="H372" s="88">
        <f>IF(G372="Day Pass ($5)",5,IF(G372="Half-Day ($3)",3,""))</f>
        <v/>
      </c>
      <c r="I372" s="89">
        <f>IF(H372="","",H372*1700)</f>
        <v/>
      </c>
    </row>
    <row r="373" ht="15" customHeight="1" s="64">
      <c r="H373" s="88">
        <f>IF(G373="Day Pass ($5)",5,IF(G373="Half-Day ($3)",3,""))</f>
        <v/>
      </c>
      <c r="I373" s="89">
        <f>IF(H373="","",H373*1700)</f>
        <v/>
      </c>
    </row>
    <row r="374" ht="15" customHeight="1" s="64">
      <c r="H374" s="88">
        <f>IF(G374="Day Pass ($5)",5,IF(G374="Half-Day ($3)",3,""))</f>
        <v/>
      </c>
      <c r="I374" s="89">
        <f>IF(H374="","",H374*1700)</f>
        <v/>
      </c>
    </row>
    <row r="375" ht="15" customHeight="1" s="64">
      <c r="H375" s="88">
        <f>IF(G375="Day Pass ($5)",5,IF(G375="Half-Day ($3)",3,""))</f>
        <v/>
      </c>
      <c r="I375" s="89">
        <f>IF(H375="","",H375*1700)</f>
        <v/>
      </c>
    </row>
    <row r="376" ht="15" customHeight="1" s="64">
      <c r="H376" s="88">
        <f>IF(G376="Day Pass ($5)",5,IF(G376="Half-Day ($3)",3,""))</f>
        <v/>
      </c>
      <c r="I376" s="89">
        <f>IF(H376="","",H376*1700)</f>
        <v/>
      </c>
    </row>
    <row r="377" ht="15" customHeight="1" s="64">
      <c r="H377" s="88">
        <f>IF(G377="Day Pass ($5)",5,IF(G377="Half-Day ($3)",3,""))</f>
        <v/>
      </c>
      <c r="I377" s="89">
        <f>IF(H377="","",H377*1700)</f>
        <v/>
      </c>
    </row>
    <row r="378" ht="15" customHeight="1" s="64">
      <c r="H378" s="88">
        <f>IF(G378="Day Pass ($5)",5,IF(G378="Half-Day ($3)",3,""))</f>
        <v/>
      </c>
      <c r="I378" s="89">
        <f>IF(H378="","",H378*1700)</f>
        <v/>
      </c>
    </row>
    <row r="379" ht="15" customHeight="1" s="64">
      <c r="H379" s="88">
        <f>IF(G379="Day Pass ($5)",5,IF(G379="Half-Day ($3)",3,""))</f>
        <v/>
      </c>
      <c r="I379" s="89">
        <f>IF(H379="","",H379*1700)</f>
        <v/>
      </c>
    </row>
    <row r="380" ht="15" customHeight="1" s="64">
      <c r="H380" s="88">
        <f>IF(G380="Day Pass ($5)",5,IF(G380="Half-Day ($3)",3,""))</f>
        <v/>
      </c>
      <c r="I380" s="89">
        <f>IF(H380="","",H380*1700)</f>
        <v/>
      </c>
    </row>
    <row r="381" ht="15" customHeight="1" s="64">
      <c r="H381" s="88">
        <f>IF(G381="Day Pass ($5)",5,IF(G381="Half-Day ($3)",3,""))</f>
        <v/>
      </c>
      <c r="I381" s="89">
        <f>IF(H381="","",H381*1700)</f>
        <v/>
      </c>
    </row>
    <row r="382" ht="15" customHeight="1" s="64">
      <c r="H382" s="88">
        <f>IF(G382="Day Pass ($5)",5,IF(G382="Half-Day ($3)",3,""))</f>
        <v/>
      </c>
      <c r="I382" s="89">
        <f>IF(H382="","",H382*1700)</f>
        <v/>
      </c>
    </row>
    <row r="383" ht="15" customHeight="1" s="64">
      <c r="H383" s="88">
        <f>IF(G383="Day Pass ($5)",5,IF(G383="Half-Day ($3)",3,""))</f>
        <v/>
      </c>
      <c r="I383" s="89">
        <f>IF(H383="","",H383*1700)</f>
        <v/>
      </c>
    </row>
    <row r="384" ht="15" customHeight="1" s="64">
      <c r="H384" s="88">
        <f>IF(G384="Day Pass ($5)",5,IF(G384="Half-Day ($3)",3,""))</f>
        <v/>
      </c>
      <c r="I384" s="89">
        <f>IF(H384="","",H384*1700)</f>
        <v/>
      </c>
    </row>
    <row r="385" ht="15" customHeight="1" s="64">
      <c r="H385" s="88">
        <f>IF(G385="Day Pass ($5)",5,IF(G385="Half-Day ($3)",3,""))</f>
        <v/>
      </c>
      <c r="I385" s="89">
        <f>IF(H385="","",H385*1700)</f>
        <v/>
      </c>
    </row>
    <row r="386" ht="15" customHeight="1" s="64">
      <c r="H386" s="88">
        <f>IF(G386="Day Pass ($5)",5,IF(G386="Half-Day ($3)",3,""))</f>
        <v/>
      </c>
      <c r="I386" s="89">
        <f>IF(H386="","",H386*1700)</f>
        <v/>
      </c>
    </row>
    <row r="387" ht="15" customHeight="1" s="64">
      <c r="H387" s="88">
        <f>IF(G387="Day Pass ($5)",5,IF(G387="Half-Day ($3)",3,""))</f>
        <v/>
      </c>
      <c r="I387" s="89">
        <f>IF(H387="","",H387*1700)</f>
        <v/>
      </c>
    </row>
    <row r="388" ht="15" customHeight="1" s="64">
      <c r="H388" s="88">
        <f>IF(G388="Day Pass ($5)",5,IF(G388="Half-Day ($3)",3,""))</f>
        <v/>
      </c>
      <c r="I388" s="89">
        <f>IF(H388="","",H388*1700)</f>
        <v/>
      </c>
    </row>
    <row r="389" ht="15" customHeight="1" s="64">
      <c r="H389" s="88">
        <f>IF(G389="Day Pass ($5)",5,IF(G389="Half-Day ($3)",3,""))</f>
        <v/>
      </c>
      <c r="I389" s="89">
        <f>IF(H389="","",H389*1700)</f>
        <v/>
      </c>
    </row>
    <row r="390" ht="15" customHeight="1" s="64">
      <c r="H390" s="88">
        <f>IF(G390="Day Pass ($5)",5,IF(G390="Half-Day ($3)",3,""))</f>
        <v/>
      </c>
      <c r="I390" s="89">
        <f>IF(H390="","",H390*1700)</f>
        <v/>
      </c>
    </row>
    <row r="391" ht="15" customHeight="1" s="64">
      <c r="H391" s="88">
        <f>IF(G391="Day Pass ($5)",5,IF(G391="Half-Day ($3)",3,""))</f>
        <v/>
      </c>
      <c r="I391" s="89">
        <f>IF(H391="","",H391*1700)</f>
        <v/>
      </c>
    </row>
    <row r="392" ht="15" customHeight="1" s="64">
      <c r="H392" s="88">
        <f>IF(G392="Day Pass ($5)",5,IF(G392="Half-Day ($3)",3,""))</f>
        <v/>
      </c>
      <c r="I392" s="89">
        <f>IF(H392="","",H392*1700)</f>
        <v/>
      </c>
    </row>
    <row r="393" ht="15" customHeight="1" s="64">
      <c r="H393" s="88">
        <f>IF(G393="Day Pass ($5)",5,IF(G393="Half-Day ($3)",3,""))</f>
        <v/>
      </c>
      <c r="I393" s="89">
        <f>IF(H393="","",H393*1700)</f>
        <v/>
      </c>
    </row>
    <row r="394" ht="15" customHeight="1" s="64">
      <c r="H394" s="88">
        <f>IF(G394="Day Pass ($5)",5,IF(G394="Half-Day ($3)",3,""))</f>
        <v/>
      </c>
      <c r="I394" s="89">
        <f>IF(H394="","",H394*1700)</f>
        <v/>
      </c>
    </row>
    <row r="395" ht="15" customHeight="1" s="64">
      <c r="H395" s="88">
        <f>IF(G395="Day Pass ($5)",5,IF(G395="Half-Day ($3)",3,""))</f>
        <v/>
      </c>
      <c r="I395" s="89">
        <f>IF(H395="","",H395*1700)</f>
        <v/>
      </c>
    </row>
    <row r="396" ht="15" customHeight="1" s="64">
      <c r="H396" s="88">
        <f>IF(G396="Day Pass ($5)",5,IF(G396="Half-Day ($3)",3,""))</f>
        <v/>
      </c>
      <c r="I396" s="89">
        <f>IF(H396="","",H396*1700)</f>
        <v/>
      </c>
    </row>
    <row r="397" ht="15" customHeight="1" s="64">
      <c r="H397" s="88">
        <f>IF(G397="Day Pass ($5)",5,IF(G397="Half-Day ($3)",3,""))</f>
        <v/>
      </c>
      <c r="I397" s="89">
        <f>IF(H397="","",H397*1700)</f>
        <v/>
      </c>
    </row>
    <row r="398" ht="15" customHeight="1" s="64">
      <c r="H398" s="88">
        <f>IF(G398="Day Pass ($5)",5,IF(G398="Half-Day ($3)",3,""))</f>
        <v/>
      </c>
      <c r="I398" s="89">
        <f>IF(H398="","",H398*1700)</f>
        <v/>
      </c>
    </row>
    <row r="399" ht="15" customHeight="1" s="64">
      <c r="H399" s="88">
        <f>IF(G399="Day Pass ($5)",5,IF(G399="Half-Day ($3)",3,""))</f>
        <v/>
      </c>
      <c r="I399" s="89">
        <f>IF(H399="","",H399*1700)</f>
        <v/>
      </c>
    </row>
    <row r="400" ht="15" customHeight="1" s="64">
      <c r="H400" s="88">
        <f>IF(G400="Day Pass ($5)",5,IF(G400="Half-Day ($3)",3,""))</f>
        <v/>
      </c>
      <c r="I400" s="89">
        <f>IF(H400="","",H400*1700)</f>
        <v/>
      </c>
    </row>
    <row r="401" ht="15" customHeight="1" s="64">
      <c r="H401" s="88">
        <f>IF(G401="Day Pass ($5)",5,IF(G401="Half-Day ($3)",3,""))</f>
        <v/>
      </c>
      <c r="I401" s="89">
        <f>IF(H401="","",H401*1700)</f>
        <v/>
      </c>
    </row>
    <row r="402" ht="15" customHeight="1" s="64">
      <c r="H402" s="88">
        <f>IF(G402="Day Pass ($5)",5,IF(G402="Half-Day ($3)",3,""))</f>
        <v/>
      </c>
      <c r="I402" s="89">
        <f>IF(H402="","",H402*1700)</f>
        <v/>
      </c>
    </row>
    <row r="403" ht="15" customHeight="1" s="64">
      <c r="H403" s="88">
        <f>IF(G403="Day Pass ($5)",5,IF(G403="Half-Day ($3)",3,""))</f>
        <v/>
      </c>
      <c r="I403" s="89">
        <f>IF(H403="","",H403*1700)</f>
        <v/>
      </c>
    </row>
    <row r="404" ht="15" customHeight="1" s="64">
      <c r="H404" s="88">
        <f>IF(G404="Day Pass ($5)",5,IF(G404="Half-Day ($3)",3,""))</f>
        <v/>
      </c>
      <c r="I404" s="89">
        <f>IF(H404="","",H404*1700)</f>
        <v/>
      </c>
    </row>
    <row r="405" ht="15" customHeight="1" s="64">
      <c r="H405" s="88">
        <f>IF(G405="Day Pass ($5)",5,IF(G405="Half-Day ($3)",3,""))</f>
        <v/>
      </c>
      <c r="I405" s="89">
        <f>IF(H405="","",H405*1700)</f>
        <v/>
      </c>
    </row>
    <row r="406" ht="15" customHeight="1" s="64">
      <c r="H406" s="88">
        <f>IF(G406="Day Pass ($5)",5,IF(G406="Half-Day ($3)",3,""))</f>
        <v/>
      </c>
      <c r="I406" s="89">
        <f>IF(H406="","",H406*1700)</f>
        <v/>
      </c>
    </row>
    <row r="407" ht="15" customHeight="1" s="64">
      <c r="H407" s="88">
        <f>IF(G407="Day Pass ($5)",5,IF(G407="Half-Day ($3)",3,""))</f>
        <v/>
      </c>
      <c r="I407" s="89">
        <f>IF(H407="","",H407*1700)</f>
        <v/>
      </c>
    </row>
    <row r="408" ht="15" customHeight="1" s="64">
      <c r="H408" s="88">
        <f>IF(G408="Day Pass ($5)",5,IF(G408="Half-Day ($3)",3,""))</f>
        <v/>
      </c>
      <c r="I408" s="89">
        <f>IF(H408="","",H408*1700)</f>
        <v/>
      </c>
    </row>
    <row r="409" ht="15" customHeight="1" s="64">
      <c r="H409" s="88">
        <f>IF(G409="Day Pass ($5)",5,IF(G409="Half-Day ($3)",3,""))</f>
        <v/>
      </c>
      <c r="I409" s="89">
        <f>IF(H409="","",H409*1700)</f>
        <v/>
      </c>
    </row>
    <row r="410" ht="15" customHeight="1" s="64">
      <c r="H410" s="88">
        <f>IF(G410="Day Pass ($5)",5,IF(G410="Half-Day ($3)",3,""))</f>
        <v/>
      </c>
      <c r="I410" s="89">
        <f>IF(H410="","",H410*1700)</f>
        <v/>
      </c>
    </row>
    <row r="411" ht="15" customHeight="1" s="64">
      <c r="H411" s="88">
        <f>IF(G411="Day Pass ($5)",5,IF(G411="Half-Day ($3)",3,""))</f>
        <v/>
      </c>
      <c r="I411" s="89">
        <f>IF(H411="","",H411*1700)</f>
        <v/>
      </c>
    </row>
    <row r="412" ht="15" customHeight="1" s="64">
      <c r="H412" s="88">
        <f>IF(G412="Day Pass ($5)",5,IF(G412="Half-Day ($3)",3,""))</f>
        <v/>
      </c>
      <c r="I412" s="89">
        <f>IF(H412="","",H412*1700)</f>
        <v/>
      </c>
    </row>
    <row r="413" ht="15" customHeight="1" s="64">
      <c r="H413" s="88">
        <f>IF(G413="Day Pass ($5)",5,IF(G413="Half-Day ($3)",3,""))</f>
        <v/>
      </c>
      <c r="I413" s="89">
        <f>IF(H413="","",H413*1700)</f>
        <v/>
      </c>
    </row>
    <row r="414" ht="15" customHeight="1" s="64">
      <c r="H414" s="88">
        <f>IF(G414="Day Pass ($5)",5,IF(G414="Half-Day ($3)",3,""))</f>
        <v/>
      </c>
      <c r="I414" s="89">
        <f>IF(H414="","",H414*1700)</f>
        <v/>
      </c>
    </row>
    <row r="415" ht="15" customHeight="1" s="64">
      <c r="H415" s="88">
        <f>IF(G415="Day Pass ($5)",5,IF(G415="Half-Day ($3)",3,""))</f>
        <v/>
      </c>
      <c r="I415" s="89">
        <f>IF(H415="","",H415*1700)</f>
        <v/>
      </c>
    </row>
    <row r="416" ht="15" customHeight="1" s="64">
      <c r="H416" s="88">
        <f>IF(G416="Day Pass ($5)",5,IF(G416="Half-Day ($3)",3,""))</f>
        <v/>
      </c>
      <c r="I416" s="89">
        <f>IF(H416="","",H416*1700)</f>
        <v/>
      </c>
    </row>
    <row r="417" ht="15" customHeight="1" s="64">
      <c r="H417" s="88">
        <f>IF(G417="Day Pass ($5)",5,IF(G417="Half-Day ($3)",3,""))</f>
        <v/>
      </c>
      <c r="I417" s="89">
        <f>IF(H417="","",H417*1700)</f>
        <v/>
      </c>
    </row>
    <row r="418" ht="15" customHeight="1" s="64">
      <c r="H418" s="88">
        <f>IF(G418="Day Pass ($5)",5,IF(G418="Half-Day ($3)",3,""))</f>
        <v/>
      </c>
      <c r="I418" s="89">
        <f>IF(H418="","",H418*1700)</f>
        <v/>
      </c>
    </row>
    <row r="419" ht="15" customHeight="1" s="64">
      <c r="H419" s="88">
        <f>IF(G419="Day Pass ($5)",5,IF(G419="Half-Day ($3)",3,""))</f>
        <v/>
      </c>
      <c r="I419" s="89">
        <f>IF(H419="","",H419*1700)</f>
        <v/>
      </c>
    </row>
    <row r="420" ht="15" customHeight="1" s="64">
      <c r="H420" s="88">
        <f>IF(G420="Day Pass ($5)",5,IF(G420="Half-Day ($3)",3,""))</f>
        <v/>
      </c>
      <c r="I420" s="89">
        <f>IF(H420="","",H420*1700)</f>
        <v/>
      </c>
    </row>
    <row r="421" ht="15" customHeight="1" s="64">
      <c r="H421" s="88">
        <f>IF(G421="Day Pass ($5)",5,IF(G421="Half-Day ($3)",3,""))</f>
        <v/>
      </c>
      <c r="I421" s="89">
        <f>IF(H421="","",H421*1700)</f>
        <v/>
      </c>
    </row>
    <row r="422" ht="15" customHeight="1" s="64">
      <c r="H422" s="88">
        <f>IF(G422="Day Pass ($5)",5,IF(G422="Half-Day ($3)",3,""))</f>
        <v/>
      </c>
      <c r="I422" s="89">
        <f>IF(H422="","",H422*1700)</f>
        <v/>
      </c>
    </row>
    <row r="423" ht="15" customHeight="1" s="64">
      <c r="H423" s="88">
        <f>IF(G423="Day Pass ($5)",5,IF(G423="Half-Day ($3)",3,""))</f>
        <v/>
      </c>
      <c r="I423" s="89">
        <f>IF(H423="","",H423*1700)</f>
        <v/>
      </c>
    </row>
    <row r="424" ht="15" customHeight="1" s="64">
      <c r="H424" s="88">
        <f>IF(G424="Day Pass ($5)",5,IF(G424="Half-Day ($3)",3,""))</f>
        <v/>
      </c>
      <c r="I424" s="89">
        <f>IF(H424="","",H424*1700)</f>
        <v/>
      </c>
    </row>
    <row r="425" ht="15" customHeight="1" s="64">
      <c r="H425" s="88">
        <f>IF(G425="Day Pass ($5)",5,IF(G425="Half-Day ($3)",3,""))</f>
        <v/>
      </c>
      <c r="I425" s="89">
        <f>IF(H425="","",H425*1700)</f>
        <v/>
      </c>
    </row>
    <row r="426" ht="15" customHeight="1" s="64">
      <c r="H426" s="88">
        <f>IF(G426="Day Pass ($5)",5,IF(G426="Half-Day ($3)",3,""))</f>
        <v/>
      </c>
      <c r="I426" s="89">
        <f>IF(H426="","",H426*1700)</f>
        <v/>
      </c>
    </row>
    <row r="427" ht="15" customHeight="1" s="64">
      <c r="H427" s="88">
        <f>IF(G427="Day Pass ($5)",5,IF(G427="Half-Day ($3)",3,""))</f>
        <v/>
      </c>
      <c r="I427" s="89">
        <f>IF(H427="","",H427*1700)</f>
        <v/>
      </c>
    </row>
    <row r="428" ht="15" customHeight="1" s="64">
      <c r="H428" s="88">
        <f>IF(G428="Day Pass ($5)",5,IF(G428="Half-Day ($3)",3,""))</f>
        <v/>
      </c>
      <c r="I428" s="89">
        <f>IF(H428="","",H428*1700)</f>
        <v/>
      </c>
    </row>
    <row r="429" ht="15" customHeight="1" s="64">
      <c r="H429" s="88">
        <f>IF(G429="Day Pass ($5)",5,IF(G429="Half-Day ($3)",3,""))</f>
        <v/>
      </c>
      <c r="I429" s="89">
        <f>IF(H429="","",H429*1700)</f>
        <v/>
      </c>
    </row>
    <row r="430" ht="15" customHeight="1" s="64">
      <c r="H430" s="88">
        <f>IF(G430="Day Pass ($5)",5,IF(G430="Half-Day ($3)",3,""))</f>
        <v/>
      </c>
      <c r="I430" s="89">
        <f>IF(H430="","",H430*1700)</f>
        <v/>
      </c>
    </row>
    <row r="431" ht="15" customHeight="1" s="64">
      <c r="H431" s="88">
        <f>IF(G431="Day Pass ($5)",5,IF(G431="Half-Day ($3)",3,""))</f>
        <v/>
      </c>
      <c r="I431" s="89">
        <f>IF(H431="","",H431*1700)</f>
        <v/>
      </c>
    </row>
    <row r="432" ht="15" customHeight="1" s="64">
      <c r="H432" s="88">
        <f>IF(G432="Day Pass ($5)",5,IF(G432="Half-Day ($3)",3,""))</f>
        <v/>
      </c>
      <c r="I432" s="89">
        <f>IF(H432="","",H432*1700)</f>
        <v/>
      </c>
    </row>
    <row r="433" ht="15" customHeight="1" s="64">
      <c r="H433" s="88">
        <f>IF(G433="Day Pass ($5)",5,IF(G433="Half-Day ($3)",3,""))</f>
        <v/>
      </c>
      <c r="I433" s="89">
        <f>IF(H433="","",H433*1700)</f>
        <v/>
      </c>
    </row>
    <row r="434" ht="15" customHeight="1" s="64">
      <c r="H434" s="88">
        <f>IF(G434="Day Pass ($5)",5,IF(G434="Half-Day ($3)",3,""))</f>
        <v/>
      </c>
      <c r="I434" s="89">
        <f>IF(H434="","",H434*1700)</f>
        <v/>
      </c>
    </row>
    <row r="435" ht="15" customHeight="1" s="64">
      <c r="H435" s="88">
        <f>IF(G435="Day Pass ($5)",5,IF(G435="Half-Day ($3)",3,""))</f>
        <v/>
      </c>
      <c r="I435" s="89">
        <f>IF(H435="","",H435*1700)</f>
        <v/>
      </c>
    </row>
    <row r="436" ht="15" customHeight="1" s="64">
      <c r="H436" s="88">
        <f>IF(G436="Day Pass ($5)",5,IF(G436="Half-Day ($3)",3,""))</f>
        <v/>
      </c>
      <c r="I436" s="89">
        <f>IF(H436="","",H436*1700)</f>
        <v/>
      </c>
    </row>
    <row r="437" ht="15" customHeight="1" s="64">
      <c r="H437" s="88">
        <f>IF(G437="Day Pass ($5)",5,IF(G437="Half-Day ($3)",3,""))</f>
        <v/>
      </c>
      <c r="I437" s="89">
        <f>IF(H437="","",H437*1700)</f>
        <v/>
      </c>
    </row>
    <row r="438" ht="15" customHeight="1" s="64">
      <c r="H438" s="88">
        <f>IF(G438="Day Pass ($5)",5,IF(G438="Half-Day ($3)",3,""))</f>
        <v/>
      </c>
      <c r="I438" s="89">
        <f>IF(H438="","",H438*1700)</f>
        <v/>
      </c>
    </row>
    <row r="439" ht="15" customHeight="1" s="64">
      <c r="H439" s="88">
        <f>IF(G439="Day Pass ($5)",5,IF(G439="Half-Day ($3)",3,""))</f>
        <v/>
      </c>
      <c r="I439" s="89">
        <f>IF(H439="","",H439*1700)</f>
        <v/>
      </c>
    </row>
    <row r="440" ht="15" customHeight="1" s="64">
      <c r="H440" s="88">
        <f>IF(G440="Day Pass ($5)",5,IF(G440="Half-Day ($3)",3,""))</f>
        <v/>
      </c>
      <c r="I440" s="89">
        <f>IF(H440="","",H440*1700)</f>
        <v/>
      </c>
    </row>
    <row r="441" ht="15" customHeight="1" s="64">
      <c r="H441" s="88">
        <f>IF(G441="Day Pass ($5)",5,IF(G441="Half-Day ($3)",3,""))</f>
        <v/>
      </c>
      <c r="I441" s="89">
        <f>IF(H441="","",H441*1700)</f>
        <v/>
      </c>
    </row>
    <row r="442" ht="15" customHeight="1" s="64">
      <c r="H442" s="88">
        <f>IF(G442="Day Pass ($5)",5,IF(G442="Half-Day ($3)",3,""))</f>
        <v/>
      </c>
      <c r="I442" s="89">
        <f>IF(H442="","",H442*1700)</f>
        <v/>
      </c>
    </row>
    <row r="443" ht="15" customHeight="1" s="64">
      <c r="H443" s="88">
        <f>IF(G443="Day Pass ($5)",5,IF(G443="Half-Day ($3)",3,""))</f>
        <v/>
      </c>
      <c r="I443" s="89">
        <f>IF(H443="","",H443*1700)</f>
        <v/>
      </c>
    </row>
    <row r="444" ht="15" customHeight="1" s="64">
      <c r="H444" s="88">
        <f>IF(G444="Day Pass ($5)",5,IF(G444="Half-Day ($3)",3,""))</f>
        <v/>
      </c>
      <c r="I444" s="89">
        <f>IF(H444="","",H444*1700)</f>
        <v/>
      </c>
    </row>
    <row r="445" ht="15" customHeight="1" s="64">
      <c r="H445" s="88">
        <f>IF(G445="Day Pass ($5)",5,IF(G445="Half-Day ($3)",3,""))</f>
        <v/>
      </c>
      <c r="I445" s="89">
        <f>IF(H445="","",H445*1700)</f>
        <v/>
      </c>
    </row>
    <row r="446" ht="15" customHeight="1" s="64">
      <c r="H446" s="88">
        <f>IF(G446="Day Pass ($5)",5,IF(G446="Half-Day ($3)",3,""))</f>
        <v/>
      </c>
      <c r="I446" s="89">
        <f>IF(H446="","",H446*1700)</f>
        <v/>
      </c>
    </row>
    <row r="447" ht="15" customHeight="1" s="64">
      <c r="H447" s="88">
        <f>IF(G447="Day Pass ($5)",5,IF(G447="Half-Day ($3)",3,""))</f>
        <v/>
      </c>
      <c r="I447" s="89">
        <f>IF(H447="","",H447*1700)</f>
        <v/>
      </c>
    </row>
    <row r="448" ht="15" customHeight="1" s="64">
      <c r="H448" s="88">
        <f>IF(G448="Day Pass ($5)",5,IF(G448="Half-Day ($3)",3,""))</f>
        <v/>
      </c>
      <c r="I448" s="89">
        <f>IF(H448="","",H448*1700)</f>
        <v/>
      </c>
    </row>
    <row r="449" ht="15" customHeight="1" s="64">
      <c r="H449" s="88">
        <f>IF(G449="Day Pass ($5)",5,IF(G449="Half-Day ($3)",3,""))</f>
        <v/>
      </c>
      <c r="I449" s="89">
        <f>IF(H449="","",H449*1700)</f>
        <v/>
      </c>
    </row>
    <row r="450" ht="15" customHeight="1" s="64">
      <c r="H450" s="88">
        <f>IF(G450="Day Pass ($5)",5,IF(G450="Half-Day ($3)",3,""))</f>
        <v/>
      </c>
      <c r="I450" s="89">
        <f>IF(H450="","",H450*1700)</f>
        <v/>
      </c>
    </row>
    <row r="451" ht="15" customHeight="1" s="64">
      <c r="H451" s="88">
        <f>IF(G451="Day Pass ($5)",5,IF(G451="Half-Day ($3)",3,""))</f>
        <v/>
      </c>
      <c r="I451" s="89">
        <f>IF(H451="","",H451*1700)</f>
        <v/>
      </c>
    </row>
    <row r="452" ht="15" customHeight="1" s="64">
      <c r="H452" s="88">
        <f>IF(G452="Day Pass ($5)",5,IF(G452="Half-Day ($3)",3,""))</f>
        <v/>
      </c>
      <c r="I452" s="89">
        <f>IF(H452="","",H452*1700)</f>
        <v/>
      </c>
    </row>
    <row r="453" ht="15" customHeight="1" s="64">
      <c r="H453" s="88">
        <f>IF(G453="Day Pass ($5)",5,IF(G453="Half-Day ($3)",3,""))</f>
        <v/>
      </c>
      <c r="I453" s="89">
        <f>IF(H453="","",H453*1700)</f>
        <v/>
      </c>
    </row>
    <row r="454" ht="15" customHeight="1" s="64">
      <c r="H454" s="88">
        <f>IF(G454="Day Pass ($5)",5,IF(G454="Half-Day ($3)",3,""))</f>
        <v/>
      </c>
      <c r="I454" s="89">
        <f>IF(H454="","",H454*1700)</f>
        <v/>
      </c>
    </row>
    <row r="455" ht="15" customHeight="1" s="64">
      <c r="H455" s="88">
        <f>IF(G455="Day Pass ($5)",5,IF(G455="Half-Day ($3)",3,""))</f>
        <v/>
      </c>
      <c r="I455" s="89">
        <f>IF(H455="","",H455*1700)</f>
        <v/>
      </c>
    </row>
    <row r="456" ht="15" customHeight="1" s="64">
      <c r="H456" s="88">
        <f>IF(G456="Day Pass ($5)",5,IF(G456="Half-Day ($3)",3,""))</f>
        <v/>
      </c>
      <c r="I456" s="89">
        <f>IF(H456="","",H456*1700)</f>
        <v/>
      </c>
    </row>
    <row r="457" ht="15" customHeight="1" s="64">
      <c r="H457" s="88">
        <f>IF(G457="Day Pass ($5)",5,IF(G457="Half-Day ($3)",3,""))</f>
        <v/>
      </c>
      <c r="I457" s="89">
        <f>IF(H457="","",H457*1700)</f>
        <v/>
      </c>
    </row>
    <row r="458" ht="15" customHeight="1" s="64">
      <c r="H458" s="88">
        <f>IF(G458="Day Pass ($5)",5,IF(G458="Half-Day ($3)",3,""))</f>
        <v/>
      </c>
      <c r="I458" s="89">
        <f>IF(H458="","",H458*1700)</f>
        <v/>
      </c>
    </row>
    <row r="459" ht="15" customHeight="1" s="64">
      <c r="H459" s="88">
        <f>IF(G459="Day Pass ($5)",5,IF(G459="Half-Day ($3)",3,""))</f>
        <v/>
      </c>
      <c r="I459" s="89">
        <f>IF(H459="","",H459*1700)</f>
        <v/>
      </c>
    </row>
    <row r="460" ht="15" customHeight="1" s="64">
      <c r="H460" s="88">
        <f>IF(G460="Day Pass ($5)",5,IF(G460="Half-Day ($3)",3,""))</f>
        <v/>
      </c>
      <c r="I460" s="89">
        <f>IF(H460="","",H460*1700)</f>
        <v/>
      </c>
    </row>
    <row r="461" ht="15" customHeight="1" s="64">
      <c r="H461" s="88">
        <f>IF(G461="Day Pass ($5)",5,IF(G461="Half-Day ($3)",3,""))</f>
        <v/>
      </c>
      <c r="I461" s="89">
        <f>IF(H461="","",H461*1700)</f>
        <v/>
      </c>
    </row>
    <row r="462" ht="15" customHeight="1" s="64">
      <c r="H462" s="88">
        <f>IF(G462="Day Pass ($5)",5,IF(G462="Half-Day ($3)",3,""))</f>
        <v/>
      </c>
      <c r="I462" s="89">
        <f>IF(H462="","",H462*1700)</f>
        <v/>
      </c>
    </row>
    <row r="463" ht="15" customHeight="1" s="64">
      <c r="H463" s="88">
        <f>IF(G463="Day Pass ($5)",5,IF(G463="Half-Day ($3)",3,""))</f>
        <v/>
      </c>
      <c r="I463" s="89">
        <f>IF(H463="","",H463*1700)</f>
        <v/>
      </c>
    </row>
    <row r="464" ht="15" customHeight="1" s="64">
      <c r="H464" s="88">
        <f>IF(G464="Day Pass ($5)",5,IF(G464="Half-Day ($3)",3,""))</f>
        <v/>
      </c>
      <c r="I464" s="89">
        <f>IF(H464="","",H464*1700)</f>
        <v/>
      </c>
    </row>
    <row r="465" ht="15" customHeight="1" s="64">
      <c r="H465" s="88">
        <f>IF(G465="Day Pass ($5)",5,IF(G465="Half-Day ($3)",3,""))</f>
        <v/>
      </c>
      <c r="I465" s="89">
        <f>IF(H465="","",H465*1700)</f>
        <v/>
      </c>
    </row>
    <row r="466" ht="15" customHeight="1" s="64">
      <c r="H466" s="88">
        <f>IF(G466="Day Pass ($5)",5,IF(G466="Half-Day ($3)",3,""))</f>
        <v/>
      </c>
      <c r="I466" s="89">
        <f>IF(H466="","",H466*1700)</f>
        <v/>
      </c>
    </row>
    <row r="467" ht="15" customHeight="1" s="64">
      <c r="H467" s="88">
        <f>IF(G467="Day Pass ($5)",5,IF(G467="Half-Day ($3)",3,""))</f>
        <v/>
      </c>
      <c r="I467" s="89">
        <f>IF(H467="","",H467*1700)</f>
        <v/>
      </c>
    </row>
    <row r="468" ht="15" customHeight="1" s="64">
      <c r="H468" s="88">
        <f>IF(G468="Day Pass ($5)",5,IF(G468="Half-Day ($3)",3,""))</f>
        <v/>
      </c>
      <c r="I468" s="89">
        <f>IF(H468="","",H468*1700)</f>
        <v/>
      </c>
    </row>
    <row r="469" ht="15" customHeight="1" s="64">
      <c r="H469" s="88">
        <f>IF(G469="Day Pass ($5)",5,IF(G469="Half-Day ($3)",3,""))</f>
        <v/>
      </c>
      <c r="I469" s="89">
        <f>IF(H469="","",H469*1700)</f>
        <v/>
      </c>
    </row>
    <row r="470" ht="15" customHeight="1" s="64">
      <c r="H470" s="88">
        <f>IF(G470="Day Pass ($5)",5,IF(G470="Half-Day ($3)",3,""))</f>
        <v/>
      </c>
      <c r="I470" s="89">
        <f>IF(H470="","",H470*1700)</f>
        <v/>
      </c>
    </row>
    <row r="471" ht="15" customHeight="1" s="64">
      <c r="H471" s="88">
        <f>IF(G471="Day Pass ($5)",5,IF(G471="Half-Day ($3)",3,""))</f>
        <v/>
      </c>
      <c r="I471" s="89">
        <f>IF(H471="","",H471*1700)</f>
        <v/>
      </c>
    </row>
    <row r="472" ht="15" customHeight="1" s="64">
      <c r="H472" s="88">
        <f>IF(G472="Day Pass ($5)",5,IF(G472="Half-Day ($3)",3,""))</f>
        <v/>
      </c>
      <c r="I472" s="89">
        <f>IF(H472="","",H472*1700)</f>
        <v/>
      </c>
    </row>
    <row r="473" ht="15" customHeight="1" s="64">
      <c r="H473" s="88">
        <f>IF(G473="Day Pass ($5)",5,IF(G473="Half-Day ($3)",3,""))</f>
        <v/>
      </c>
      <c r="I473" s="89">
        <f>IF(H473="","",H473*1700)</f>
        <v/>
      </c>
    </row>
    <row r="474" ht="15" customHeight="1" s="64">
      <c r="H474" s="88">
        <f>IF(G474="Day Pass ($5)",5,IF(G474="Half-Day ($3)",3,""))</f>
        <v/>
      </c>
      <c r="I474" s="89">
        <f>IF(H474="","",H474*1700)</f>
        <v/>
      </c>
    </row>
    <row r="475" ht="15" customHeight="1" s="64">
      <c r="H475" s="88">
        <f>IF(G475="Day Pass ($5)",5,IF(G475="Half-Day ($3)",3,""))</f>
        <v/>
      </c>
      <c r="I475" s="89">
        <f>IF(H475="","",H475*1700)</f>
        <v/>
      </c>
    </row>
    <row r="476" ht="15" customHeight="1" s="64">
      <c r="H476" s="88">
        <f>IF(G476="Day Pass ($5)",5,IF(G476="Half-Day ($3)",3,""))</f>
        <v/>
      </c>
      <c r="I476" s="89">
        <f>IF(H476="","",H476*1700)</f>
        <v/>
      </c>
    </row>
    <row r="477" ht="15" customHeight="1" s="64">
      <c r="H477" s="88">
        <f>IF(G477="Day Pass ($5)",5,IF(G477="Half-Day ($3)",3,""))</f>
        <v/>
      </c>
      <c r="I477" s="89">
        <f>IF(H477="","",H477*1700)</f>
        <v/>
      </c>
    </row>
    <row r="478" ht="15" customHeight="1" s="64">
      <c r="H478" s="88">
        <f>IF(G478="Day Pass ($5)",5,IF(G478="Half-Day ($3)",3,""))</f>
        <v/>
      </c>
      <c r="I478" s="89">
        <f>IF(H478="","",H478*1700)</f>
        <v/>
      </c>
    </row>
    <row r="479" ht="15" customHeight="1" s="64">
      <c r="H479" s="88">
        <f>IF(G479="Day Pass ($5)",5,IF(G479="Half-Day ($3)",3,""))</f>
        <v/>
      </c>
      <c r="I479" s="89">
        <f>IF(H479="","",H479*1700)</f>
        <v/>
      </c>
    </row>
    <row r="480" ht="15" customHeight="1" s="64">
      <c r="H480" s="88">
        <f>IF(G480="Day Pass ($5)",5,IF(G480="Half-Day ($3)",3,""))</f>
        <v/>
      </c>
      <c r="I480" s="89">
        <f>IF(H480="","",H480*1700)</f>
        <v/>
      </c>
    </row>
    <row r="481" ht="15" customHeight="1" s="64">
      <c r="H481" s="88">
        <f>IF(G481="Day Pass ($5)",5,IF(G481="Half-Day ($3)",3,""))</f>
        <v/>
      </c>
      <c r="I481" s="89">
        <f>IF(H481="","",H481*1700)</f>
        <v/>
      </c>
    </row>
    <row r="482" ht="15" customHeight="1" s="64">
      <c r="H482" s="88">
        <f>IF(G482="Day Pass ($5)",5,IF(G482="Half-Day ($3)",3,""))</f>
        <v/>
      </c>
      <c r="I482" s="89">
        <f>IF(H482="","",H482*1700)</f>
        <v/>
      </c>
    </row>
    <row r="483" ht="15" customHeight="1" s="64">
      <c r="H483" s="88">
        <f>IF(G483="Day Pass ($5)",5,IF(G483="Half-Day ($3)",3,""))</f>
        <v/>
      </c>
      <c r="I483" s="89">
        <f>IF(H483="","",H483*1700)</f>
        <v/>
      </c>
    </row>
    <row r="484" ht="15" customHeight="1" s="64">
      <c r="H484" s="88">
        <f>IF(G484="Day Pass ($5)",5,IF(G484="Half-Day ($3)",3,""))</f>
        <v/>
      </c>
      <c r="I484" s="89">
        <f>IF(H484="","",H484*1700)</f>
        <v/>
      </c>
    </row>
    <row r="485" ht="15" customHeight="1" s="64">
      <c r="H485" s="88">
        <f>IF(G485="Day Pass ($5)",5,IF(G485="Half-Day ($3)",3,""))</f>
        <v/>
      </c>
      <c r="I485" s="89">
        <f>IF(H485="","",H485*1700)</f>
        <v/>
      </c>
    </row>
    <row r="486" ht="15" customHeight="1" s="64">
      <c r="H486" s="88">
        <f>IF(G486="Day Pass ($5)",5,IF(G486="Half-Day ($3)",3,""))</f>
        <v/>
      </c>
      <c r="I486" s="89">
        <f>IF(H486="","",H486*1700)</f>
        <v/>
      </c>
    </row>
    <row r="487" ht="15" customHeight="1" s="64">
      <c r="H487" s="88">
        <f>IF(G487="Day Pass ($5)",5,IF(G487="Half-Day ($3)",3,""))</f>
        <v/>
      </c>
      <c r="I487" s="89">
        <f>IF(H487="","",H487*1700)</f>
        <v/>
      </c>
    </row>
    <row r="488" ht="15" customHeight="1" s="64">
      <c r="H488" s="88">
        <f>IF(G488="Day Pass ($5)",5,IF(G488="Half-Day ($3)",3,""))</f>
        <v/>
      </c>
      <c r="I488" s="89">
        <f>IF(H488="","",H488*1700)</f>
        <v/>
      </c>
    </row>
    <row r="489" ht="15" customHeight="1" s="64">
      <c r="H489" s="88">
        <f>IF(G489="Day Pass ($5)",5,IF(G489="Half-Day ($3)",3,""))</f>
        <v/>
      </c>
      <c r="I489" s="89">
        <f>IF(H489="","",H489*1700)</f>
        <v/>
      </c>
    </row>
    <row r="490" ht="15" customHeight="1" s="64">
      <c r="H490" s="88">
        <f>IF(G490="Day Pass ($5)",5,IF(G490="Half-Day ($3)",3,""))</f>
        <v/>
      </c>
      <c r="I490" s="89">
        <f>IF(H490="","",H490*1700)</f>
        <v/>
      </c>
    </row>
    <row r="491" ht="15" customHeight="1" s="64">
      <c r="H491" s="88">
        <f>IF(G491="Day Pass ($5)",5,IF(G491="Half-Day ($3)",3,""))</f>
        <v/>
      </c>
      <c r="I491" s="89">
        <f>IF(H491="","",H491*1700)</f>
        <v/>
      </c>
    </row>
    <row r="492" ht="15" customHeight="1" s="64">
      <c r="H492" s="88">
        <f>IF(G492="Day Pass ($5)",5,IF(G492="Half-Day ($3)",3,""))</f>
        <v/>
      </c>
      <c r="I492" s="89">
        <f>IF(H492="","",H492*1700)</f>
        <v/>
      </c>
    </row>
    <row r="493" ht="15" customHeight="1" s="64">
      <c r="H493" s="88">
        <f>IF(G493="Day Pass ($5)",5,IF(G493="Half-Day ($3)",3,""))</f>
        <v/>
      </c>
      <c r="I493" s="89">
        <f>IF(H493="","",H493*1700)</f>
        <v/>
      </c>
    </row>
    <row r="494" ht="15" customHeight="1" s="64">
      <c r="H494" s="88">
        <f>IF(G494="Day Pass ($5)",5,IF(G494="Half-Day ($3)",3,""))</f>
        <v/>
      </c>
      <c r="I494" s="89">
        <f>IF(H494="","",H494*1700)</f>
        <v/>
      </c>
    </row>
    <row r="495" ht="15" customHeight="1" s="64">
      <c r="H495" s="88">
        <f>IF(G495="Day Pass ($5)",5,IF(G495="Half-Day ($3)",3,""))</f>
        <v/>
      </c>
      <c r="I495" s="89">
        <f>IF(H495="","",H495*1700)</f>
        <v/>
      </c>
    </row>
    <row r="496" ht="15" customHeight="1" s="64">
      <c r="H496" s="88">
        <f>IF(G496="Day Pass ($5)",5,IF(G496="Half-Day ($3)",3,""))</f>
        <v/>
      </c>
      <c r="I496" s="89">
        <f>IF(H496="","",H496*1700)</f>
        <v/>
      </c>
    </row>
    <row r="497" ht="15" customHeight="1" s="64">
      <c r="H497" s="88">
        <f>IF(G497="Day Pass ($5)",5,IF(G497="Half-Day ($3)",3,""))</f>
        <v/>
      </c>
      <c r="I497" s="89">
        <f>IF(H497="","",H497*1700)</f>
        <v/>
      </c>
    </row>
    <row r="498" ht="15" customHeight="1" s="64">
      <c r="H498" s="88">
        <f>IF(G498="Day Pass ($5)",5,IF(G498="Half-Day ($3)",3,""))</f>
        <v/>
      </c>
      <c r="I498" s="89">
        <f>IF(H498="","",H498*1700)</f>
        <v/>
      </c>
    </row>
    <row r="499" ht="15" customHeight="1" s="64">
      <c r="H499" s="88">
        <f>IF(G499="Day Pass ($5)",5,IF(G499="Half-Day ($3)",3,""))</f>
        <v/>
      </c>
      <c r="I499" s="89">
        <f>IF(H499="","",H499*1700)</f>
        <v/>
      </c>
    </row>
    <row r="500" ht="15" customHeight="1" s="64">
      <c r="H500" s="88">
        <f>IF(G500="Day Pass ($5)",5,IF(G500="Half-Day ($3)",3,""))</f>
        <v/>
      </c>
      <c r="I500" s="89">
        <f>IF(H500="","",H500*1700)</f>
        <v/>
      </c>
    </row>
    <row r="501" ht="15" customHeight="1" s="64">
      <c r="H501" s="88">
        <f>IF(G501="Day Pass ($5)",5,IF(G501="Half-Day ($3)",3,""))</f>
        <v/>
      </c>
      <c r="I501" s="89">
        <f>IF(H501="","",H501*1700)</f>
        <v/>
      </c>
    </row>
    <row r="502" ht="15" customHeight="1" s="64">
      <c r="H502" s="88">
        <f>IF(G502="Day Pass ($5)",5,IF(G502="Half-Day ($3)",3,""))</f>
        <v/>
      </c>
      <c r="I502" s="89">
        <f>IF(H502="","",H502*1700)</f>
        <v/>
      </c>
    </row>
    <row r="503" ht="15" customHeight="1" s="64">
      <c r="H503" s="88">
        <f>IF(G503="Day Pass ($5)",5,IF(G503="Half-Day ($3)",3,""))</f>
        <v/>
      </c>
      <c r="I503" s="89">
        <f>IF(H503="","",H503*1700)</f>
        <v/>
      </c>
    </row>
    <row r="504" ht="15" customHeight="1" s="64">
      <c r="H504" s="88">
        <f>IF(G504="Day Pass ($5)",5,IF(G504="Half-Day ($3)",3,""))</f>
        <v/>
      </c>
      <c r="I504" s="89">
        <f>IF(H504="","",H504*1700)</f>
        <v/>
      </c>
    </row>
    <row r="505" ht="15" customHeight="1" s="64">
      <c r="H505" s="88">
        <f>IF(G505="Day Pass ($5)",5,IF(G505="Half-Day ($3)",3,""))</f>
        <v/>
      </c>
      <c r="I505" s="89">
        <f>IF(H505="","",H505*1700)</f>
        <v/>
      </c>
    </row>
    <row r="506" ht="15" customHeight="1" s="64">
      <c r="H506" s="88">
        <f>IF(G506="Day Pass ($5)",5,IF(G506="Half-Day ($3)",3,""))</f>
        <v/>
      </c>
      <c r="I506" s="89">
        <f>IF(H506="","",H506*1700)</f>
        <v/>
      </c>
    </row>
    <row r="507" ht="15" customHeight="1" s="64">
      <c r="H507" s="88">
        <f>IF(G507="Day Pass ($5)",5,IF(G507="Half-Day ($3)",3,""))</f>
        <v/>
      </c>
      <c r="I507" s="89">
        <f>IF(H507="","",H507*1700)</f>
        <v/>
      </c>
    </row>
    <row r="508" ht="15" customHeight="1" s="64">
      <c r="H508" s="88">
        <f>IF(G508="Day Pass ($5)",5,IF(G508="Half-Day ($3)",3,""))</f>
        <v/>
      </c>
      <c r="I508" s="89">
        <f>IF(H508="","",H508*1700)</f>
        <v/>
      </c>
    </row>
    <row r="509" ht="15" customHeight="1" s="64">
      <c r="H509" s="88">
        <f>IF(G509="Day Pass ($5)",5,IF(G509="Half-Day ($3)",3,""))</f>
        <v/>
      </c>
      <c r="I509" s="89">
        <f>IF(H509="","",H509*1700)</f>
        <v/>
      </c>
    </row>
    <row r="510" ht="15" customHeight="1" s="64">
      <c r="H510" s="88">
        <f>IF(G510="Day Pass ($5)",5,IF(G510="Half-Day ($3)",3,""))</f>
        <v/>
      </c>
      <c r="I510" s="89">
        <f>IF(H510="","",H510*1700)</f>
        <v/>
      </c>
    </row>
    <row r="511" ht="15" customHeight="1" s="64">
      <c r="H511" s="88">
        <f>IF(G511="Day Pass ($5)",5,IF(G511="Half-Day ($3)",3,""))</f>
        <v/>
      </c>
      <c r="I511" s="89">
        <f>IF(H511="","",H511*1700)</f>
        <v/>
      </c>
    </row>
    <row r="512" ht="15" customHeight="1" s="64">
      <c r="H512" s="88">
        <f>IF(G512="Day Pass ($5)",5,IF(G512="Half-Day ($3)",3,""))</f>
        <v/>
      </c>
      <c r="I512" s="89">
        <f>IF(H512="","",H512*1700)</f>
        <v/>
      </c>
    </row>
    <row r="513" ht="15" customHeight="1" s="64">
      <c r="H513" s="88">
        <f>IF(G513="Day Pass ($5)",5,IF(G513="Half-Day ($3)",3,""))</f>
        <v/>
      </c>
      <c r="I513" s="89">
        <f>IF(H513="","",H513*1700)</f>
        <v/>
      </c>
    </row>
    <row r="514" ht="15" customHeight="1" s="64">
      <c r="H514" s="88">
        <f>IF(G514="Day Pass ($5)",5,IF(G514="Half-Day ($3)",3,""))</f>
        <v/>
      </c>
      <c r="I514" s="89">
        <f>IF(H514="","",H514*1700)</f>
        <v/>
      </c>
    </row>
    <row r="515" ht="15" customHeight="1" s="64">
      <c r="H515" s="88">
        <f>IF(G515="Day Pass ($5)",5,IF(G515="Half-Day ($3)",3,""))</f>
        <v/>
      </c>
      <c r="I515" s="89">
        <f>IF(H515="","",H515*1700)</f>
        <v/>
      </c>
    </row>
    <row r="516" ht="15" customHeight="1" s="64">
      <c r="H516" s="88">
        <f>IF(G516="Day Pass ($5)",5,IF(G516="Half-Day ($3)",3,""))</f>
        <v/>
      </c>
      <c r="I516" s="89">
        <f>IF(H516="","",H516*1700)</f>
        <v/>
      </c>
    </row>
    <row r="517" ht="15" customHeight="1" s="64">
      <c r="H517" s="88">
        <f>IF(G517="Day Pass ($5)",5,IF(G517="Half-Day ($3)",3,""))</f>
        <v/>
      </c>
      <c r="I517" s="89">
        <f>IF(H517="","",H517*1700)</f>
        <v/>
      </c>
    </row>
    <row r="518" ht="15" customHeight="1" s="64">
      <c r="H518" s="88">
        <f>IF(G518="Day Pass ($5)",5,IF(G518="Half-Day ($3)",3,""))</f>
        <v/>
      </c>
      <c r="I518" s="89">
        <f>IF(H518="","",H518*1700)</f>
        <v/>
      </c>
    </row>
    <row r="519" ht="15" customHeight="1" s="64">
      <c r="H519" s="88">
        <f>IF(G519="Day Pass ($5)",5,IF(G519="Half-Day ($3)",3,""))</f>
        <v/>
      </c>
      <c r="I519" s="89">
        <f>IF(H519="","",H519*1700)</f>
        <v/>
      </c>
    </row>
    <row r="520" ht="15" customHeight="1" s="64">
      <c r="H520" s="88">
        <f>IF(G520="Day Pass ($5)",5,IF(G520="Half-Day ($3)",3,""))</f>
        <v/>
      </c>
      <c r="I520" s="89">
        <f>IF(H520="","",H520*1700)</f>
        <v/>
      </c>
    </row>
    <row r="521" ht="15" customHeight="1" s="64">
      <c r="H521" s="88">
        <f>IF(G521="Day Pass ($5)",5,IF(G521="Half-Day ($3)",3,""))</f>
        <v/>
      </c>
      <c r="I521" s="89">
        <f>IF(H521="","",H521*1700)</f>
        <v/>
      </c>
    </row>
    <row r="522" ht="15" customHeight="1" s="64">
      <c r="H522" s="88">
        <f>IF(G522="Day Pass ($5)",5,IF(G522="Half-Day ($3)",3,""))</f>
        <v/>
      </c>
      <c r="I522" s="89">
        <f>IF(H522="","",H522*1700)</f>
        <v/>
      </c>
    </row>
    <row r="523" ht="15" customHeight="1" s="64">
      <c r="H523" s="88">
        <f>IF(G523="Day Pass ($5)",5,IF(G523="Half-Day ($3)",3,""))</f>
        <v/>
      </c>
      <c r="I523" s="89">
        <f>IF(H523="","",H523*1700)</f>
        <v/>
      </c>
    </row>
    <row r="524" ht="15" customHeight="1" s="64">
      <c r="H524" s="88">
        <f>IF(G524="Day Pass ($5)",5,IF(G524="Half-Day ($3)",3,""))</f>
        <v/>
      </c>
      <c r="I524" s="89">
        <f>IF(H524="","",H524*1700)</f>
        <v/>
      </c>
    </row>
    <row r="525" ht="15" customHeight="1" s="64">
      <c r="H525" s="88">
        <f>IF(G525="Day Pass ($5)",5,IF(G525="Half-Day ($3)",3,""))</f>
        <v/>
      </c>
      <c r="I525" s="89">
        <f>IF(H525="","",H525*1700)</f>
        <v/>
      </c>
    </row>
    <row r="526" ht="15" customHeight="1" s="64">
      <c r="H526" s="88">
        <f>IF(G526="Day Pass ($5)",5,IF(G526="Half-Day ($3)",3,""))</f>
        <v/>
      </c>
      <c r="I526" s="89">
        <f>IF(H526="","",H526*1700)</f>
        <v/>
      </c>
    </row>
    <row r="527" ht="15" customHeight="1" s="64">
      <c r="H527" s="88">
        <f>IF(G527="Day Pass ($5)",5,IF(G527="Half-Day ($3)",3,""))</f>
        <v/>
      </c>
      <c r="I527" s="89">
        <f>IF(H527="","",H527*1700)</f>
        <v/>
      </c>
    </row>
    <row r="528" ht="15" customHeight="1" s="64">
      <c r="H528" s="88">
        <f>IF(G528="Day Pass ($5)",5,IF(G528="Half-Day ($3)",3,""))</f>
        <v/>
      </c>
      <c r="I528" s="89">
        <f>IF(H528="","",H528*1700)</f>
        <v/>
      </c>
    </row>
    <row r="529" ht="15" customHeight="1" s="64">
      <c r="H529" s="88">
        <f>IF(G529="Day Pass ($5)",5,IF(G529="Half-Day ($3)",3,""))</f>
        <v/>
      </c>
      <c r="I529" s="89">
        <f>IF(H529="","",H529*1700)</f>
        <v/>
      </c>
    </row>
    <row r="530" ht="15" customHeight="1" s="64">
      <c r="H530" s="88">
        <f>IF(G530="Day Pass ($5)",5,IF(G530="Half-Day ($3)",3,""))</f>
        <v/>
      </c>
      <c r="I530" s="89">
        <f>IF(H530="","",H530*1700)</f>
        <v/>
      </c>
    </row>
    <row r="531" ht="15" customHeight="1" s="64">
      <c r="H531" s="88">
        <f>IF(G531="Day Pass ($5)",5,IF(G531="Half-Day ($3)",3,""))</f>
        <v/>
      </c>
      <c r="I531" s="89">
        <f>IF(H531="","",H531*1700)</f>
        <v/>
      </c>
    </row>
    <row r="532" ht="15" customHeight="1" s="64">
      <c r="H532" s="88">
        <f>IF(G532="Day Pass ($5)",5,IF(G532="Half-Day ($3)",3,""))</f>
        <v/>
      </c>
      <c r="I532" s="89">
        <f>IF(H532="","",H532*1700)</f>
        <v/>
      </c>
    </row>
    <row r="533" ht="15" customHeight="1" s="64">
      <c r="H533" s="88">
        <f>IF(G533="Day Pass ($5)",5,IF(G533="Half-Day ($3)",3,""))</f>
        <v/>
      </c>
      <c r="I533" s="89">
        <f>IF(H533="","",H533*1700)</f>
        <v/>
      </c>
    </row>
    <row r="534" ht="15" customHeight="1" s="64">
      <c r="H534" s="88">
        <f>IF(G534="Day Pass ($5)",5,IF(G534="Half-Day ($3)",3,""))</f>
        <v/>
      </c>
      <c r="I534" s="89">
        <f>IF(H534="","",H534*1700)</f>
        <v/>
      </c>
    </row>
    <row r="535" ht="15" customHeight="1" s="64">
      <c r="H535" s="88">
        <f>IF(G535="Day Pass ($5)",5,IF(G535="Half-Day ($3)",3,""))</f>
        <v/>
      </c>
      <c r="I535" s="89">
        <f>IF(H535="","",H535*1700)</f>
        <v/>
      </c>
    </row>
    <row r="536" ht="15" customHeight="1" s="64">
      <c r="H536" s="88">
        <f>IF(G536="Day Pass ($5)",5,IF(G536="Half-Day ($3)",3,""))</f>
        <v/>
      </c>
      <c r="I536" s="89">
        <f>IF(H536="","",H536*1700)</f>
        <v/>
      </c>
    </row>
    <row r="537" ht="15" customHeight="1" s="64">
      <c r="H537" s="88">
        <f>IF(G537="Day Pass ($5)",5,IF(G537="Half-Day ($3)",3,""))</f>
        <v/>
      </c>
      <c r="I537" s="89">
        <f>IF(H537="","",H537*1700)</f>
        <v/>
      </c>
    </row>
    <row r="538" ht="15" customHeight="1" s="64">
      <c r="H538" s="88">
        <f>IF(G538="Day Pass ($5)",5,IF(G538="Half-Day ($3)",3,""))</f>
        <v/>
      </c>
      <c r="I538" s="89">
        <f>IF(H538="","",H538*1700)</f>
        <v/>
      </c>
    </row>
    <row r="539" ht="15" customHeight="1" s="64">
      <c r="H539" s="88">
        <f>IF(G539="Day Pass ($5)",5,IF(G539="Half-Day ($3)",3,""))</f>
        <v/>
      </c>
      <c r="I539" s="89">
        <f>IF(H539="","",H539*1700)</f>
        <v/>
      </c>
    </row>
    <row r="540" ht="15" customHeight="1" s="64">
      <c r="H540" s="88">
        <f>IF(G540="Day Pass ($5)",5,IF(G540="Half-Day ($3)",3,""))</f>
        <v/>
      </c>
      <c r="I540" s="89">
        <f>IF(H540="","",H540*1700)</f>
        <v/>
      </c>
    </row>
    <row r="541" ht="15" customHeight="1" s="64">
      <c r="H541" s="88">
        <f>IF(G541="Day Pass ($5)",5,IF(G541="Half-Day ($3)",3,""))</f>
        <v/>
      </c>
      <c r="I541" s="89">
        <f>IF(H541="","",H541*1700)</f>
        <v/>
      </c>
    </row>
    <row r="542" ht="15" customHeight="1" s="64">
      <c r="H542" s="88">
        <f>IF(G542="Day Pass ($5)",5,IF(G542="Half-Day ($3)",3,""))</f>
        <v/>
      </c>
      <c r="I542" s="89">
        <f>IF(H542="","",H542*1700)</f>
        <v/>
      </c>
    </row>
    <row r="543" ht="15" customHeight="1" s="64">
      <c r="H543" s="88">
        <f>IF(G543="Day Pass ($5)",5,IF(G543="Half-Day ($3)",3,""))</f>
        <v/>
      </c>
      <c r="I543" s="89">
        <f>IF(H543="","",H543*1700)</f>
        <v/>
      </c>
    </row>
    <row r="544" ht="15" customHeight="1" s="64">
      <c r="H544" s="88">
        <f>IF(G544="Day Pass ($5)",5,IF(G544="Half-Day ($3)",3,""))</f>
        <v/>
      </c>
      <c r="I544" s="89">
        <f>IF(H544="","",H544*1700)</f>
        <v/>
      </c>
    </row>
    <row r="545" ht="15" customHeight="1" s="64">
      <c r="H545" s="88">
        <f>IF(G545="Day Pass ($5)",5,IF(G545="Half-Day ($3)",3,""))</f>
        <v/>
      </c>
      <c r="I545" s="89">
        <f>IF(H545="","",H545*1700)</f>
        <v/>
      </c>
    </row>
    <row r="546" ht="15" customHeight="1" s="64">
      <c r="H546" s="88">
        <f>IF(G546="Day Pass ($5)",5,IF(G546="Half-Day ($3)",3,""))</f>
        <v/>
      </c>
      <c r="I546" s="89">
        <f>IF(H546="","",H546*1700)</f>
        <v/>
      </c>
    </row>
    <row r="547" ht="15" customHeight="1" s="64">
      <c r="H547" s="88">
        <f>IF(G547="Day Pass ($5)",5,IF(G547="Half-Day ($3)",3,""))</f>
        <v/>
      </c>
      <c r="I547" s="89">
        <f>IF(H547="","",H547*1700)</f>
        <v/>
      </c>
    </row>
    <row r="548" ht="15" customHeight="1" s="64">
      <c r="H548" s="88">
        <f>IF(G548="Day Pass ($5)",5,IF(G548="Half-Day ($3)",3,""))</f>
        <v/>
      </c>
      <c r="I548" s="89">
        <f>IF(H548="","",H548*1700)</f>
        <v/>
      </c>
    </row>
    <row r="549" ht="15" customHeight="1" s="64">
      <c r="H549" s="88">
        <f>IF(G549="Day Pass ($5)",5,IF(G549="Half-Day ($3)",3,""))</f>
        <v/>
      </c>
      <c r="I549" s="89">
        <f>IF(H549="","",H549*1700)</f>
        <v/>
      </c>
    </row>
    <row r="550" ht="15" customHeight="1" s="64">
      <c r="H550" s="88">
        <f>IF(G550="Day Pass ($5)",5,IF(G550="Half-Day ($3)",3,""))</f>
        <v/>
      </c>
      <c r="I550" s="89">
        <f>IF(H550="","",H550*1700)</f>
        <v/>
      </c>
    </row>
    <row r="551" ht="15" customHeight="1" s="64">
      <c r="H551" s="88">
        <f>IF(G551="Day Pass ($5)",5,IF(G551="Half-Day ($3)",3,""))</f>
        <v/>
      </c>
      <c r="I551" s="89">
        <f>IF(H551="","",H551*1700)</f>
        <v/>
      </c>
    </row>
    <row r="552" ht="15" customHeight="1" s="64">
      <c r="H552" s="88">
        <f>IF(G552="Day Pass ($5)",5,IF(G552="Half-Day ($3)",3,""))</f>
        <v/>
      </c>
      <c r="I552" s="89">
        <f>IF(H552="","",H552*1700)</f>
        <v/>
      </c>
    </row>
    <row r="553" ht="15" customHeight="1" s="64">
      <c r="H553" s="88">
        <f>IF(G553="Day Pass ($5)",5,IF(G553="Half-Day ($3)",3,""))</f>
        <v/>
      </c>
      <c r="I553" s="89">
        <f>IF(H553="","",H553*1700)</f>
        <v/>
      </c>
    </row>
    <row r="554" ht="15" customHeight="1" s="64">
      <c r="H554" s="88">
        <f>IF(G554="Day Pass ($5)",5,IF(G554="Half-Day ($3)",3,""))</f>
        <v/>
      </c>
      <c r="I554" s="89">
        <f>IF(H554="","",H554*1700)</f>
        <v/>
      </c>
    </row>
    <row r="555" ht="15" customHeight="1" s="64">
      <c r="H555" s="88">
        <f>IF(G555="Day Pass ($5)",5,IF(G555="Half-Day ($3)",3,""))</f>
        <v/>
      </c>
      <c r="I555" s="89">
        <f>IF(H555="","",H555*1700)</f>
        <v/>
      </c>
    </row>
    <row r="556" ht="15" customHeight="1" s="64">
      <c r="H556" s="88">
        <f>IF(G556="Day Pass ($5)",5,IF(G556="Half-Day ($3)",3,""))</f>
        <v/>
      </c>
      <c r="I556" s="89">
        <f>IF(H556="","",H556*1700)</f>
        <v/>
      </c>
    </row>
    <row r="557" ht="15" customHeight="1" s="64">
      <c r="H557" s="88">
        <f>IF(G557="Day Pass ($5)",5,IF(G557="Half-Day ($3)",3,""))</f>
        <v/>
      </c>
      <c r="I557" s="89">
        <f>IF(H557="","",H557*1700)</f>
        <v/>
      </c>
    </row>
    <row r="558" ht="15" customHeight="1" s="64">
      <c r="H558" s="88">
        <f>IF(G558="Day Pass ($5)",5,IF(G558="Half-Day ($3)",3,""))</f>
        <v/>
      </c>
      <c r="I558" s="89">
        <f>IF(H558="","",H558*1700)</f>
        <v/>
      </c>
    </row>
    <row r="559" ht="15" customHeight="1" s="64">
      <c r="H559" s="88">
        <f>IF(G559="Day Pass ($5)",5,IF(G559="Half-Day ($3)",3,""))</f>
        <v/>
      </c>
      <c r="I559" s="89">
        <f>IF(H559="","",H559*1700)</f>
        <v/>
      </c>
    </row>
    <row r="560" ht="15" customHeight="1" s="64">
      <c r="H560" s="88">
        <f>IF(G560="Day Pass ($5)",5,IF(G560="Half-Day ($3)",3,""))</f>
        <v/>
      </c>
      <c r="I560" s="89">
        <f>IF(H560="","",H560*1700)</f>
        <v/>
      </c>
    </row>
    <row r="561" ht="15" customHeight="1" s="64">
      <c r="H561" s="88">
        <f>IF(G561="Day Pass ($5)",5,IF(G561="Half-Day ($3)",3,""))</f>
        <v/>
      </c>
      <c r="I561" s="89">
        <f>IF(H561="","",H561*1700)</f>
        <v/>
      </c>
    </row>
    <row r="562" ht="15" customHeight="1" s="64">
      <c r="H562" s="88">
        <f>IF(G562="Day Pass ($5)",5,IF(G562="Half-Day ($3)",3,""))</f>
        <v/>
      </c>
      <c r="I562" s="89">
        <f>IF(H562="","",H562*1700)</f>
        <v/>
      </c>
    </row>
    <row r="563" ht="15" customHeight="1" s="64">
      <c r="H563" s="88">
        <f>IF(G563="Day Pass ($5)",5,IF(G563="Half-Day ($3)",3,""))</f>
        <v/>
      </c>
      <c r="I563" s="89">
        <f>IF(H563="","",H563*1700)</f>
        <v/>
      </c>
    </row>
    <row r="564" ht="15" customHeight="1" s="64">
      <c r="H564" s="88">
        <f>IF(G564="Day Pass ($5)",5,IF(G564="Half-Day ($3)",3,""))</f>
        <v/>
      </c>
      <c r="I564" s="89">
        <f>IF(H564="","",H564*1700)</f>
        <v/>
      </c>
    </row>
    <row r="565" ht="15" customHeight="1" s="64">
      <c r="H565" s="88">
        <f>IF(G565="Day Pass ($5)",5,IF(G565="Half-Day ($3)",3,""))</f>
        <v/>
      </c>
      <c r="I565" s="89">
        <f>IF(H565="","",H565*1700)</f>
        <v/>
      </c>
    </row>
    <row r="566" ht="15" customHeight="1" s="64">
      <c r="H566" s="88">
        <f>IF(G566="Day Pass ($5)",5,IF(G566="Half-Day ($3)",3,""))</f>
        <v/>
      </c>
      <c r="I566" s="89">
        <f>IF(H566="","",H566*1700)</f>
        <v/>
      </c>
    </row>
    <row r="567" ht="15" customHeight="1" s="64">
      <c r="H567" s="88">
        <f>IF(G567="Day Pass ($5)",5,IF(G567="Half-Day ($3)",3,""))</f>
        <v/>
      </c>
      <c r="I567" s="89">
        <f>IF(H567="","",H567*1700)</f>
        <v/>
      </c>
    </row>
    <row r="568" ht="15" customHeight="1" s="64">
      <c r="H568" s="88">
        <f>IF(G568="Day Pass ($5)",5,IF(G568="Half-Day ($3)",3,""))</f>
        <v/>
      </c>
      <c r="I568" s="89">
        <f>IF(H568="","",H568*1700)</f>
        <v/>
      </c>
    </row>
    <row r="569" ht="15" customHeight="1" s="64">
      <c r="H569" s="88">
        <f>IF(G569="Day Pass ($5)",5,IF(G569="Half-Day ($3)",3,""))</f>
        <v/>
      </c>
      <c r="I569" s="89">
        <f>IF(H569="","",H569*1700)</f>
        <v/>
      </c>
    </row>
    <row r="570" ht="15" customHeight="1" s="64">
      <c r="H570" s="88">
        <f>IF(G570="Day Pass ($5)",5,IF(G570="Half-Day ($3)",3,""))</f>
        <v/>
      </c>
      <c r="I570" s="89">
        <f>IF(H570="","",H570*1700)</f>
        <v/>
      </c>
    </row>
    <row r="571" ht="15" customHeight="1" s="64">
      <c r="H571" s="88">
        <f>IF(G571="Day Pass ($5)",5,IF(G571="Half-Day ($3)",3,""))</f>
        <v/>
      </c>
      <c r="I571" s="89">
        <f>IF(H571="","",H571*1700)</f>
        <v/>
      </c>
    </row>
    <row r="572" ht="15" customHeight="1" s="64">
      <c r="H572" s="88">
        <f>IF(G572="Day Pass ($5)",5,IF(G572="Half-Day ($3)",3,""))</f>
        <v/>
      </c>
      <c r="I572" s="89">
        <f>IF(H572="","",H572*1700)</f>
        <v/>
      </c>
    </row>
    <row r="573" ht="15" customHeight="1" s="64">
      <c r="H573" s="88">
        <f>IF(G573="Day Pass ($5)",5,IF(G573="Half-Day ($3)",3,""))</f>
        <v/>
      </c>
      <c r="I573" s="89">
        <f>IF(H573="","",H573*1700)</f>
        <v/>
      </c>
    </row>
    <row r="574" ht="15" customHeight="1" s="64">
      <c r="H574" s="88">
        <f>IF(G574="Day Pass ($5)",5,IF(G574="Half-Day ($3)",3,""))</f>
        <v/>
      </c>
      <c r="I574" s="89">
        <f>IF(H574="","",H574*1700)</f>
        <v/>
      </c>
    </row>
    <row r="575" ht="15" customHeight="1" s="64">
      <c r="H575" s="88">
        <f>IF(G575="Day Pass ($5)",5,IF(G575="Half-Day ($3)",3,""))</f>
        <v/>
      </c>
      <c r="I575" s="89">
        <f>IF(H575="","",H575*1700)</f>
        <v/>
      </c>
    </row>
    <row r="576" ht="15" customHeight="1" s="64">
      <c r="H576" s="88">
        <f>IF(G576="Day Pass ($5)",5,IF(G576="Half-Day ($3)",3,""))</f>
        <v/>
      </c>
      <c r="I576" s="89">
        <f>IF(H576="","",H576*1700)</f>
        <v/>
      </c>
    </row>
    <row r="577" ht="15" customHeight="1" s="64">
      <c r="H577" s="88">
        <f>IF(G577="Day Pass ($5)",5,IF(G577="Half-Day ($3)",3,""))</f>
        <v/>
      </c>
      <c r="I577" s="89">
        <f>IF(H577="","",H577*1700)</f>
        <v/>
      </c>
    </row>
    <row r="578" ht="15" customHeight="1" s="64">
      <c r="H578" s="88">
        <f>IF(G578="Day Pass ($5)",5,IF(G578="Half-Day ($3)",3,""))</f>
        <v/>
      </c>
      <c r="I578" s="89">
        <f>IF(H578="","",H578*1700)</f>
        <v/>
      </c>
    </row>
    <row r="579" ht="15" customHeight="1" s="64">
      <c r="H579" s="88">
        <f>IF(G579="Day Pass ($5)",5,IF(G579="Half-Day ($3)",3,""))</f>
        <v/>
      </c>
      <c r="I579" s="89">
        <f>IF(H579="","",H579*1700)</f>
        <v/>
      </c>
    </row>
    <row r="580" ht="15" customHeight="1" s="64">
      <c r="H580" s="88">
        <f>IF(G580="Day Pass ($5)",5,IF(G580="Half-Day ($3)",3,""))</f>
        <v/>
      </c>
      <c r="I580" s="89">
        <f>IF(H580="","",H580*1700)</f>
        <v/>
      </c>
    </row>
    <row r="581" ht="15" customHeight="1" s="64">
      <c r="H581" s="88">
        <f>IF(G581="Day Pass ($5)",5,IF(G581="Half-Day ($3)",3,""))</f>
        <v/>
      </c>
      <c r="I581" s="89">
        <f>IF(H581="","",H581*1700)</f>
        <v/>
      </c>
    </row>
    <row r="582" ht="15" customHeight="1" s="64">
      <c r="H582" s="88">
        <f>IF(G582="Day Pass ($5)",5,IF(G582="Half-Day ($3)",3,""))</f>
        <v/>
      </c>
      <c r="I582" s="89">
        <f>IF(H582="","",H582*1700)</f>
        <v/>
      </c>
    </row>
    <row r="583" ht="15" customHeight="1" s="64">
      <c r="H583" s="88">
        <f>IF(G583="Day Pass ($5)",5,IF(G583="Half-Day ($3)",3,""))</f>
        <v/>
      </c>
      <c r="I583" s="89">
        <f>IF(H583="","",H583*1700)</f>
        <v/>
      </c>
    </row>
    <row r="584" ht="15" customHeight="1" s="64">
      <c r="H584" s="88">
        <f>IF(G584="Day Pass ($5)",5,IF(G584="Half-Day ($3)",3,""))</f>
        <v/>
      </c>
      <c r="I584" s="89">
        <f>IF(H584="","",H584*1700)</f>
        <v/>
      </c>
    </row>
    <row r="585" ht="15" customHeight="1" s="64">
      <c r="H585" s="88">
        <f>IF(G585="Day Pass ($5)",5,IF(G585="Half-Day ($3)",3,""))</f>
        <v/>
      </c>
      <c r="I585" s="89">
        <f>IF(H585="","",H585*1700)</f>
        <v/>
      </c>
    </row>
    <row r="586" ht="15" customHeight="1" s="64">
      <c r="H586" s="88">
        <f>IF(G586="Day Pass ($5)",5,IF(G586="Half-Day ($3)",3,""))</f>
        <v/>
      </c>
      <c r="I586" s="89">
        <f>IF(H586="","",H586*1700)</f>
        <v/>
      </c>
    </row>
    <row r="587" ht="15" customHeight="1" s="64">
      <c r="H587" s="88">
        <f>IF(G587="Day Pass ($5)",5,IF(G587="Half-Day ($3)",3,""))</f>
        <v/>
      </c>
      <c r="I587" s="89">
        <f>IF(H587="","",H587*1700)</f>
        <v/>
      </c>
    </row>
    <row r="588" ht="15" customHeight="1" s="64">
      <c r="H588" s="88">
        <f>IF(G588="Day Pass ($5)",5,IF(G588="Half-Day ($3)",3,""))</f>
        <v/>
      </c>
      <c r="I588" s="89">
        <f>IF(H588="","",H588*1700)</f>
        <v/>
      </c>
    </row>
    <row r="589" ht="15" customHeight="1" s="64">
      <c r="H589" s="88">
        <f>IF(G589="Day Pass ($5)",5,IF(G589="Half-Day ($3)",3,""))</f>
        <v/>
      </c>
      <c r="I589" s="89">
        <f>IF(H589="","",H589*1700)</f>
        <v/>
      </c>
    </row>
    <row r="590" ht="15" customHeight="1" s="64">
      <c r="H590" s="88">
        <f>IF(G590="Day Pass ($5)",5,IF(G590="Half-Day ($3)",3,""))</f>
        <v/>
      </c>
      <c r="I590" s="89">
        <f>IF(H590="","",H590*1700)</f>
        <v/>
      </c>
    </row>
    <row r="591" ht="15" customHeight="1" s="64">
      <c r="H591" s="88">
        <f>IF(G591="Day Pass ($5)",5,IF(G591="Half-Day ($3)",3,""))</f>
        <v/>
      </c>
      <c r="I591" s="89">
        <f>IF(H591="","",H591*1700)</f>
        <v/>
      </c>
    </row>
    <row r="592" ht="15" customHeight="1" s="64">
      <c r="H592" s="88">
        <f>IF(G592="Day Pass ($5)",5,IF(G592="Half-Day ($3)",3,""))</f>
        <v/>
      </c>
      <c r="I592" s="89">
        <f>IF(H592="","",H592*1700)</f>
        <v/>
      </c>
    </row>
    <row r="593" ht="15" customHeight="1" s="64">
      <c r="H593" s="88">
        <f>IF(G593="Day Pass ($5)",5,IF(G593="Half-Day ($3)",3,""))</f>
        <v/>
      </c>
      <c r="I593" s="89">
        <f>IF(H593="","",H593*1700)</f>
        <v/>
      </c>
    </row>
    <row r="594" ht="15" customHeight="1" s="64">
      <c r="H594" s="88">
        <f>IF(G594="Day Pass ($5)",5,IF(G594="Half-Day ($3)",3,""))</f>
        <v/>
      </c>
      <c r="I594" s="89">
        <f>IF(H594="","",H594*1700)</f>
        <v/>
      </c>
    </row>
    <row r="595" ht="15" customHeight="1" s="64">
      <c r="H595" s="88">
        <f>IF(G595="Day Pass ($5)",5,IF(G595="Half-Day ($3)",3,""))</f>
        <v/>
      </c>
      <c r="I595" s="89">
        <f>IF(H595="","",H595*1700)</f>
        <v/>
      </c>
    </row>
    <row r="596" ht="15" customHeight="1" s="64">
      <c r="H596" s="88">
        <f>IF(G596="Day Pass ($5)",5,IF(G596="Half-Day ($3)",3,""))</f>
        <v/>
      </c>
      <c r="I596" s="89">
        <f>IF(H596="","",H596*1700)</f>
        <v/>
      </c>
    </row>
    <row r="597" ht="15" customHeight="1" s="64">
      <c r="H597" s="88">
        <f>IF(G597="Day Pass ($5)",5,IF(G597="Half-Day ($3)",3,""))</f>
        <v/>
      </c>
      <c r="I597" s="89">
        <f>IF(H597="","",H597*1700)</f>
        <v/>
      </c>
    </row>
    <row r="598" ht="15" customHeight="1" s="64">
      <c r="H598" s="88">
        <f>IF(G598="Day Pass ($5)",5,IF(G598="Half-Day ($3)",3,""))</f>
        <v/>
      </c>
      <c r="I598" s="89">
        <f>IF(H598="","",H598*1700)</f>
        <v/>
      </c>
    </row>
    <row r="599" ht="15" customHeight="1" s="64">
      <c r="H599" s="88">
        <f>IF(G599="Day Pass ($5)",5,IF(G599="Half-Day ($3)",3,""))</f>
        <v/>
      </c>
      <c r="I599" s="89">
        <f>IF(H599="","",H599*1700)</f>
        <v/>
      </c>
    </row>
    <row r="600" ht="15" customHeight="1" s="64">
      <c r="H600" s="88">
        <f>IF(G600="Day Pass ($5)",5,IF(G600="Half-Day ($3)",3,""))</f>
        <v/>
      </c>
      <c r="I600" s="89">
        <f>IF(H600="","",H600*1700)</f>
        <v/>
      </c>
    </row>
    <row r="601" ht="15" customHeight="1" s="64">
      <c r="H601" s="88">
        <f>IF(G601="Day Pass ($5)",5,IF(G601="Half-Day ($3)",3,""))</f>
        <v/>
      </c>
      <c r="I601" s="89">
        <f>IF(H601="","",H601*1700)</f>
        <v/>
      </c>
    </row>
    <row r="602" ht="15" customHeight="1" s="64">
      <c r="H602" s="88">
        <f>IF(G602="Day Pass ($5)",5,IF(G602="Half-Day ($3)",3,""))</f>
        <v/>
      </c>
      <c r="I602" s="89">
        <f>IF(H602="","",H602*1700)</f>
        <v/>
      </c>
    </row>
    <row r="603" ht="15" customHeight="1" s="64">
      <c r="H603" s="88">
        <f>IF(G603="Day Pass ($5)",5,IF(G603="Half-Day ($3)",3,""))</f>
        <v/>
      </c>
      <c r="I603" s="89">
        <f>IF(H603="","",H603*1700)</f>
        <v/>
      </c>
    </row>
    <row r="604" ht="15" customHeight="1" s="64">
      <c r="H604" s="88">
        <f>IF(G604="Day Pass ($5)",5,IF(G604="Half-Day ($3)",3,""))</f>
        <v/>
      </c>
      <c r="I604" s="89">
        <f>IF(H604="","",H604*1700)</f>
        <v/>
      </c>
    </row>
    <row r="605" ht="15" customHeight="1" s="64">
      <c r="H605" s="88">
        <f>IF(G605="Day Pass ($5)",5,IF(G605="Half-Day ($3)",3,""))</f>
        <v/>
      </c>
      <c r="I605" s="89">
        <f>IF(H605="","",H605*1700)</f>
        <v/>
      </c>
    </row>
    <row r="606" ht="15" customHeight="1" s="64">
      <c r="H606" s="88">
        <f>IF(G606="Day Pass ($5)",5,IF(G606="Half-Day ($3)",3,""))</f>
        <v/>
      </c>
      <c r="I606" s="89">
        <f>IF(H606="","",H606*1700)</f>
        <v/>
      </c>
    </row>
    <row r="607" ht="15" customHeight="1" s="64">
      <c r="H607" s="88">
        <f>IF(G607="Day Pass ($5)",5,IF(G607="Half-Day ($3)",3,""))</f>
        <v/>
      </c>
      <c r="I607" s="89">
        <f>IF(H607="","",H607*1700)</f>
        <v/>
      </c>
    </row>
    <row r="608" ht="15" customHeight="1" s="64">
      <c r="H608" s="88">
        <f>IF(G608="Day Pass ($5)",5,IF(G608="Half-Day ($3)",3,""))</f>
        <v/>
      </c>
      <c r="I608" s="89">
        <f>IF(H608="","",H608*1700)</f>
        <v/>
      </c>
    </row>
    <row r="609" ht="15" customHeight="1" s="64">
      <c r="H609" s="88">
        <f>IF(G609="Day Pass ($5)",5,IF(G609="Half-Day ($3)",3,""))</f>
        <v/>
      </c>
      <c r="I609" s="89">
        <f>IF(H609="","",H609*1700)</f>
        <v/>
      </c>
    </row>
    <row r="610" ht="15" customHeight="1" s="64">
      <c r="H610" s="88">
        <f>IF(G610="Day Pass ($5)",5,IF(G610="Half-Day ($3)",3,""))</f>
        <v/>
      </c>
      <c r="I610" s="89">
        <f>IF(H610="","",H610*1700)</f>
        <v/>
      </c>
    </row>
    <row r="611" ht="15" customHeight="1" s="64">
      <c r="H611" s="88">
        <f>IF(G611="Day Pass ($5)",5,IF(G611="Half-Day ($3)",3,""))</f>
        <v/>
      </c>
      <c r="I611" s="89">
        <f>IF(H611="","",H611*1700)</f>
        <v/>
      </c>
    </row>
    <row r="612" ht="15" customHeight="1" s="64">
      <c r="H612" s="88">
        <f>IF(G612="Day Pass ($5)",5,IF(G612="Half-Day ($3)",3,""))</f>
        <v/>
      </c>
      <c r="I612" s="89">
        <f>IF(H612="","",H612*1700)</f>
        <v/>
      </c>
    </row>
    <row r="613" ht="15" customHeight="1" s="64">
      <c r="H613" s="88">
        <f>IF(G613="Day Pass ($5)",5,IF(G613="Half-Day ($3)",3,""))</f>
        <v/>
      </c>
      <c r="I613" s="89">
        <f>IF(H613="","",H613*1700)</f>
        <v/>
      </c>
    </row>
    <row r="614" ht="15" customHeight="1" s="64">
      <c r="H614" s="88">
        <f>IF(G614="Day Pass ($5)",5,IF(G614="Half-Day ($3)",3,""))</f>
        <v/>
      </c>
      <c r="I614" s="89">
        <f>IF(H614="","",H614*1700)</f>
        <v/>
      </c>
    </row>
    <row r="615" ht="15" customHeight="1" s="64">
      <c r="H615" s="88">
        <f>IF(G615="Day Pass ($5)",5,IF(G615="Half-Day ($3)",3,""))</f>
        <v/>
      </c>
      <c r="I615" s="89">
        <f>IF(H615="","",H615*1700)</f>
        <v/>
      </c>
    </row>
    <row r="616" ht="15" customHeight="1" s="64">
      <c r="H616" s="88">
        <f>IF(G616="Day Pass ($5)",5,IF(G616="Half-Day ($3)",3,""))</f>
        <v/>
      </c>
      <c r="I616" s="89">
        <f>IF(H616="","",H616*1700)</f>
        <v/>
      </c>
    </row>
    <row r="617" ht="15" customHeight="1" s="64">
      <c r="H617" s="88">
        <f>IF(G617="Day Pass ($5)",5,IF(G617="Half-Day ($3)",3,""))</f>
        <v/>
      </c>
      <c r="I617" s="89">
        <f>IF(H617="","",H617*1700)</f>
        <v/>
      </c>
    </row>
    <row r="618" ht="15" customHeight="1" s="64">
      <c r="H618" s="88">
        <f>IF(G618="Day Pass ($5)",5,IF(G618="Half-Day ($3)",3,""))</f>
        <v/>
      </c>
      <c r="I618" s="89">
        <f>IF(H618="","",H618*1700)</f>
        <v/>
      </c>
    </row>
    <row r="619" ht="15" customHeight="1" s="64">
      <c r="H619" s="88">
        <f>IF(G619="Day Pass ($5)",5,IF(G619="Half-Day ($3)",3,""))</f>
        <v/>
      </c>
      <c r="I619" s="89">
        <f>IF(H619="","",H619*1700)</f>
        <v/>
      </c>
    </row>
    <row r="620" ht="15" customHeight="1" s="64">
      <c r="H620" s="88">
        <f>IF(G620="Day Pass ($5)",5,IF(G620="Half-Day ($3)",3,""))</f>
        <v/>
      </c>
      <c r="I620" s="89">
        <f>IF(H620="","",H620*1700)</f>
        <v/>
      </c>
    </row>
    <row r="621" ht="15" customHeight="1" s="64">
      <c r="H621" s="88">
        <f>IF(G621="Day Pass ($5)",5,IF(G621="Half-Day ($3)",3,""))</f>
        <v/>
      </c>
      <c r="I621" s="89">
        <f>IF(H621="","",H621*1700)</f>
        <v/>
      </c>
    </row>
    <row r="622" ht="15" customHeight="1" s="64">
      <c r="H622" s="88">
        <f>IF(G622="Day Pass ($5)",5,IF(G622="Half-Day ($3)",3,""))</f>
        <v/>
      </c>
      <c r="I622" s="89">
        <f>IF(H622="","",H622*1700)</f>
        <v/>
      </c>
    </row>
    <row r="623" ht="15" customHeight="1" s="64">
      <c r="H623" s="88">
        <f>IF(G623="Day Pass ($5)",5,IF(G623="Half-Day ($3)",3,""))</f>
        <v/>
      </c>
      <c r="I623" s="89">
        <f>IF(H623="","",H623*1700)</f>
        <v/>
      </c>
    </row>
    <row r="624" ht="15" customHeight="1" s="64">
      <c r="H624" s="88">
        <f>IF(G624="Day Pass ($5)",5,IF(G624="Half-Day ($3)",3,""))</f>
        <v/>
      </c>
      <c r="I624" s="89">
        <f>IF(H624="","",H624*1700)</f>
        <v/>
      </c>
    </row>
    <row r="625" ht="15" customHeight="1" s="64">
      <c r="H625" s="88">
        <f>IF(G625="Day Pass ($5)",5,IF(G625="Half-Day ($3)",3,""))</f>
        <v/>
      </c>
      <c r="I625" s="89">
        <f>IF(H625="","",H625*1700)</f>
        <v/>
      </c>
    </row>
    <row r="626" ht="15" customHeight="1" s="64">
      <c r="H626" s="88">
        <f>IF(G626="Day Pass ($5)",5,IF(G626="Half-Day ($3)",3,""))</f>
        <v/>
      </c>
      <c r="I626" s="89">
        <f>IF(H626="","",H626*1700)</f>
        <v/>
      </c>
    </row>
    <row r="627" ht="15" customHeight="1" s="64">
      <c r="H627" s="88">
        <f>IF(G627="Day Pass ($5)",5,IF(G627="Half-Day ($3)",3,""))</f>
        <v/>
      </c>
      <c r="I627" s="89">
        <f>IF(H627="","",H627*1700)</f>
        <v/>
      </c>
    </row>
    <row r="628" ht="15" customHeight="1" s="64">
      <c r="H628" s="88">
        <f>IF(G628="Day Pass ($5)",5,IF(G628="Half-Day ($3)",3,""))</f>
        <v/>
      </c>
      <c r="I628" s="89">
        <f>IF(H628="","",H628*1700)</f>
        <v/>
      </c>
    </row>
    <row r="629" ht="15" customHeight="1" s="64">
      <c r="H629" s="88">
        <f>IF(G629="Day Pass ($5)",5,IF(G629="Half-Day ($3)",3,""))</f>
        <v/>
      </c>
      <c r="I629" s="89">
        <f>IF(H629="","",H629*1700)</f>
        <v/>
      </c>
    </row>
    <row r="630" ht="15" customHeight="1" s="64">
      <c r="H630" s="88">
        <f>IF(G630="Day Pass ($5)",5,IF(G630="Half-Day ($3)",3,""))</f>
        <v/>
      </c>
      <c r="I630" s="89">
        <f>IF(H630="","",H630*1700)</f>
        <v/>
      </c>
    </row>
    <row r="631" ht="15" customHeight="1" s="64">
      <c r="H631" s="88">
        <f>IF(G631="Day Pass ($5)",5,IF(G631="Half-Day ($3)",3,""))</f>
        <v/>
      </c>
      <c r="I631" s="89">
        <f>IF(H631="","",H631*1700)</f>
        <v/>
      </c>
    </row>
    <row r="632" ht="15" customHeight="1" s="64">
      <c r="H632" s="88">
        <f>IF(G632="Day Pass ($5)",5,IF(G632="Half-Day ($3)",3,""))</f>
        <v/>
      </c>
      <c r="I632" s="89">
        <f>IF(H632="","",H632*1700)</f>
        <v/>
      </c>
    </row>
    <row r="633" ht="15" customHeight="1" s="64">
      <c r="H633" s="88">
        <f>IF(G633="Day Pass ($5)",5,IF(G633="Half-Day ($3)",3,""))</f>
        <v/>
      </c>
      <c r="I633" s="89">
        <f>IF(H633="","",H633*1700)</f>
        <v/>
      </c>
    </row>
    <row r="634" ht="15" customHeight="1" s="64">
      <c r="H634" s="88">
        <f>IF(G634="Day Pass ($5)",5,IF(G634="Half-Day ($3)",3,""))</f>
        <v/>
      </c>
      <c r="I634" s="89">
        <f>IF(H634="","",H634*1700)</f>
        <v/>
      </c>
    </row>
    <row r="635" ht="15" customHeight="1" s="64">
      <c r="H635" s="88">
        <f>IF(G635="Day Pass ($5)",5,IF(G635="Half-Day ($3)",3,""))</f>
        <v/>
      </c>
      <c r="I635" s="89">
        <f>IF(H635="","",H635*1700)</f>
        <v/>
      </c>
    </row>
    <row r="636" ht="15" customHeight="1" s="64">
      <c r="H636" s="88">
        <f>IF(G636="Day Pass ($5)",5,IF(G636="Half-Day ($3)",3,""))</f>
        <v/>
      </c>
      <c r="I636" s="89">
        <f>IF(H636="","",H636*1700)</f>
        <v/>
      </c>
    </row>
    <row r="637" ht="15" customHeight="1" s="64">
      <c r="H637" s="88">
        <f>IF(G637="Day Pass ($5)",5,IF(G637="Half-Day ($3)",3,""))</f>
        <v/>
      </c>
      <c r="I637" s="89">
        <f>IF(H637="","",H637*1700)</f>
        <v/>
      </c>
    </row>
    <row r="638" ht="15" customHeight="1" s="64">
      <c r="H638" s="88">
        <f>IF(G638="Day Pass ($5)",5,IF(G638="Half-Day ($3)",3,""))</f>
        <v/>
      </c>
      <c r="I638" s="89">
        <f>IF(H638="","",H638*1700)</f>
        <v/>
      </c>
    </row>
    <row r="639" ht="15" customHeight="1" s="64">
      <c r="H639" s="88">
        <f>IF(G639="Day Pass ($5)",5,IF(G639="Half-Day ($3)",3,""))</f>
        <v/>
      </c>
      <c r="I639" s="89">
        <f>IF(H639="","",H639*1700)</f>
        <v/>
      </c>
    </row>
    <row r="640" ht="15" customHeight="1" s="64">
      <c r="H640" s="88">
        <f>IF(G640="Day Pass ($5)",5,IF(G640="Half-Day ($3)",3,""))</f>
        <v/>
      </c>
      <c r="I640" s="89">
        <f>IF(H640="","",H640*1700)</f>
        <v/>
      </c>
    </row>
    <row r="641" ht="15" customHeight="1" s="64">
      <c r="H641" s="88">
        <f>IF(G641="Day Pass ($5)",5,IF(G641="Half-Day ($3)",3,""))</f>
        <v/>
      </c>
      <c r="I641" s="89">
        <f>IF(H641="","",H641*1700)</f>
        <v/>
      </c>
    </row>
    <row r="642" ht="15" customHeight="1" s="64">
      <c r="H642" s="88">
        <f>IF(G642="Day Pass ($5)",5,IF(G642="Half-Day ($3)",3,""))</f>
        <v/>
      </c>
      <c r="I642" s="89">
        <f>IF(H642="","",H642*1700)</f>
        <v/>
      </c>
    </row>
    <row r="643" ht="15" customHeight="1" s="64">
      <c r="H643" s="88">
        <f>IF(G643="Day Pass ($5)",5,IF(G643="Half-Day ($3)",3,""))</f>
        <v/>
      </c>
      <c r="I643" s="89">
        <f>IF(H643="","",H643*1700)</f>
        <v/>
      </c>
    </row>
    <row r="644" ht="15" customHeight="1" s="64">
      <c r="H644" s="88">
        <f>IF(G644="Day Pass ($5)",5,IF(G644="Half-Day ($3)",3,""))</f>
        <v/>
      </c>
      <c r="I644" s="89">
        <f>IF(H644="","",H644*1700)</f>
        <v/>
      </c>
    </row>
    <row r="645" ht="15" customHeight="1" s="64">
      <c r="H645" s="88">
        <f>IF(G645="Day Pass ($5)",5,IF(G645="Half-Day ($3)",3,""))</f>
        <v/>
      </c>
      <c r="I645" s="89">
        <f>IF(H645="","",H645*1700)</f>
        <v/>
      </c>
    </row>
    <row r="646" ht="15" customHeight="1" s="64">
      <c r="H646" s="88">
        <f>IF(G646="Day Pass ($5)",5,IF(G646="Half-Day ($3)",3,""))</f>
        <v/>
      </c>
      <c r="I646" s="89">
        <f>IF(H646="","",H646*1700)</f>
        <v/>
      </c>
    </row>
    <row r="647" ht="15" customHeight="1" s="64">
      <c r="H647" s="88">
        <f>IF(G647="Day Pass ($5)",5,IF(G647="Half-Day ($3)",3,""))</f>
        <v/>
      </c>
      <c r="I647" s="89">
        <f>IF(H647="","",H647*1700)</f>
        <v/>
      </c>
    </row>
    <row r="648" ht="15" customHeight="1" s="64">
      <c r="H648" s="88">
        <f>IF(G648="Day Pass ($5)",5,IF(G648="Half-Day ($3)",3,""))</f>
        <v/>
      </c>
      <c r="I648" s="89">
        <f>IF(H648="","",H648*1700)</f>
        <v/>
      </c>
    </row>
    <row r="649" ht="15" customHeight="1" s="64">
      <c r="H649" s="88">
        <f>IF(G649="Day Pass ($5)",5,IF(G649="Half-Day ($3)",3,""))</f>
        <v/>
      </c>
      <c r="I649" s="89">
        <f>IF(H649="","",H649*1700)</f>
        <v/>
      </c>
    </row>
    <row r="650" ht="15" customHeight="1" s="64">
      <c r="H650" s="88">
        <f>IF(G650="Day Pass ($5)",5,IF(G650="Half-Day ($3)",3,""))</f>
        <v/>
      </c>
      <c r="I650" s="89">
        <f>IF(H650="","",H650*1700)</f>
        <v/>
      </c>
    </row>
    <row r="651" ht="15" customHeight="1" s="64">
      <c r="H651" s="88">
        <f>IF(G651="Day Pass ($5)",5,IF(G651="Half-Day ($3)",3,""))</f>
        <v/>
      </c>
      <c r="I651" s="89">
        <f>IF(H651="","",H651*1700)</f>
        <v/>
      </c>
    </row>
    <row r="652" ht="15" customHeight="1" s="64">
      <c r="H652" s="88">
        <f>IF(G652="Day Pass ($5)",5,IF(G652="Half-Day ($3)",3,""))</f>
        <v/>
      </c>
      <c r="I652" s="89">
        <f>IF(H652="","",H652*1700)</f>
        <v/>
      </c>
    </row>
    <row r="653" ht="15" customHeight="1" s="64">
      <c r="H653" s="88">
        <f>IF(G653="Day Pass ($5)",5,IF(G653="Half-Day ($3)",3,""))</f>
        <v/>
      </c>
      <c r="I653" s="89">
        <f>IF(H653="","",H653*1700)</f>
        <v/>
      </c>
    </row>
    <row r="654" ht="15" customHeight="1" s="64">
      <c r="H654" s="88">
        <f>IF(G654="Day Pass ($5)",5,IF(G654="Half-Day ($3)",3,""))</f>
        <v/>
      </c>
      <c r="I654" s="89">
        <f>IF(H654="","",H654*1700)</f>
        <v/>
      </c>
    </row>
    <row r="655" ht="15" customHeight="1" s="64">
      <c r="H655" s="88">
        <f>IF(G655="Day Pass ($5)",5,IF(G655="Half-Day ($3)",3,""))</f>
        <v/>
      </c>
      <c r="I655" s="89">
        <f>IF(H655="","",H655*1700)</f>
        <v/>
      </c>
    </row>
    <row r="656" ht="15" customHeight="1" s="64">
      <c r="H656" s="88">
        <f>IF(G656="Day Pass ($5)",5,IF(G656="Half-Day ($3)",3,""))</f>
        <v/>
      </c>
      <c r="I656" s="89">
        <f>IF(H656="","",H656*1700)</f>
        <v/>
      </c>
    </row>
    <row r="657" ht="15" customHeight="1" s="64">
      <c r="H657" s="88">
        <f>IF(G657="Day Pass ($5)",5,IF(G657="Half-Day ($3)",3,""))</f>
        <v/>
      </c>
      <c r="I657" s="89">
        <f>IF(H657="","",H657*1700)</f>
        <v/>
      </c>
    </row>
    <row r="658" ht="15" customHeight="1" s="64">
      <c r="H658" s="88">
        <f>IF(G658="Day Pass ($5)",5,IF(G658="Half-Day ($3)",3,""))</f>
        <v/>
      </c>
      <c r="I658" s="89">
        <f>IF(H658="","",H658*1700)</f>
        <v/>
      </c>
    </row>
    <row r="659" ht="15" customHeight="1" s="64">
      <c r="H659" s="88">
        <f>IF(G659="Day Pass ($5)",5,IF(G659="Half-Day ($3)",3,""))</f>
        <v/>
      </c>
      <c r="I659" s="89">
        <f>IF(H659="","",H659*1700)</f>
        <v/>
      </c>
    </row>
    <row r="660" ht="15" customHeight="1" s="64">
      <c r="H660" s="88">
        <f>IF(G660="Day Pass ($5)",5,IF(G660="Half-Day ($3)",3,""))</f>
        <v/>
      </c>
      <c r="I660" s="89">
        <f>IF(H660="","",H660*1700)</f>
        <v/>
      </c>
    </row>
    <row r="661" ht="15" customHeight="1" s="64">
      <c r="H661" s="88">
        <f>IF(G661="Day Pass ($5)",5,IF(G661="Half-Day ($3)",3,""))</f>
        <v/>
      </c>
      <c r="I661" s="89">
        <f>IF(H661="","",H661*1700)</f>
        <v/>
      </c>
    </row>
    <row r="662" ht="15" customHeight="1" s="64">
      <c r="H662" s="88">
        <f>IF(G662="Day Pass ($5)",5,IF(G662="Half-Day ($3)",3,""))</f>
        <v/>
      </c>
      <c r="I662" s="89">
        <f>IF(H662="","",H662*1700)</f>
        <v/>
      </c>
    </row>
    <row r="663" ht="15" customHeight="1" s="64">
      <c r="H663" s="88">
        <f>IF(G663="Day Pass ($5)",5,IF(G663="Half-Day ($3)",3,""))</f>
        <v/>
      </c>
      <c r="I663" s="89">
        <f>IF(H663="","",H663*1700)</f>
        <v/>
      </c>
    </row>
    <row r="664" ht="15" customHeight="1" s="64">
      <c r="H664" s="88">
        <f>IF(G664="Day Pass ($5)",5,IF(G664="Half-Day ($3)",3,""))</f>
        <v/>
      </c>
      <c r="I664" s="89">
        <f>IF(H664="","",H664*1700)</f>
        <v/>
      </c>
    </row>
    <row r="665" ht="15" customHeight="1" s="64">
      <c r="H665" s="88">
        <f>IF(G665="Day Pass ($5)",5,IF(G665="Half-Day ($3)",3,""))</f>
        <v/>
      </c>
      <c r="I665" s="89">
        <f>IF(H665="","",H665*1700)</f>
        <v/>
      </c>
    </row>
    <row r="666" ht="15" customHeight="1" s="64">
      <c r="H666" s="88">
        <f>IF(G666="Day Pass ($5)",5,IF(G666="Half-Day ($3)",3,""))</f>
        <v/>
      </c>
      <c r="I666" s="89">
        <f>IF(H666="","",H666*1700)</f>
        <v/>
      </c>
    </row>
    <row r="667" ht="15" customHeight="1" s="64">
      <c r="H667" s="88">
        <f>IF(G667="Day Pass ($5)",5,IF(G667="Half-Day ($3)",3,""))</f>
        <v/>
      </c>
      <c r="I667" s="89">
        <f>IF(H667="","",H667*1700)</f>
        <v/>
      </c>
    </row>
    <row r="668" ht="15" customHeight="1" s="64">
      <c r="H668" s="88">
        <f>IF(G668="Day Pass ($5)",5,IF(G668="Half-Day ($3)",3,""))</f>
        <v/>
      </c>
      <c r="I668" s="89">
        <f>IF(H668="","",H668*1700)</f>
        <v/>
      </c>
    </row>
    <row r="669" ht="15" customHeight="1" s="64">
      <c r="H669" s="88">
        <f>IF(G669="Day Pass ($5)",5,IF(G669="Half-Day ($3)",3,""))</f>
        <v/>
      </c>
      <c r="I669" s="89">
        <f>IF(H669="","",H669*1700)</f>
        <v/>
      </c>
    </row>
    <row r="670" ht="15" customHeight="1" s="64">
      <c r="H670" s="88">
        <f>IF(G670="Day Pass ($5)",5,IF(G670="Half-Day ($3)",3,""))</f>
        <v/>
      </c>
      <c r="I670" s="89">
        <f>IF(H670="","",H670*1700)</f>
        <v/>
      </c>
    </row>
    <row r="671" ht="15" customHeight="1" s="64">
      <c r="H671" s="88">
        <f>IF(G671="Day Pass ($5)",5,IF(G671="Half-Day ($3)",3,""))</f>
        <v/>
      </c>
      <c r="I671" s="89">
        <f>IF(H671="","",H671*1700)</f>
        <v/>
      </c>
    </row>
    <row r="672" ht="15" customHeight="1" s="64">
      <c r="H672" s="88">
        <f>IF(G672="Day Pass ($5)",5,IF(G672="Half-Day ($3)",3,""))</f>
        <v/>
      </c>
      <c r="I672" s="89">
        <f>IF(H672="","",H672*1700)</f>
        <v/>
      </c>
    </row>
    <row r="673" ht="15" customHeight="1" s="64">
      <c r="H673" s="88">
        <f>IF(G673="Day Pass ($5)",5,IF(G673="Half-Day ($3)",3,""))</f>
        <v/>
      </c>
      <c r="I673" s="89">
        <f>IF(H673="","",H673*1700)</f>
        <v/>
      </c>
    </row>
    <row r="674" ht="15" customHeight="1" s="64">
      <c r="H674" s="88">
        <f>IF(G674="Day Pass ($5)",5,IF(G674="Half-Day ($3)",3,""))</f>
        <v/>
      </c>
      <c r="I674" s="89">
        <f>IF(H674="","",H674*1700)</f>
        <v/>
      </c>
    </row>
    <row r="675" ht="15" customHeight="1" s="64">
      <c r="H675" s="88">
        <f>IF(G675="Day Pass ($5)",5,IF(G675="Half-Day ($3)",3,""))</f>
        <v/>
      </c>
      <c r="I675" s="89">
        <f>IF(H675="","",H675*1700)</f>
        <v/>
      </c>
    </row>
    <row r="676" ht="15" customHeight="1" s="64">
      <c r="H676" s="88">
        <f>IF(G676="Day Pass ($5)",5,IF(G676="Half-Day ($3)",3,""))</f>
        <v/>
      </c>
      <c r="I676" s="89">
        <f>IF(H676="","",H676*1700)</f>
        <v/>
      </c>
    </row>
    <row r="677" ht="15" customHeight="1" s="64">
      <c r="H677" s="88">
        <f>IF(G677="Day Pass ($5)",5,IF(G677="Half-Day ($3)",3,""))</f>
        <v/>
      </c>
      <c r="I677" s="89">
        <f>IF(H677="","",H677*1700)</f>
        <v/>
      </c>
    </row>
    <row r="678" ht="15" customHeight="1" s="64">
      <c r="H678" s="88">
        <f>IF(G678="Day Pass ($5)",5,IF(G678="Half-Day ($3)",3,""))</f>
        <v/>
      </c>
      <c r="I678" s="89">
        <f>IF(H678="","",H678*1700)</f>
        <v/>
      </c>
    </row>
    <row r="679" ht="15" customHeight="1" s="64">
      <c r="H679" s="88">
        <f>IF(G679="Day Pass ($5)",5,IF(G679="Half-Day ($3)",3,""))</f>
        <v/>
      </c>
      <c r="I679" s="89">
        <f>IF(H679="","",H679*1700)</f>
        <v/>
      </c>
    </row>
    <row r="680" ht="15" customHeight="1" s="64">
      <c r="H680" s="88">
        <f>IF(G680="Day Pass ($5)",5,IF(G680="Half-Day ($3)",3,""))</f>
        <v/>
      </c>
      <c r="I680" s="89">
        <f>IF(H680="","",H680*1700)</f>
        <v/>
      </c>
    </row>
    <row r="681" ht="15" customHeight="1" s="64">
      <c r="H681" s="88">
        <f>IF(G681="Day Pass ($5)",5,IF(G681="Half-Day ($3)",3,""))</f>
        <v/>
      </c>
      <c r="I681" s="89">
        <f>IF(H681="","",H681*1700)</f>
        <v/>
      </c>
    </row>
    <row r="682" ht="15" customHeight="1" s="64">
      <c r="H682" s="88">
        <f>IF(G682="Day Pass ($5)",5,IF(G682="Half-Day ($3)",3,""))</f>
        <v/>
      </c>
      <c r="I682" s="89">
        <f>IF(H682="","",H682*1700)</f>
        <v/>
      </c>
    </row>
    <row r="683" ht="15" customHeight="1" s="64">
      <c r="H683" s="88">
        <f>IF(G683="Day Pass ($5)",5,IF(G683="Half-Day ($3)",3,""))</f>
        <v/>
      </c>
      <c r="I683" s="89">
        <f>IF(H683="","",H683*1700)</f>
        <v/>
      </c>
    </row>
    <row r="684" ht="15" customHeight="1" s="64">
      <c r="H684" s="88">
        <f>IF(G684="Day Pass ($5)",5,IF(G684="Half-Day ($3)",3,""))</f>
        <v/>
      </c>
      <c r="I684" s="89">
        <f>IF(H684="","",H684*1700)</f>
        <v/>
      </c>
    </row>
    <row r="685" ht="15" customHeight="1" s="64">
      <c r="H685" s="88">
        <f>IF(G685="Day Pass ($5)",5,IF(G685="Half-Day ($3)",3,""))</f>
        <v/>
      </c>
      <c r="I685" s="89">
        <f>IF(H685="","",H685*1700)</f>
        <v/>
      </c>
    </row>
    <row r="686" ht="15" customHeight="1" s="64">
      <c r="H686" s="88">
        <f>IF(G686="Day Pass ($5)",5,IF(G686="Half-Day ($3)",3,""))</f>
        <v/>
      </c>
      <c r="I686" s="89">
        <f>IF(H686="","",H686*1700)</f>
        <v/>
      </c>
    </row>
    <row r="687" ht="15" customHeight="1" s="64">
      <c r="H687" s="88">
        <f>IF(G687="Day Pass ($5)",5,IF(G687="Half-Day ($3)",3,""))</f>
        <v/>
      </c>
      <c r="I687" s="89">
        <f>IF(H687="","",H687*1700)</f>
        <v/>
      </c>
    </row>
    <row r="688" ht="15" customHeight="1" s="64">
      <c r="H688" s="88">
        <f>IF(G688="Day Pass ($5)",5,IF(G688="Half-Day ($3)",3,""))</f>
        <v/>
      </c>
      <c r="I688" s="89">
        <f>IF(H688="","",H688*1700)</f>
        <v/>
      </c>
    </row>
    <row r="689" ht="15" customHeight="1" s="64">
      <c r="H689" s="88">
        <f>IF(G689="Day Pass ($5)",5,IF(G689="Half-Day ($3)",3,""))</f>
        <v/>
      </c>
      <c r="I689" s="89">
        <f>IF(H689="","",H689*1700)</f>
        <v/>
      </c>
    </row>
    <row r="690" ht="15" customHeight="1" s="64">
      <c r="H690" s="88">
        <f>IF(G690="Day Pass ($5)",5,IF(G690="Half-Day ($3)",3,""))</f>
        <v/>
      </c>
      <c r="I690" s="89">
        <f>IF(H690="","",H690*1700)</f>
        <v/>
      </c>
    </row>
    <row r="691" ht="15" customHeight="1" s="64">
      <c r="H691" s="88">
        <f>IF(G691="Day Pass ($5)",5,IF(G691="Half-Day ($3)",3,""))</f>
        <v/>
      </c>
      <c r="I691" s="89">
        <f>IF(H691="","",H691*1700)</f>
        <v/>
      </c>
    </row>
    <row r="692" ht="15" customHeight="1" s="64">
      <c r="H692" s="88">
        <f>IF(G692="Day Pass ($5)",5,IF(G692="Half-Day ($3)",3,""))</f>
        <v/>
      </c>
      <c r="I692" s="89">
        <f>IF(H692="","",H692*1700)</f>
        <v/>
      </c>
    </row>
    <row r="693" ht="15" customHeight="1" s="64">
      <c r="H693" s="88">
        <f>IF(G693="Day Pass ($5)",5,IF(G693="Half-Day ($3)",3,""))</f>
        <v/>
      </c>
      <c r="I693" s="89">
        <f>IF(H693="","",H693*1700)</f>
        <v/>
      </c>
    </row>
    <row r="694" ht="15" customHeight="1" s="64">
      <c r="H694" s="88">
        <f>IF(G694="Day Pass ($5)",5,IF(G694="Half-Day ($3)",3,""))</f>
        <v/>
      </c>
      <c r="I694" s="89">
        <f>IF(H694="","",H694*1700)</f>
        <v/>
      </c>
    </row>
    <row r="695" ht="15" customHeight="1" s="64">
      <c r="H695" s="88">
        <f>IF(G695="Day Pass ($5)",5,IF(G695="Half-Day ($3)",3,""))</f>
        <v/>
      </c>
      <c r="I695" s="89">
        <f>IF(H695="","",H695*1700)</f>
        <v/>
      </c>
    </row>
    <row r="696" ht="15" customHeight="1" s="64">
      <c r="H696" s="88">
        <f>IF(G696="Day Pass ($5)",5,IF(G696="Half-Day ($3)",3,""))</f>
        <v/>
      </c>
      <c r="I696" s="89">
        <f>IF(H696="","",H696*1700)</f>
        <v/>
      </c>
    </row>
    <row r="697" ht="15" customHeight="1" s="64">
      <c r="H697" s="88">
        <f>IF(G697="Day Pass ($5)",5,IF(G697="Half-Day ($3)",3,""))</f>
        <v/>
      </c>
      <c r="I697" s="89">
        <f>IF(H697="","",H697*1700)</f>
        <v/>
      </c>
    </row>
    <row r="698" ht="15" customHeight="1" s="64">
      <c r="H698" s="88">
        <f>IF(G698="Day Pass ($5)",5,IF(G698="Half-Day ($3)",3,""))</f>
        <v/>
      </c>
      <c r="I698" s="89">
        <f>IF(H698="","",H698*1700)</f>
        <v/>
      </c>
    </row>
    <row r="699" ht="15" customHeight="1" s="64">
      <c r="H699" s="88">
        <f>IF(G699="Day Pass ($5)",5,IF(G699="Half-Day ($3)",3,""))</f>
        <v/>
      </c>
      <c r="I699" s="89">
        <f>IF(H699="","",H699*1700)</f>
        <v/>
      </c>
    </row>
    <row r="700" ht="15" customHeight="1" s="64">
      <c r="H700" s="88">
        <f>IF(G700="Day Pass ($5)",5,IF(G700="Half-Day ($3)",3,""))</f>
        <v/>
      </c>
      <c r="I700" s="89">
        <f>IF(H700="","",H700*1700)</f>
        <v/>
      </c>
    </row>
    <row r="701" ht="15" customHeight="1" s="64">
      <c r="H701" s="88">
        <f>IF(G701="Day Pass ($5)",5,IF(G701="Half-Day ($3)",3,""))</f>
        <v/>
      </c>
      <c r="I701" s="89">
        <f>IF(H701="","",H701*1700)</f>
        <v/>
      </c>
    </row>
    <row r="702" ht="15" customHeight="1" s="64">
      <c r="H702" s="88">
        <f>IF(G702="Day Pass ($5)",5,IF(G702="Half-Day ($3)",3,""))</f>
        <v/>
      </c>
      <c r="I702" s="89">
        <f>IF(H702="","",H702*1700)</f>
        <v/>
      </c>
    </row>
    <row r="703" ht="15" customHeight="1" s="64">
      <c r="H703" s="88">
        <f>IF(G703="Day Pass ($5)",5,IF(G703="Half-Day ($3)",3,""))</f>
        <v/>
      </c>
      <c r="I703" s="89">
        <f>IF(H703="","",H703*1700)</f>
        <v/>
      </c>
    </row>
    <row r="704" ht="15" customHeight="1" s="64">
      <c r="H704" s="88">
        <f>IF(G704="Day Pass ($5)",5,IF(G704="Half-Day ($3)",3,""))</f>
        <v/>
      </c>
      <c r="I704" s="89">
        <f>IF(H704="","",H704*1700)</f>
        <v/>
      </c>
    </row>
    <row r="705" ht="15" customHeight="1" s="64">
      <c r="H705" s="88">
        <f>IF(G705="Day Pass ($5)",5,IF(G705="Half-Day ($3)",3,""))</f>
        <v/>
      </c>
      <c r="I705" s="89">
        <f>IF(H705="","",H705*1700)</f>
        <v/>
      </c>
    </row>
    <row r="706" ht="15" customHeight="1" s="64">
      <c r="H706" s="88">
        <f>IF(G706="Day Pass ($5)",5,IF(G706="Half-Day ($3)",3,""))</f>
        <v/>
      </c>
      <c r="I706" s="89">
        <f>IF(H706="","",H706*1700)</f>
        <v/>
      </c>
    </row>
    <row r="707" ht="15" customHeight="1" s="64">
      <c r="H707" s="88">
        <f>IF(G707="Day Pass ($5)",5,IF(G707="Half-Day ($3)",3,""))</f>
        <v/>
      </c>
      <c r="I707" s="89">
        <f>IF(H707="","",H707*1700)</f>
        <v/>
      </c>
    </row>
    <row r="708" ht="15" customHeight="1" s="64">
      <c r="H708" s="88">
        <f>IF(G708="Day Pass ($5)",5,IF(G708="Half-Day ($3)",3,""))</f>
        <v/>
      </c>
      <c r="I708" s="89">
        <f>IF(H708="","",H708*1700)</f>
        <v/>
      </c>
    </row>
    <row r="709" ht="15" customHeight="1" s="64">
      <c r="H709" s="88">
        <f>IF(G709="Day Pass ($5)",5,IF(G709="Half-Day ($3)",3,""))</f>
        <v/>
      </c>
      <c r="I709" s="89">
        <f>IF(H709="","",H709*1700)</f>
        <v/>
      </c>
    </row>
    <row r="710" ht="15" customHeight="1" s="64">
      <c r="H710" s="88">
        <f>IF(G710="Day Pass ($5)",5,IF(G710="Half-Day ($3)",3,""))</f>
        <v/>
      </c>
      <c r="I710" s="89">
        <f>IF(H710="","",H710*1700)</f>
        <v/>
      </c>
    </row>
    <row r="711" ht="15" customHeight="1" s="64">
      <c r="H711" s="88">
        <f>IF(G711="Day Pass ($5)",5,IF(G711="Half-Day ($3)",3,""))</f>
        <v/>
      </c>
      <c r="I711" s="89">
        <f>IF(H711="","",H711*1700)</f>
        <v/>
      </c>
    </row>
    <row r="712" ht="15" customHeight="1" s="64">
      <c r="H712" s="88">
        <f>IF(G712="Day Pass ($5)",5,IF(G712="Half-Day ($3)",3,""))</f>
        <v/>
      </c>
      <c r="I712" s="89">
        <f>IF(H712="","",H712*1700)</f>
        <v/>
      </c>
    </row>
    <row r="713" ht="15" customHeight="1" s="64">
      <c r="H713" s="88">
        <f>IF(G713="Day Pass ($5)",5,IF(G713="Half-Day ($3)",3,""))</f>
        <v/>
      </c>
      <c r="I713" s="89">
        <f>IF(H713="","",H713*1700)</f>
        <v/>
      </c>
    </row>
    <row r="714" ht="15" customHeight="1" s="64">
      <c r="H714" s="88">
        <f>IF(G714="Day Pass ($5)",5,IF(G714="Half-Day ($3)",3,""))</f>
        <v/>
      </c>
      <c r="I714" s="89">
        <f>IF(H714="","",H714*1700)</f>
        <v/>
      </c>
    </row>
    <row r="715" ht="15" customHeight="1" s="64">
      <c r="H715" s="88">
        <f>IF(G715="Day Pass ($5)",5,IF(G715="Half-Day ($3)",3,""))</f>
        <v/>
      </c>
      <c r="I715" s="89">
        <f>IF(H715="","",H715*1700)</f>
        <v/>
      </c>
    </row>
    <row r="716" ht="15" customHeight="1" s="64">
      <c r="H716" s="88">
        <f>IF(G716="Day Pass ($5)",5,IF(G716="Half-Day ($3)",3,""))</f>
        <v/>
      </c>
      <c r="I716" s="89">
        <f>IF(H716="","",H716*1700)</f>
        <v/>
      </c>
    </row>
    <row r="717" ht="15" customHeight="1" s="64">
      <c r="H717" s="88">
        <f>IF(G717="Day Pass ($5)",5,IF(G717="Half-Day ($3)",3,""))</f>
        <v/>
      </c>
      <c r="I717" s="89">
        <f>IF(H717="","",H717*1700)</f>
        <v/>
      </c>
    </row>
    <row r="718" ht="15" customHeight="1" s="64">
      <c r="H718" s="88">
        <f>IF(G718="Day Pass ($5)",5,IF(G718="Half-Day ($3)",3,""))</f>
        <v/>
      </c>
      <c r="I718" s="89">
        <f>IF(H718="","",H718*1700)</f>
        <v/>
      </c>
    </row>
    <row r="719" ht="15" customHeight="1" s="64">
      <c r="H719" s="88">
        <f>IF(G719="Day Pass ($5)",5,IF(G719="Half-Day ($3)",3,""))</f>
        <v/>
      </c>
      <c r="I719" s="89">
        <f>IF(H719="","",H719*1700)</f>
        <v/>
      </c>
    </row>
    <row r="720" ht="15" customHeight="1" s="64">
      <c r="H720" s="88">
        <f>IF(G720="Day Pass ($5)",5,IF(G720="Half-Day ($3)",3,""))</f>
        <v/>
      </c>
      <c r="I720" s="89">
        <f>IF(H720="","",H720*1700)</f>
        <v/>
      </c>
    </row>
    <row r="721" ht="15" customHeight="1" s="64">
      <c r="H721" s="88">
        <f>IF(G721="Day Pass ($5)",5,IF(G721="Half-Day ($3)",3,""))</f>
        <v/>
      </c>
      <c r="I721" s="89">
        <f>IF(H721="","",H721*1700)</f>
        <v/>
      </c>
    </row>
    <row r="722" ht="15" customHeight="1" s="64">
      <c r="H722" s="88">
        <f>IF(G722="Day Pass ($5)",5,IF(G722="Half-Day ($3)",3,""))</f>
        <v/>
      </c>
      <c r="I722" s="89">
        <f>IF(H722="","",H722*1700)</f>
        <v/>
      </c>
    </row>
    <row r="723" ht="15" customHeight="1" s="64">
      <c r="H723" s="88">
        <f>IF(G723="Day Pass ($5)",5,IF(G723="Half-Day ($3)",3,""))</f>
        <v/>
      </c>
      <c r="I723" s="89">
        <f>IF(H723="","",H723*1700)</f>
        <v/>
      </c>
    </row>
    <row r="724" ht="15" customHeight="1" s="64">
      <c r="H724" s="88">
        <f>IF(G724="Day Pass ($5)",5,IF(G724="Half-Day ($3)",3,""))</f>
        <v/>
      </c>
      <c r="I724" s="89">
        <f>IF(H724="","",H724*1700)</f>
        <v/>
      </c>
    </row>
    <row r="725" ht="15" customHeight="1" s="64">
      <c r="H725" s="88">
        <f>IF(G725="Day Pass ($5)",5,IF(G725="Half-Day ($3)",3,""))</f>
        <v/>
      </c>
      <c r="I725" s="89">
        <f>IF(H725="","",H725*1700)</f>
        <v/>
      </c>
    </row>
    <row r="726" ht="15" customHeight="1" s="64">
      <c r="H726" s="88">
        <f>IF(G726="Day Pass ($5)",5,IF(G726="Half-Day ($3)",3,""))</f>
        <v/>
      </c>
      <c r="I726" s="89">
        <f>IF(H726="","",H726*1700)</f>
        <v/>
      </c>
    </row>
    <row r="727" ht="15" customHeight="1" s="64">
      <c r="H727" s="88">
        <f>IF(G727="Day Pass ($5)",5,IF(G727="Half-Day ($3)",3,""))</f>
        <v/>
      </c>
      <c r="I727" s="89">
        <f>IF(H727="","",H727*1700)</f>
        <v/>
      </c>
    </row>
    <row r="728" ht="15" customHeight="1" s="64">
      <c r="H728" s="88">
        <f>IF(G728="Day Pass ($5)",5,IF(G728="Half-Day ($3)",3,""))</f>
        <v/>
      </c>
      <c r="I728" s="89">
        <f>IF(H728="","",H728*1700)</f>
        <v/>
      </c>
    </row>
    <row r="729" ht="15" customHeight="1" s="64">
      <c r="H729" s="88">
        <f>IF(G729="Day Pass ($5)",5,IF(G729="Half-Day ($3)",3,""))</f>
        <v/>
      </c>
      <c r="I729" s="89">
        <f>IF(H729="","",H729*1700)</f>
        <v/>
      </c>
    </row>
    <row r="730" ht="15" customHeight="1" s="64">
      <c r="H730" s="88">
        <f>IF(G730="Day Pass ($5)",5,IF(G730="Half-Day ($3)",3,""))</f>
        <v/>
      </c>
      <c r="I730" s="89">
        <f>IF(H730="","",H730*1700)</f>
        <v/>
      </c>
    </row>
    <row r="731" ht="15" customHeight="1" s="64">
      <c r="H731" s="88">
        <f>IF(G731="Day Pass ($5)",5,IF(G731="Half-Day ($3)",3,""))</f>
        <v/>
      </c>
      <c r="I731" s="89">
        <f>IF(H731="","",H731*1700)</f>
        <v/>
      </c>
    </row>
    <row r="732" ht="15" customHeight="1" s="64">
      <c r="H732" s="88">
        <f>IF(G732="Day Pass ($5)",5,IF(G732="Half-Day ($3)",3,""))</f>
        <v/>
      </c>
      <c r="I732" s="89">
        <f>IF(H732="","",H732*1700)</f>
        <v/>
      </c>
    </row>
    <row r="733" ht="15" customHeight="1" s="64">
      <c r="H733" s="88">
        <f>IF(G733="Day Pass ($5)",5,IF(G733="Half-Day ($3)",3,""))</f>
        <v/>
      </c>
      <c r="I733" s="89">
        <f>IF(H733="","",H733*1700)</f>
        <v/>
      </c>
    </row>
    <row r="734" ht="15" customHeight="1" s="64">
      <c r="H734" s="88">
        <f>IF(G734="Day Pass ($5)",5,IF(G734="Half-Day ($3)",3,""))</f>
        <v/>
      </c>
      <c r="I734" s="89">
        <f>IF(H734="","",H734*1700)</f>
        <v/>
      </c>
    </row>
    <row r="735" ht="15" customHeight="1" s="64">
      <c r="H735" s="88">
        <f>IF(G735="Day Pass ($5)",5,IF(G735="Half-Day ($3)",3,""))</f>
        <v/>
      </c>
      <c r="I735" s="89">
        <f>IF(H735="","",H735*1700)</f>
        <v/>
      </c>
    </row>
    <row r="736" ht="15" customHeight="1" s="64">
      <c r="H736" s="88">
        <f>IF(G736="Day Pass ($5)",5,IF(G736="Half-Day ($3)",3,""))</f>
        <v/>
      </c>
      <c r="I736" s="89">
        <f>IF(H736="","",H736*1700)</f>
        <v/>
      </c>
    </row>
    <row r="737" ht="15" customHeight="1" s="64">
      <c r="H737" s="88">
        <f>IF(G737="Day Pass ($5)",5,IF(G737="Half-Day ($3)",3,""))</f>
        <v/>
      </c>
      <c r="I737" s="89">
        <f>IF(H737="","",H737*1700)</f>
        <v/>
      </c>
    </row>
    <row r="738" ht="15" customHeight="1" s="64">
      <c r="H738" s="88">
        <f>IF(G738="Day Pass ($5)",5,IF(G738="Half-Day ($3)",3,""))</f>
        <v/>
      </c>
      <c r="I738" s="89">
        <f>IF(H738="","",H738*1700)</f>
        <v/>
      </c>
    </row>
    <row r="739" ht="15" customHeight="1" s="64">
      <c r="H739" s="88">
        <f>IF(G739="Day Pass ($5)",5,IF(G739="Half-Day ($3)",3,""))</f>
        <v/>
      </c>
      <c r="I739" s="89">
        <f>IF(H739="","",H739*1700)</f>
        <v/>
      </c>
    </row>
    <row r="740" ht="15" customHeight="1" s="64">
      <c r="H740" s="88">
        <f>IF(G740="Day Pass ($5)",5,IF(G740="Half-Day ($3)",3,""))</f>
        <v/>
      </c>
      <c r="I740" s="89">
        <f>IF(H740="","",H740*1700)</f>
        <v/>
      </c>
    </row>
    <row r="741" ht="15" customHeight="1" s="64">
      <c r="H741" s="88">
        <f>IF(G741="Day Pass ($5)",5,IF(G741="Half-Day ($3)",3,""))</f>
        <v/>
      </c>
      <c r="I741" s="89">
        <f>IF(H741="","",H741*1700)</f>
        <v/>
      </c>
    </row>
    <row r="742" ht="15" customHeight="1" s="64">
      <c r="H742" s="88">
        <f>IF(G742="Day Pass ($5)",5,IF(G742="Half-Day ($3)",3,""))</f>
        <v/>
      </c>
      <c r="I742" s="89">
        <f>IF(H742="","",H742*1700)</f>
        <v/>
      </c>
    </row>
    <row r="743" ht="15" customHeight="1" s="64">
      <c r="H743" s="88">
        <f>IF(G743="Day Pass ($5)",5,IF(G743="Half-Day ($3)",3,""))</f>
        <v/>
      </c>
      <c r="I743" s="89">
        <f>IF(H743="","",H743*1700)</f>
        <v/>
      </c>
    </row>
    <row r="744" ht="15" customHeight="1" s="64">
      <c r="H744" s="88">
        <f>IF(G744="Day Pass ($5)",5,IF(G744="Half-Day ($3)",3,""))</f>
        <v/>
      </c>
      <c r="I744" s="89">
        <f>IF(H744="","",H744*1700)</f>
        <v/>
      </c>
    </row>
    <row r="745" ht="15" customHeight="1" s="64">
      <c r="H745" s="88">
        <f>IF(G745="Day Pass ($5)",5,IF(G745="Half-Day ($3)",3,""))</f>
        <v/>
      </c>
      <c r="I745" s="89">
        <f>IF(H745="","",H745*1700)</f>
        <v/>
      </c>
    </row>
    <row r="746" ht="15" customHeight="1" s="64">
      <c r="H746" s="88">
        <f>IF(G746="Day Pass ($5)",5,IF(G746="Half-Day ($3)",3,""))</f>
        <v/>
      </c>
      <c r="I746" s="89">
        <f>IF(H746="","",H746*1700)</f>
        <v/>
      </c>
    </row>
    <row r="747" ht="15" customHeight="1" s="64">
      <c r="H747" s="88">
        <f>IF(G747="Day Pass ($5)",5,IF(G747="Half-Day ($3)",3,""))</f>
        <v/>
      </c>
      <c r="I747" s="89">
        <f>IF(H747="","",H747*1700)</f>
        <v/>
      </c>
    </row>
    <row r="748" ht="15" customHeight="1" s="64">
      <c r="H748" s="88">
        <f>IF(G748="Day Pass ($5)",5,IF(G748="Half-Day ($3)",3,""))</f>
        <v/>
      </c>
      <c r="I748" s="89">
        <f>IF(H748="","",H748*1700)</f>
        <v/>
      </c>
    </row>
    <row r="749" ht="15" customHeight="1" s="64">
      <c r="H749" s="88">
        <f>IF(G749="Day Pass ($5)",5,IF(G749="Half-Day ($3)",3,""))</f>
        <v/>
      </c>
      <c r="I749" s="89">
        <f>IF(H749="","",H749*1700)</f>
        <v/>
      </c>
    </row>
    <row r="750" ht="15" customHeight="1" s="64">
      <c r="H750" s="88">
        <f>IF(G750="Day Pass ($5)",5,IF(G750="Half-Day ($3)",3,""))</f>
        <v/>
      </c>
      <c r="I750" s="89">
        <f>IF(H750="","",H750*1700)</f>
        <v/>
      </c>
    </row>
    <row r="751" ht="15" customHeight="1" s="64">
      <c r="H751" s="88">
        <f>IF(G751="Day Pass ($5)",5,IF(G751="Half-Day ($3)",3,""))</f>
        <v/>
      </c>
      <c r="I751" s="89">
        <f>IF(H751="","",H751*1700)</f>
        <v/>
      </c>
    </row>
    <row r="752" ht="15" customHeight="1" s="64">
      <c r="H752" s="88">
        <f>IF(G752="Day Pass ($5)",5,IF(G752="Half-Day ($3)",3,""))</f>
        <v/>
      </c>
      <c r="I752" s="89">
        <f>IF(H752="","",H752*1700)</f>
        <v/>
      </c>
    </row>
    <row r="753" ht="15" customHeight="1" s="64">
      <c r="H753" s="88">
        <f>IF(G753="Day Pass ($5)",5,IF(G753="Half-Day ($3)",3,""))</f>
        <v/>
      </c>
      <c r="I753" s="89">
        <f>IF(H753="","",H753*1700)</f>
        <v/>
      </c>
    </row>
    <row r="754" ht="15" customHeight="1" s="64">
      <c r="H754" s="88">
        <f>IF(G754="Day Pass ($5)",5,IF(G754="Half-Day ($3)",3,""))</f>
        <v/>
      </c>
      <c r="I754" s="89">
        <f>IF(H754="","",H754*1700)</f>
        <v/>
      </c>
    </row>
    <row r="755" ht="15" customHeight="1" s="64">
      <c r="H755" s="88">
        <f>IF(G755="Day Pass ($5)",5,IF(G755="Half-Day ($3)",3,""))</f>
        <v/>
      </c>
      <c r="I755" s="89">
        <f>IF(H755="","",H755*1700)</f>
        <v/>
      </c>
    </row>
    <row r="756" ht="15" customHeight="1" s="64">
      <c r="H756" s="88">
        <f>IF(G756="Day Pass ($5)",5,IF(G756="Half-Day ($3)",3,""))</f>
        <v/>
      </c>
      <c r="I756" s="89">
        <f>IF(H756="","",H756*1700)</f>
        <v/>
      </c>
    </row>
    <row r="757" ht="15" customHeight="1" s="64">
      <c r="H757" s="88">
        <f>IF(G757="Day Pass ($5)",5,IF(G757="Half-Day ($3)",3,""))</f>
        <v/>
      </c>
      <c r="I757" s="89">
        <f>IF(H757="","",H757*1700)</f>
        <v/>
      </c>
    </row>
    <row r="758" ht="15" customHeight="1" s="64">
      <c r="H758" s="88">
        <f>IF(G758="Day Pass ($5)",5,IF(G758="Half-Day ($3)",3,""))</f>
        <v/>
      </c>
      <c r="I758" s="89">
        <f>IF(H758="","",H758*1700)</f>
        <v/>
      </c>
    </row>
    <row r="759" ht="15" customHeight="1" s="64">
      <c r="H759" s="88">
        <f>IF(G759="Day Pass ($5)",5,IF(G759="Half-Day ($3)",3,""))</f>
        <v/>
      </c>
      <c r="I759" s="89">
        <f>IF(H759="","",H759*1700)</f>
        <v/>
      </c>
    </row>
    <row r="760" ht="15" customHeight="1" s="64">
      <c r="H760" s="88">
        <f>IF(G760="Day Pass ($5)",5,IF(G760="Half-Day ($3)",3,""))</f>
        <v/>
      </c>
      <c r="I760" s="89">
        <f>IF(H760="","",H760*1700)</f>
        <v/>
      </c>
    </row>
    <row r="761" ht="15" customHeight="1" s="64">
      <c r="H761" s="88">
        <f>IF(G761="Day Pass ($5)",5,IF(G761="Half-Day ($3)",3,""))</f>
        <v/>
      </c>
      <c r="I761" s="89">
        <f>IF(H761="","",H761*1700)</f>
        <v/>
      </c>
    </row>
    <row r="762" ht="15" customHeight="1" s="64">
      <c r="H762" s="88">
        <f>IF(G762="Day Pass ($5)",5,IF(G762="Half-Day ($3)",3,""))</f>
        <v/>
      </c>
      <c r="I762" s="89">
        <f>IF(H762="","",H762*1700)</f>
        <v/>
      </c>
    </row>
    <row r="763" ht="15" customHeight="1" s="64">
      <c r="H763" s="88">
        <f>IF(G763="Day Pass ($5)",5,IF(G763="Half-Day ($3)",3,""))</f>
        <v/>
      </c>
      <c r="I763" s="89">
        <f>IF(H763="","",H763*1700)</f>
        <v/>
      </c>
    </row>
    <row r="764" ht="15" customHeight="1" s="64">
      <c r="H764" s="88">
        <f>IF(G764="Day Pass ($5)",5,IF(G764="Half-Day ($3)",3,""))</f>
        <v/>
      </c>
      <c r="I764" s="89">
        <f>IF(H764="","",H764*1700)</f>
        <v/>
      </c>
    </row>
    <row r="765" ht="15" customHeight="1" s="64">
      <c r="H765" s="88">
        <f>IF(G765="Day Pass ($5)",5,IF(G765="Half-Day ($3)",3,""))</f>
        <v/>
      </c>
      <c r="I765" s="89">
        <f>IF(H765="","",H765*1700)</f>
        <v/>
      </c>
    </row>
    <row r="766" ht="15" customHeight="1" s="64">
      <c r="H766" s="88">
        <f>IF(G766="Day Pass ($5)",5,IF(G766="Half-Day ($3)",3,""))</f>
        <v/>
      </c>
      <c r="I766" s="89">
        <f>IF(H766="","",H766*1700)</f>
        <v/>
      </c>
    </row>
    <row r="767" ht="15" customHeight="1" s="64">
      <c r="H767" s="88">
        <f>IF(G767="Day Pass ($5)",5,IF(G767="Half-Day ($3)",3,""))</f>
        <v/>
      </c>
      <c r="I767" s="89">
        <f>IF(H767="","",H767*1700)</f>
        <v/>
      </c>
    </row>
    <row r="768" ht="15" customHeight="1" s="64">
      <c r="H768" s="88">
        <f>IF(G768="Day Pass ($5)",5,IF(G768="Half-Day ($3)",3,""))</f>
        <v/>
      </c>
      <c r="I768" s="89">
        <f>IF(H768="","",H768*1700)</f>
        <v/>
      </c>
    </row>
    <row r="769" ht="15" customHeight="1" s="64">
      <c r="H769" s="88">
        <f>IF(G769="Day Pass ($5)",5,IF(G769="Half-Day ($3)",3,""))</f>
        <v/>
      </c>
      <c r="I769" s="89">
        <f>IF(H769="","",H769*1700)</f>
        <v/>
      </c>
    </row>
    <row r="770" ht="15" customHeight="1" s="64">
      <c r="H770" s="88">
        <f>IF(G770="Day Pass ($5)",5,IF(G770="Half-Day ($3)",3,""))</f>
        <v/>
      </c>
      <c r="I770" s="89">
        <f>IF(H770="","",H770*1700)</f>
        <v/>
      </c>
    </row>
    <row r="771" ht="15" customHeight="1" s="64">
      <c r="H771" s="88">
        <f>IF(G771="Day Pass ($5)",5,IF(G771="Half-Day ($3)",3,""))</f>
        <v/>
      </c>
      <c r="I771" s="89">
        <f>IF(H771="","",H771*1700)</f>
        <v/>
      </c>
    </row>
    <row r="772" ht="15" customHeight="1" s="64">
      <c r="H772" s="88">
        <f>IF(G772="Day Pass ($5)",5,IF(G772="Half-Day ($3)",3,""))</f>
        <v/>
      </c>
      <c r="I772" s="89">
        <f>IF(H772="","",H772*1700)</f>
        <v/>
      </c>
    </row>
    <row r="773" ht="15" customHeight="1" s="64">
      <c r="H773" s="88">
        <f>IF(G773="Day Pass ($5)",5,IF(G773="Half-Day ($3)",3,""))</f>
        <v/>
      </c>
      <c r="I773" s="89">
        <f>IF(H773="","",H773*1700)</f>
        <v/>
      </c>
    </row>
    <row r="774" ht="15" customHeight="1" s="64">
      <c r="H774" s="88">
        <f>IF(G774="Day Pass ($5)",5,IF(G774="Half-Day ($3)",3,""))</f>
        <v/>
      </c>
      <c r="I774" s="89">
        <f>IF(H774="","",H774*1700)</f>
        <v/>
      </c>
    </row>
    <row r="775" ht="15" customHeight="1" s="64">
      <c r="H775" s="88">
        <f>IF(G775="Day Pass ($5)",5,IF(G775="Half-Day ($3)",3,""))</f>
        <v/>
      </c>
      <c r="I775" s="89">
        <f>IF(H775="","",H775*1700)</f>
        <v/>
      </c>
    </row>
    <row r="776" ht="15" customHeight="1" s="64">
      <c r="H776" s="88">
        <f>IF(G776="Day Pass ($5)",5,IF(G776="Half-Day ($3)",3,""))</f>
        <v/>
      </c>
      <c r="I776" s="89">
        <f>IF(H776="","",H776*1700)</f>
        <v/>
      </c>
    </row>
    <row r="777" ht="15" customHeight="1" s="64">
      <c r="H777" s="88">
        <f>IF(G777="Day Pass ($5)",5,IF(G777="Half-Day ($3)",3,""))</f>
        <v/>
      </c>
      <c r="I777" s="89">
        <f>IF(H777="","",H777*1700)</f>
        <v/>
      </c>
    </row>
    <row r="778" ht="15" customHeight="1" s="64">
      <c r="H778" s="88">
        <f>IF(G778="Day Pass ($5)",5,IF(G778="Half-Day ($3)",3,""))</f>
        <v/>
      </c>
      <c r="I778" s="89">
        <f>IF(H778="","",H778*1700)</f>
        <v/>
      </c>
    </row>
    <row r="779" ht="15" customHeight="1" s="64">
      <c r="H779" s="88">
        <f>IF(G779="Day Pass ($5)",5,IF(G779="Half-Day ($3)",3,""))</f>
        <v/>
      </c>
      <c r="I779" s="89">
        <f>IF(H779="","",H779*1700)</f>
        <v/>
      </c>
    </row>
    <row r="780" ht="15" customHeight="1" s="64">
      <c r="H780" s="88">
        <f>IF(G780="Day Pass ($5)",5,IF(G780="Half-Day ($3)",3,""))</f>
        <v/>
      </c>
      <c r="I780" s="89">
        <f>IF(H780="","",H780*1700)</f>
        <v/>
      </c>
    </row>
    <row r="781" ht="15" customHeight="1" s="64">
      <c r="H781" s="88">
        <f>IF(G781="Day Pass ($5)",5,IF(G781="Half-Day ($3)",3,""))</f>
        <v/>
      </c>
      <c r="I781" s="89">
        <f>IF(H781="","",H781*1700)</f>
        <v/>
      </c>
    </row>
    <row r="782" ht="15" customHeight="1" s="64">
      <c r="H782" s="88">
        <f>IF(G782="Day Pass ($5)",5,IF(G782="Half-Day ($3)",3,""))</f>
        <v/>
      </c>
      <c r="I782" s="89">
        <f>IF(H782="","",H782*1700)</f>
        <v/>
      </c>
    </row>
    <row r="783" ht="15" customHeight="1" s="64">
      <c r="H783" s="88">
        <f>IF(G783="Day Pass ($5)",5,IF(G783="Half-Day ($3)",3,""))</f>
        <v/>
      </c>
      <c r="I783" s="89">
        <f>IF(H783="","",H783*1700)</f>
        <v/>
      </c>
    </row>
    <row r="784" ht="15" customHeight="1" s="64">
      <c r="H784" s="88">
        <f>IF(G784="Day Pass ($5)",5,IF(G784="Half-Day ($3)",3,""))</f>
        <v/>
      </c>
      <c r="I784" s="89">
        <f>IF(H784="","",H784*1700)</f>
        <v/>
      </c>
    </row>
    <row r="785" ht="15" customHeight="1" s="64">
      <c r="H785" s="88">
        <f>IF(G785="Day Pass ($5)",5,IF(G785="Half-Day ($3)",3,""))</f>
        <v/>
      </c>
      <c r="I785" s="89">
        <f>IF(H785="","",H785*1700)</f>
        <v/>
      </c>
    </row>
    <row r="786" ht="15" customHeight="1" s="64">
      <c r="H786" s="88">
        <f>IF(G786="Day Pass ($5)",5,IF(G786="Half-Day ($3)",3,""))</f>
        <v/>
      </c>
      <c r="I786" s="89">
        <f>IF(H786="","",H786*1700)</f>
        <v/>
      </c>
    </row>
    <row r="787" ht="15" customHeight="1" s="64">
      <c r="H787" s="88">
        <f>IF(G787="Day Pass ($5)",5,IF(G787="Half-Day ($3)",3,""))</f>
        <v/>
      </c>
      <c r="I787" s="89">
        <f>IF(H787="","",H787*1700)</f>
        <v/>
      </c>
    </row>
    <row r="788" ht="15" customHeight="1" s="64">
      <c r="H788" s="88">
        <f>IF(G788="Day Pass ($5)",5,IF(G788="Half-Day ($3)",3,""))</f>
        <v/>
      </c>
      <c r="I788" s="89">
        <f>IF(H788="","",H788*1700)</f>
        <v/>
      </c>
    </row>
    <row r="789" ht="15" customHeight="1" s="64">
      <c r="H789" s="88">
        <f>IF(G789="Day Pass ($5)",5,IF(G789="Half-Day ($3)",3,""))</f>
        <v/>
      </c>
      <c r="I789" s="89">
        <f>IF(H789="","",H789*1700)</f>
        <v/>
      </c>
    </row>
    <row r="790" ht="15" customHeight="1" s="64">
      <c r="H790" s="88">
        <f>IF(G790="Day Pass ($5)",5,IF(G790="Half-Day ($3)",3,""))</f>
        <v/>
      </c>
      <c r="I790" s="89">
        <f>IF(H790="","",H790*1700)</f>
        <v/>
      </c>
    </row>
    <row r="791" ht="15" customHeight="1" s="64">
      <c r="H791" s="88">
        <f>IF(G791="Day Pass ($5)",5,IF(G791="Half-Day ($3)",3,""))</f>
        <v/>
      </c>
      <c r="I791" s="89">
        <f>IF(H791="","",H791*1700)</f>
        <v/>
      </c>
    </row>
    <row r="792" ht="15" customHeight="1" s="64">
      <c r="H792" s="88">
        <f>IF(G792="Day Pass ($5)",5,IF(G792="Half-Day ($3)",3,""))</f>
        <v/>
      </c>
      <c r="I792" s="89">
        <f>IF(H792="","",H792*1700)</f>
        <v/>
      </c>
    </row>
    <row r="793" ht="15" customHeight="1" s="64">
      <c r="H793" s="88">
        <f>IF(G793="Day Pass ($5)",5,IF(G793="Half-Day ($3)",3,""))</f>
        <v/>
      </c>
      <c r="I793" s="89">
        <f>IF(H793="","",H793*1700)</f>
        <v/>
      </c>
    </row>
    <row r="794" ht="15" customHeight="1" s="64">
      <c r="H794" s="88">
        <f>IF(G794="Day Pass ($5)",5,IF(G794="Half-Day ($3)",3,""))</f>
        <v/>
      </c>
      <c r="I794" s="89">
        <f>IF(H794="","",H794*1700)</f>
        <v/>
      </c>
    </row>
    <row r="795" ht="15" customHeight="1" s="64">
      <c r="H795" s="88">
        <f>IF(G795="Day Pass ($5)",5,IF(G795="Half-Day ($3)",3,""))</f>
        <v/>
      </c>
      <c r="I795" s="89">
        <f>IF(H795="","",H795*1700)</f>
        <v/>
      </c>
    </row>
    <row r="796" ht="15" customHeight="1" s="64">
      <c r="H796" s="88">
        <f>IF(G796="Day Pass ($5)",5,IF(G796="Half-Day ($3)",3,""))</f>
        <v/>
      </c>
      <c r="I796" s="89">
        <f>IF(H796="","",H796*1700)</f>
        <v/>
      </c>
    </row>
    <row r="797" ht="15" customHeight="1" s="64">
      <c r="H797" s="88">
        <f>IF(G797="Day Pass ($5)",5,IF(G797="Half-Day ($3)",3,""))</f>
        <v/>
      </c>
      <c r="I797" s="89">
        <f>IF(H797="","",H797*1700)</f>
        <v/>
      </c>
    </row>
    <row r="798" ht="15" customHeight="1" s="64">
      <c r="H798" s="88">
        <f>IF(G798="Day Pass ($5)",5,IF(G798="Half-Day ($3)",3,""))</f>
        <v/>
      </c>
      <c r="I798" s="89">
        <f>IF(H798="","",H798*1700)</f>
        <v/>
      </c>
    </row>
    <row r="799" ht="15" customHeight="1" s="64">
      <c r="H799" s="88">
        <f>IF(G799="Day Pass ($5)",5,IF(G799="Half-Day ($3)",3,""))</f>
        <v/>
      </c>
      <c r="I799" s="89">
        <f>IF(H799="","",H799*1700)</f>
        <v/>
      </c>
    </row>
    <row r="800" ht="15" customHeight="1" s="64">
      <c r="H800" s="88">
        <f>IF(G800="Day Pass ($5)",5,IF(G800="Half-Day ($3)",3,""))</f>
        <v/>
      </c>
      <c r="I800" s="89">
        <f>IF(H800="","",H800*1700)</f>
        <v/>
      </c>
    </row>
    <row r="801" ht="15" customHeight="1" s="64">
      <c r="H801" s="88">
        <f>IF(G801="Day Pass ($5)",5,IF(G801="Half-Day ($3)",3,""))</f>
        <v/>
      </c>
      <c r="I801" s="89">
        <f>IF(H801="","",H801*1700)</f>
        <v/>
      </c>
    </row>
    <row r="802" ht="15" customHeight="1" s="64">
      <c r="H802" s="88">
        <f>IF(G802="Day Pass ($5)",5,IF(G802="Half-Day ($3)",3,""))</f>
        <v/>
      </c>
      <c r="I802" s="89">
        <f>IF(H802="","",H802*1700)</f>
        <v/>
      </c>
    </row>
    <row r="803" ht="15" customHeight="1" s="64">
      <c r="H803" s="88">
        <f>IF(G803="Day Pass ($5)",5,IF(G803="Half-Day ($3)",3,""))</f>
        <v/>
      </c>
      <c r="I803" s="89">
        <f>IF(H803="","",H803*1700)</f>
        <v/>
      </c>
    </row>
    <row r="804" ht="15" customHeight="1" s="64">
      <c r="H804" s="88">
        <f>IF(G804="Day Pass ($5)",5,IF(G804="Half-Day ($3)",3,""))</f>
        <v/>
      </c>
      <c r="I804" s="89">
        <f>IF(H804="","",H804*1700)</f>
        <v/>
      </c>
    </row>
    <row r="805" ht="15" customHeight="1" s="64">
      <c r="H805" s="88">
        <f>IF(G805="Day Pass ($5)",5,IF(G805="Half-Day ($3)",3,""))</f>
        <v/>
      </c>
      <c r="I805" s="89">
        <f>IF(H805="","",H805*1700)</f>
        <v/>
      </c>
    </row>
    <row r="806" ht="15" customHeight="1" s="64">
      <c r="H806" s="88">
        <f>IF(G806="Day Pass ($5)",5,IF(G806="Half-Day ($3)",3,""))</f>
        <v/>
      </c>
      <c r="I806" s="89">
        <f>IF(H806="","",H806*1700)</f>
        <v/>
      </c>
    </row>
    <row r="807" ht="15" customHeight="1" s="64">
      <c r="H807" s="88">
        <f>IF(G807="Day Pass ($5)",5,IF(G807="Half-Day ($3)",3,""))</f>
        <v/>
      </c>
      <c r="I807" s="89">
        <f>IF(H807="","",H807*1700)</f>
        <v/>
      </c>
    </row>
    <row r="808" ht="15" customHeight="1" s="64">
      <c r="H808" s="88">
        <f>IF(G808="Day Pass ($5)",5,IF(G808="Half-Day ($3)",3,""))</f>
        <v/>
      </c>
      <c r="I808" s="89">
        <f>IF(H808="","",H808*1700)</f>
        <v/>
      </c>
    </row>
    <row r="809" ht="15" customHeight="1" s="64">
      <c r="H809" s="88">
        <f>IF(G809="Day Pass ($5)",5,IF(G809="Half-Day ($3)",3,""))</f>
        <v/>
      </c>
      <c r="I809" s="89">
        <f>IF(H809="","",H809*1700)</f>
        <v/>
      </c>
    </row>
    <row r="810" ht="15" customHeight="1" s="64">
      <c r="H810" s="88">
        <f>IF(G810="Day Pass ($5)",5,IF(G810="Half-Day ($3)",3,""))</f>
        <v/>
      </c>
      <c r="I810" s="89">
        <f>IF(H810="","",H810*1700)</f>
        <v/>
      </c>
    </row>
    <row r="811" ht="15" customHeight="1" s="64">
      <c r="H811" s="88">
        <f>IF(G811="Day Pass ($5)",5,IF(G811="Half-Day ($3)",3,""))</f>
        <v/>
      </c>
      <c r="I811" s="89">
        <f>IF(H811="","",H811*1700)</f>
        <v/>
      </c>
    </row>
    <row r="812" ht="15" customHeight="1" s="64">
      <c r="H812" s="88">
        <f>IF(G812="Day Pass ($5)",5,IF(G812="Half-Day ($3)",3,""))</f>
        <v/>
      </c>
      <c r="I812" s="89">
        <f>IF(H812="","",H812*1700)</f>
        <v/>
      </c>
    </row>
    <row r="813" ht="15" customHeight="1" s="64">
      <c r="H813" s="88">
        <f>IF(G813="Day Pass ($5)",5,IF(G813="Half-Day ($3)",3,""))</f>
        <v/>
      </c>
      <c r="I813" s="89">
        <f>IF(H813="","",H813*1700)</f>
        <v/>
      </c>
    </row>
    <row r="814" ht="15" customHeight="1" s="64">
      <c r="H814" s="88">
        <f>IF(G814="Day Pass ($5)",5,IF(G814="Half-Day ($3)",3,""))</f>
        <v/>
      </c>
      <c r="I814" s="89">
        <f>IF(H814="","",H814*1700)</f>
        <v/>
      </c>
    </row>
    <row r="815" ht="15" customHeight="1" s="64">
      <c r="H815" s="88">
        <f>IF(G815="Day Pass ($5)",5,IF(G815="Half-Day ($3)",3,""))</f>
        <v/>
      </c>
      <c r="I815" s="89">
        <f>IF(H815="","",H815*1700)</f>
        <v/>
      </c>
    </row>
    <row r="816" ht="15" customHeight="1" s="64">
      <c r="H816" s="88">
        <f>IF(G816="Day Pass ($5)",5,IF(G816="Half-Day ($3)",3,""))</f>
        <v/>
      </c>
      <c r="I816" s="89">
        <f>IF(H816="","",H816*1700)</f>
        <v/>
      </c>
    </row>
    <row r="817" ht="15" customHeight="1" s="64">
      <c r="H817" s="88">
        <f>IF(G817="Day Pass ($5)",5,IF(G817="Half-Day ($3)",3,""))</f>
        <v/>
      </c>
      <c r="I817" s="89">
        <f>IF(H817="","",H817*1700)</f>
        <v/>
      </c>
    </row>
    <row r="818" ht="15" customHeight="1" s="64">
      <c r="H818" s="88">
        <f>IF(G818="Day Pass ($5)",5,IF(G818="Half-Day ($3)",3,""))</f>
        <v/>
      </c>
      <c r="I818" s="89">
        <f>IF(H818="","",H818*1700)</f>
        <v/>
      </c>
    </row>
    <row r="819" ht="15" customHeight="1" s="64">
      <c r="H819" s="88">
        <f>IF(G819="Day Pass ($5)",5,IF(G819="Half-Day ($3)",3,""))</f>
        <v/>
      </c>
      <c r="I819" s="89">
        <f>IF(H819="","",H819*1700)</f>
        <v/>
      </c>
    </row>
    <row r="820" ht="15" customHeight="1" s="64">
      <c r="H820" s="88">
        <f>IF(G820="Day Pass ($5)",5,IF(G820="Half-Day ($3)",3,""))</f>
        <v/>
      </c>
      <c r="I820" s="89">
        <f>IF(H820="","",H820*1700)</f>
        <v/>
      </c>
    </row>
    <row r="821" ht="15" customHeight="1" s="64">
      <c r="H821" s="88">
        <f>IF(G821="Day Pass ($5)",5,IF(G821="Half-Day ($3)",3,""))</f>
        <v/>
      </c>
      <c r="I821" s="89">
        <f>IF(H821="","",H821*1700)</f>
        <v/>
      </c>
    </row>
    <row r="822" ht="15" customHeight="1" s="64">
      <c r="H822" s="88">
        <f>IF(G822="Day Pass ($5)",5,IF(G822="Half-Day ($3)",3,""))</f>
        <v/>
      </c>
      <c r="I822" s="89">
        <f>IF(H822="","",H822*1700)</f>
        <v/>
      </c>
    </row>
    <row r="823" ht="15" customHeight="1" s="64">
      <c r="H823" s="88">
        <f>IF(G823="Day Pass ($5)",5,IF(G823="Half-Day ($3)",3,""))</f>
        <v/>
      </c>
      <c r="I823" s="89">
        <f>IF(H823="","",H823*1700)</f>
        <v/>
      </c>
    </row>
    <row r="824" ht="15" customHeight="1" s="64">
      <c r="H824" s="88">
        <f>IF(G824="Day Pass ($5)",5,IF(G824="Half-Day ($3)",3,""))</f>
        <v/>
      </c>
      <c r="I824" s="89">
        <f>IF(H824="","",H824*1700)</f>
        <v/>
      </c>
    </row>
    <row r="825" ht="15" customHeight="1" s="64">
      <c r="H825" s="88">
        <f>IF(G825="Day Pass ($5)",5,IF(G825="Half-Day ($3)",3,""))</f>
        <v/>
      </c>
      <c r="I825" s="89">
        <f>IF(H825="","",H825*1700)</f>
        <v/>
      </c>
    </row>
    <row r="826" ht="15" customHeight="1" s="64">
      <c r="H826" s="88">
        <f>IF(G826="Day Pass ($5)",5,IF(G826="Half-Day ($3)",3,""))</f>
        <v/>
      </c>
      <c r="I826" s="89">
        <f>IF(H826="","",H826*1700)</f>
        <v/>
      </c>
    </row>
    <row r="827" ht="15" customHeight="1" s="64">
      <c r="H827" s="88">
        <f>IF(G827="Day Pass ($5)",5,IF(G827="Half-Day ($3)",3,""))</f>
        <v/>
      </c>
      <c r="I827" s="89">
        <f>IF(H827="","",H827*1700)</f>
        <v/>
      </c>
    </row>
    <row r="828" ht="15" customHeight="1" s="64">
      <c r="H828" s="88">
        <f>IF(G828="Day Pass ($5)",5,IF(G828="Half-Day ($3)",3,""))</f>
        <v/>
      </c>
      <c r="I828" s="89">
        <f>IF(H828="","",H828*1700)</f>
        <v/>
      </c>
    </row>
    <row r="829" ht="15" customHeight="1" s="64">
      <c r="H829" s="88">
        <f>IF(G829="Day Pass ($5)",5,IF(G829="Half-Day ($3)",3,""))</f>
        <v/>
      </c>
      <c r="I829" s="89">
        <f>IF(H829="","",H829*1700)</f>
        <v/>
      </c>
    </row>
    <row r="830" ht="15" customHeight="1" s="64">
      <c r="H830" s="88">
        <f>IF(G830="Day Pass ($5)",5,IF(G830="Half-Day ($3)",3,""))</f>
        <v/>
      </c>
      <c r="I830" s="89">
        <f>IF(H830="","",H830*1700)</f>
        <v/>
      </c>
    </row>
    <row r="831" ht="15" customHeight="1" s="64">
      <c r="H831" s="88">
        <f>IF(G831="Day Pass ($5)",5,IF(G831="Half-Day ($3)",3,""))</f>
        <v/>
      </c>
      <c r="I831" s="89">
        <f>IF(H831="","",H831*1700)</f>
        <v/>
      </c>
    </row>
    <row r="832" ht="15" customHeight="1" s="64">
      <c r="H832" s="88">
        <f>IF(G832="Day Pass ($5)",5,IF(G832="Half-Day ($3)",3,""))</f>
        <v/>
      </c>
      <c r="I832" s="89">
        <f>IF(H832="","",H832*1700)</f>
        <v/>
      </c>
    </row>
    <row r="833" ht="15" customHeight="1" s="64">
      <c r="H833" s="88">
        <f>IF(G833="Day Pass ($5)",5,IF(G833="Half-Day ($3)",3,""))</f>
        <v/>
      </c>
      <c r="I833" s="89">
        <f>IF(H833="","",H833*1700)</f>
        <v/>
      </c>
    </row>
    <row r="834" ht="15" customHeight="1" s="64">
      <c r="H834" s="88">
        <f>IF(G834="Day Pass ($5)",5,IF(G834="Half-Day ($3)",3,""))</f>
        <v/>
      </c>
      <c r="I834" s="89">
        <f>IF(H834="","",H834*1700)</f>
        <v/>
      </c>
    </row>
    <row r="835" ht="15" customHeight="1" s="64">
      <c r="H835" s="88">
        <f>IF(G835="Day Pass ($5)",5,IF(G835="Half-Day ($3)",3,""))</f>
        <v/>
      </c>
      <c r="I835" s="89">
        <f>IF(H835="","",H835*1700)</f>
        <v/>
      </c>
    </row>
    <row r="836" ht="15" customHeight="1" s="64">
      <c r="H836" s="88">
        <f>IF(G836="Day Pass ($5)",5,IF(G836="Half-Day ($3)",3,""))</f>
        <v/>
      </c>
      <c r="I836" s="89">
        <f>IF(H836="","",H836*1700)</f>
        <v/>
      </c>
    </row>
    <row r="837" ht="15" customHeight="1" s="64">
      <c r="H837" s="88">
        <f>IF(G837="Day Pass ($5)",5,IF(G837="Half-Day ($3)",3,""))</f>
        <v/>
      </c>
      <c r="I837" s="89">
        <f>IF(H837="","",H837*1700)</f>
        <v/>
      </c>
    </row>
    <row r="838" ht="15" customHeight="1" s="64">
      <c r="H838" s="88">
        <f>IF(G838="Day Pass ($5)",5,IF(G838="Half-Day ($3)",3,""))</f>
        <v/>
      </c>
      <c r="I838" s="89">
        <f>IF(H838="","",H838*1700)</f>
        <v/>
      </c>
    </row>
    <row r="839" ht="15" customHeight="1" s="64">
      <c r="H839" s="88">
        <f>IF(G839="Day Pass ($5)",5,IF(G839="Half-Day ($3)",3,""))</f>
        <v/>
      </c>
      <c r="I839" s="89">
        <f>IF(H839="","",H839*1700)</f>
        <v/>
      </c>
    </row>
    <row r="840" ht="15" customHeight="1" s="64">
      <c r="H840" s="88">
        <f>IF(G840="Day Pass ($5)",5,IF(G840="Half-Day ($3)",3,""))</f>
        <v/>
      </c>
      <c r="I840" s="89">
        <f>IF(H840="","",H840*1700)</f>
        <v/>
      </c>
    </row>
    <row r="841" ht="15" customHeight="1" s="64">
      <c r="H841" s="88">
        <f>IF(G841="Day Pass ($5)",5,IF(G841="Half-Day ($3)",3,""))</f>
        <v/>
      </c>
      <c r="I841" s="89">
        <f>IF(H841="","",H841*1700)</f>
        <v/>
      </c>
    </row>
    <row r="842" ht="15" customHeight="1" s="64">
      <c r="H842" s="88">
        <f>IF(G842="Day Pass ($5)",5,IF(G842="Half-Day ($3)",3,""))</f>
        <v/>
      </c>
      <c r="I842" s="89">
        <f>IF(H842="","",H842*1700)</f>
        <v/>
      </c>
    </row>
    <row r="843" ht="15" customHeight="1" s="64">
      <c r="H843" s="88">
        <f>IF(G843="Day Pass ($5)",5,IF(G843="Half-Day ($3)",3,""))</f>
        <v/>
      </c>
      <c r="I843" s="89">
        <f>IF(H843="","",H843*1700)</f>
        <v/>
      </c>
    </row>
    <row r="844" ht="15" customHeight="1" s="64">
      <c r="H844" s="88">
        <f>IF(G844="Day Pass ($5)",5,IF(G844="Half-Day ($3)",3,""))</f>
        <v/>
      </c>
      <c r="I844" s="89">
        <f>IF(H844="","",H844*1700)</f>
        <v/>
      </c>
    </row>
    <row r="845" ht="15" customHeight="1" s="64">
      <c r="H845" s="88">
        <f>IF(G845="Day Pass ($5)",5,IF(G845="Half-Day ($3)",3,""))</f>
        <v/>
      </c>
      <c r="I845" s="89">
        <f>IF(H845="","",H845*1700)</f>
        <v/>
      </c>
    </row>
    <row r="846" ht="15" customHeight="1" s="64">
      <c r="H846" s="88">
        <f>IF(G846="Day Pass ($5)",5,IF(G846="Half-Day ($3)",3,""))</f>
        <v/>
      </c>
      <c r="I846" s="89">
        <f>IF(H846="","",H846*1700)</f>
        <v/>
      </c>
    </row>
    <row r="847" ht="15" customHeight="1" s="64">
      <c r="H847" s="88">
        <f>IF(G847="Day Pass ($5)",5,IF(G847="Half-Day ($3)",3,""))</f>
        <v/>
      </c>
      <c r="I847" s="89">
        <f>IF(H847="","",H847*1700)</f>
        <v/>
      </c>
    </row>
    <row r="848" ht="15" customHeight="1" s="64">
      <c r="H848" s="88">
        <f>IF(G848="Day Pass ($5)",5,IF(G848="Half-Day ($3)",3,""))</f>
        <v/>
      </c>
      <c r="I848" s="89">
        <f>IF(H848="","",H848*1700)</f>
        <v/>
      </c>
    </row>
    <row r="849" ht="15" customHeight="1" s="64">
      <c r="H849" s="88">
        <f>IF(G849="Day Pass ($5)",5,IF(G849="Half-Day ($3)",3,""))</f>
        <v/>
      </c>
      <c r="I849" s="89">
        <f>IF(H849="","",H849*1700)</f>
        <v/>
      </c>
    </row>
    <row r="850" ht="15" customHeight="1" s="64">
      <c r="H850" s="88">
        <f>IF(G850="Day Pass ($5)",5,IF(G850="Half-Day ($3)",3,""))</f>
        <v/>
      </c>
      <c r="I850" s="89">
        <f>IF(H850="","",H850*1700)</f>
        <v/>
      </c>
    </row>
    <row r="851" ht="15" customHeight="1" s="64">
      <c r="H851" s="88">
        <f>IF(G851="Day Pass ($5)",5,IF(G851="Half-Day ($3)",3,""))</f>
        <v/>
      </c>
      <c r="I851" s="89">
        <f>IF(H851="","",H851*1700)</f>
        <v/>
      </c>
    </row>
    <row r="852" ht="15" customHeight="1" s="64">
      <c r="H852" s="88">
        <f>IF(G852="Day Pass ($5)",5,IF(G852="Half-Day ($3)",3,""))</f>
        <v/>
      </c>
      <c r="I852" s="89">
        <f>IF(H852="","",H852*1700)</f>
        <v/>
      </c>
    </row>
    <row r="853" ht="15" customHeight="1" s="64">
      <c r="H853" s="88">
        <f>IF(G853="Day Pass ($5)",5,IF(G853="Half-Day ($3)",3,""))</f>
        <v/>
      </c>
      <c r="I853" s="89">
        <f>IF(H853="","",H853*1700)</f>
        <v/>
      </c>
    </row>
    <row r="854" ht="15" customHeight="1" s="64">
      <c r="H854" s="88">
        <f>IF(G854="Day Pass ($5)",5,IF(G854="Half-Day ($3)",3,""))</f>
        <v/>
      </c>
      <c r="I854" s="89">
        <f>IF(H854="","",H854*1700)</f>
        <v/>
      </c>
    </row>
    <row r="855" ht="15" customHeight="1" s="64">
      <c r="H855" s="88">
        <f>IF(G855="Day Pass ($5)",5,IF(G855="Half-Day ($3)",3,""))</f>
        <v/>
      </c>
      <c r="I855" s="89">
        <f>IF(H855="","",H855*1700)</f>
        <v/>
      </c>
    </row>
    <row r="856" ht="15" customHeight="1" s="64">
      <c r="H856" s="88">
        <f>IF(G856="Day Pass ($5)",5,IF(G856="Half-Day ($3)",3,""))</f>
        <v/>
      </c>
      <c r="I856" s="89">
        <f>IF(H856="","",H856*1700)</f>
        <v/>
      </c>
    </row>
    <row r="857" ht="15" customHeight="1" s="64">
      <c r="H857" s="88">
        <f>IF(G857="Day Pass ($5)",5,IF(G857="Half-Day ($3)",3,""))</f>
        <v/>
      </c>
      <c r="I857" s="89">
        <f>IF(H857="","",H857*1700)</f>
        <v/>
      </c>
    </row>
    <row r="858" ht="15" customHeight="1" s="64">
      <c r="H858" s="88">
        <f>IF(G858="Day Pass ($5)",5,IF(G858="Half-Day ($3)",3,""))</f>
        <v/>
      </c>
      <c r="I858" s="89">
        <f>IF(H858="","",H858*1700)</f>
        <v/>
      </c>
    </row>
    <row r="859" ht="15" customHeight="1" s="64">
      <c r="H859" s="88">
        <f>IF(G859="Day Pass ($5)",5,IF(G859="Half-Day ($3)",3,""))</f>
        <v/>
      </c>
      <c r="I859" s="89">
        <f>IF(H859="","",H859*1700)</f>
        <v/>
      </c>
    </row>
    <row r="860" ht="15" customHeight="1" s="64">
      <c r="H860" s="88">
        <f>IF(G860="Day Pass ($5)",5,IF(G860="Half-Day ($3)",3,""))</f>
        <v/>
      </c>
      <c r="I860" s="89">
        <f>IF(H860="","",H860*1700)</f>
        <v/>
      </c>
    </row>
    <row r="861" ht="15" customHeight="1" s="64">
      <c r="H861" s="88">
        <f>IF(G861="Day Pass ($5)",5,IF(G861="Half-Day ($3)",3,""))</f>
        <v/>
      </c>
      <c r="I861" s="89">
        <f>IF(H861="","",H861*1700)</f>
        <v/>
      </c>
    </row>
    <row r="862" ht="15" customHeight="1" s="64">
      <c r="H862" s="88">
        <f>IF(G862="Day Pass ($5)",5,IF(G862="Half-Day ($3)",3,""))</f>
        <v/>
      </c>
      <c r="I862" s="89">
        <f>IF(H862="","",H862*1700)</f>
        <v/>
      </c>
    </row>
    <row r="863" ht="15" customHeight="1" s="64">
      <c r="H863" s="88">
        <f>IF(G863="Day Pass ($5)",5,IF(G863="Half-Day ($3)",3,""))</f>
        <v/>
      </c>
      <c r="I863" s="89">
        <f>IF(H863="","",H863*1700)</f>
        <v/>
      </c>
    </row>
    <row r="864" ht="15" customHeight="1" s="64">
      <c r="H864" s="88">
        <f>IF(G864="Day Pass ($5)",5,IF(G864="Half-Day ($3)",3,""))</f>
        <v/>
      </c>
      <c r="I864" s="89">
        <f>IF(H864="","",H864*1700)</f>
        <v/>
      </c>
    </row>
    <row r="865" ht="15" customHeight="1" s="64">
      <c r="H865" s="88">
        <f>IF(G865="Day Pass ($5)",5,IF(G865="Half-Day ($3)",3,""))</f>
        <v/>
      </c>
      <c r="I865" s="89">
        <f>IF(H865="","",H865*1700)</f>
        <v/>
      </c>
    </row>
    <row r="866" ht="15" customHeight="1" s="64">
      <c r="H866" s="88">
        <f>IF(G866="Day Pass ($5)",5,IF(G866="Half-Day ($3)",3,""))</f>
        <v/>
      </c>
      <c r="I866" s="89">
        <f>IF(H866="","",H866*1700)</f>
        <v/>
      </c>
    </row>
    <row r="867" ht="15" customHeight="1" s="64">
      <c r="H867" s="88">
        <f>IF(G867="Day Pass ($5)",5,IF(G867="Half-Day ($3)",3,""))</f>
        <v/>
      </c>
      <c r="I867" s="89">
        <f>IF(H867="","",H867*1700)</f>
        <v/>
      </c>
    </row>
    <row r="868" ht="15" customHeight="1" s="64">
      <c r="H868" s="88">
        <f>IF(G868="Day Pass ($5)",5,IF(G868="Half-Day ($3)",3,""))</f>
        <v/>
      </c>
      <c r="I868" s="89">
        <f>IF(H868="","",H868*1700)</f>
        <v/>
      </c>
    </row>
    <row r="869" ht="15" customHeight="1" s="64">
      <c r="H869" s="88">
        <f>IF(G869="Day Pass ($5)",5,IF(G869="Half-Day ($3)",3,""))</f>
        <v/>
      </c>
      <c r="I869" s="89">
        <f>IF(H869="","",H869*1700)</f>
        <v/>
      </c>
    </row>
    <row r="870" ht="15" customHeight="1" s="64">
      <c r="H870" s="88">
        <f>IF(G870="Day Pass ($5)",5,IF(G870="Half-Day ($3)",3,""))</f>
        <v/>
      </c>
      <c r="I870" s="89">
        <f>IF(H870="","",H870*1700)</f>
        <v/>
      </c>
    </row>
    <row r="871" ht="15" customHeight="1" s="64">
      <c r="H871" s="88">
        <f>IF(G871="Day Pass ($5)",5,IF(G871="Half-Day ($3)",3,""))</f>
        <v/>
      </c>
      <c r="I871" s="89">
        <f>IF(H871="","",H871*1700)</f>
        <v/>
      </c>
    </row>
    <row r="872" ht="15" customHeight="1" s="64">
      <c r="H872" s="88">
        <f>IF(G872="Day Pass ($5)",5,IF(G872="Half-Day ($3)",3,""))</f>
        <v/>
      </c>
      <c r="I872" s="89">
        <f>IF(H872="","",H872*1700)</f>
        <v/>
      </c>
    </row>
    <row r="873" ht="15" customHeight="1" s="64">
      <c r="H873" s="88">
        <f>IF(G873="Day Pass ($5)",5,IF(G873="Half-Day ($3)",3,""))</f>
        <v/>
      </c>
      <c r="I873" s="89">
        <f>IF(H873="","",H873*1700)</f>
        <v/>
      </c>
    </row>
    <row r="874" ht="15" customHeight="1" s="64">
      <c r="H874" s="88">
        <f>IF(G874="Day Pass ($5)",5,IF(G874="Half-Day ($3)",3,""))</f>
        <v/>
      </c>
      <c r="I874" s="89">
        <f>IF(H874="","",H874*1700)</f>
        <v/>
      </c>
    </row>
    <row r="875" ht="15" customHeight="1" s="64">
      <c r="H875" s="88">
        <f>IF(G875="Day Pass ($5)",5,IF(G875="Half-Day ($3)",3,""))</f>
        <v/>
      </c>
      <c r="I875" s="89">
        <f>IF(H875="","",H875*1700)</f>
        <v/>
      </c>
    </row>
    <row r="876" ht="15" customHeight="1" s="64">
      <c r="H876" s="88">
        <f>IF(G876="Day Pass ($5)",5,IF(G876="Half-Day ($3)",3,""))</f>
        <v/>
      </c>
      <c r="I876" s="89">
        <f>IF(H876="","",H876*1700)</f>
        <v/>
      </c>
    </row>
    <row r="877" ht="15" customHeight="1" s="64">
      <c r="H877" s="88">
        <f>IF(G877="Day Pass ($5)",5,IF(G877="Half-Day ($3)",3,""))</f>
        <v/>
      </c>
      <c r="I877" s="89">
        <f>IF(H877="","",H877*1700)</f>
        <v/>
      </c>
    </row>
    <row r="878" ht="15" customHeight="1" s="64">
      <c r="H878" s="88">
        <f>IF(G878="Day Pass ($5)",5,IF(G878="Half-Day ($3)",3,""))</f>
        <v/>
      </c>
      <c r="I878" s="89">
        <f>IF(H878="","",H878*1700)</f>
        <v/>
      </c>
    </row>
    <row r="879" ht="15" customHeight="1" s="64">
      <c r="H879" s="88">
        <f>IF(G879="Day Pass ($5)",5,IF(G879="Half-Day ($3)",3,""))</f>
        <v/>
      </c>
      <c r="I879" s="89">
        <f>IF(H879="","",H879*1700)</f>
        <v/>
      </c>
    </row>
    <row r="880" ht="15" customHeight="1" s="64">
      <c r="H880" s="88">
        <f>IF(G880="Day Pass ($5)",5,IF(G880="Half-Day ($3)",3,""))</f>
        <v/>
      </c>
      <c r="I880" s="89">
        <f>IF(H880="","",H880*1700)</f>
        <v/>
      </c>
    </row>
    <row r="881" ht="15" customHeight="1" s="64">
      <c r="H881" s="88">
        <f>IF(G881="Day Pass ($5)",5,IF(G881="Half-Day ($3)",3,""))</f>
        <v/>
      </c>
      <c r="I881" s="89">
        <f>IF(H881="","",H881*1700)</f>
        <v/>
      </c>
    </row>
    <row r="882" ht="15" customHeight="1" s="64">
      <c r="H882" s="88">
        <f>IF(G882="Day Pass ($5)",5,IF(G882="Half-Day ($3)",3,""))</f>
        <v/>
      </c>
      <c r="I882" s="89">
        <f>IF(H882="","",H882*1700)</f>
        <v/>
      </c>
    </row>
    <row r="883" ht="15" customHeight="1" s="64">
      <c r="H883" s="88">
        <f>IF(G883="Day Pass ($5)",5,IF(G883="Half-Day ($3)",3,""))</f>
        <v/>
      </c>
      <c r="I883" s="89">
        <f>IF(H883="","",H883*1700)</f>
        <v/>
      </c>
    </row>
    <row r="884" ht="15" customHeight="1" s="64">
      <c r="H884" s="88">
        <f>IF(G884="Day Pass ($5)",5,IF(G884="Half-Day ($3)",3,""))</f>
        <v/>
      </c>
      <c r="I884" s="89">
        <f>IF(H884="","",H884*1700)</f>
        <v/>
      </c>
    </row>
    <row r="885" ht="15" customHeight="1" s="64">
      <c r="H885" s="88">
        <f>IF(G885="Day Pass ($5)",5,IF(G885="Half-Day ($3)",3,""))</f>
        <v/>
      </c>
      <c r="I885" s="89">
        <f>IF(H885="","",H885*1700)</f>
        <v/>
      </c>
    </row>
    <row r="886" ht="15" customHeight="1" s="64">
      <c r="H886" s="88">
        <f>IF(G886="Day Pass ($5)",5,IF(G886="Half-Day ($3)",3,""))</f>
        <v/>
      </c>
      <c r="I886" s="89">
        <f>IF(H886="","",H886*1700)</f>
        <v/>
      </c>
    </row>
    <row r="887" ht="15" customHeight="1" s="64">
      <c r="H887" s="88">
        <f>IF(G887="Day Pass ($5)",5,IF(G887="Half-Day ($3)",3,""))</f>
        <v/>
      </c>
      <c r="I887" s="89">
        <f>IF(H887="","",H887*1700)</f>
        <v/>
      </c>
    </row>
    <row r="888" ht="15" customHeight="1" s="64">
      <c r="H888" s="88">
        <f>IF(G888="Day Pass ($5)",5,IF(G888="Half-Day ($3)",3,""))</f>
        <v/>
      </c>
      <c r="I888" s="89">
        <f>IF(H888="","",H888*1700)</f>
        <v/>
      </c>
    </row>
    <row r="889" ht="15" customHeight="1" s="64">
      <c r="H889" s="88">
        <f>IF(G889="Day Pass ($5)",5,IF(G889="Half-Day ($3)",3,""))</f>
        <v/>
      </c>
      <c r="I889" s="89">
        <f>IF(H889="","",H889*1700)</f>
        <v/>
      </c>
    </row>
    <row r="890" ht="15" customHeight="1" s="64">
      <c r="H890" s="88">
        <f>IF(G890="Day Pass ($5)",5,IF(G890="Half-Day ($3)",3,""))</f>
        <v/>
      </c>
      <c r="I890" s="89">
        <f>IF(H890="","",H890*1700)</f>
        <v/>
      </c>
    </row>
    <row r="891" ht="15" customHeight="1" s="64">
      <c r="H891" s="88">
        <f>IF(G891="Day Pass ($5)",5,IF(G891="Half-Day ($3)",3,""))</f>
        <v/>
      </c>
      <c r="I891" s="89">
        <f>IF(H891="","",H891*1700)</f>
        <v/>
      </c>
    </row>
    <row r="892" ht="15" customHeight="1" s="64">
      <c r="H892" s="88">
        <f>IF(G892="Day Pass ($5)",5,IF(G892="Half-Day ($3)",3,""))</f>
        <v/>
      </c>
      <c r="I892" s="89">
        <f>IF(H892="","",H892*1700)</f>
        <v/>
      </c>
    </row>
    <row r="893" ht="15" customHeight="1" s="64">
      <c r="H893" s="88">
        <f>IF(G893="Day Pass ($5)",5,IF(G893="Half-Day ($3)",3,""))</f>
        <v/>
      </c>
      <c r="I893" s="89">
        <f>IF(H893="","",H893*1700)</f>
        <v/>
      </c>
    </row>
    <row r="894" ht="15" customHeight="1" s="64">
      <c r="H894" s="88">
        <f>IF(G894="Day Pass ($5)",5,IF(G894="Half-Day ($3)",3,""))</f>
        <v/>
      </c>
      <c r="I894" s="89">
        <f>IF(H894="","",H894*1700)</f>
        <v/>
      </c>
    </row>
    <row r="895" ht="15" customHeight="1" s="64">
      <c r="H895" s="88">
        <f>IF(G895="Day Pass ($5)",5,IF(G895="Half-Day ($3)",3,""))</f>
        <v/>
      </c>
      <c r="I895" s="89">
        <f>IF(H895="","",H895*1700)</f>
        <v/>
      </c>
    </row>
    <row r="896" ht="15" customHeight="1" s="64">
      <c r="H896" s="88">
        <f>IF(G896="Day Pass ($5)",5,IF(G896="Half-Day ($3)",3,""))</f>
        <v/>
      </c>
      <c r="I896" s="89">
        <f>IF(H896="","",H896*1700)</f>
        <v/>
      </c>
    </row>
    <row r="897" ht="15" customHeight="1" s="64">
      <c r="H897" s="88">
        <f>IF(G897="Day Pass ($5)",5,IF(G897="Half-Day ($3)",3,""))</f>
        <v/>
      </c>
      <c r="I897" s="89">
        <f>IF(H897="","",H897*1700)</f>
        <v/>
      </c>
    </row>
    <row r="898" ht="15" customHeight="1" s="64">
      <c r="H898" s="88">
        <f>IF(G898="Day Pass ($5)",5,IF(G898="Half-Day ($3)",3,""))</f>
        <v/>
      </c>
      <c r="I898" s="89">
        <f>IF(H898="","",H898*1700)</f>
        <v/>
      </c>
    </row>
    <row r="899" ht="15" customHeight="1" s="64">
      <c r="H899" s="88">
        <f>IF(G899="Day Pass ($5)",5,IF(G899="Half-Day ($3)",3,""))</f>
        <v/>
      </c>
      <c r="I899" s="89">
        <f>IF(H899="","",H899*1700)</f>
        <v/>
      </c>
    </row>
    <row r="900" ht="15" customHeight="1" s="64">
      <c r="H900" s="88">
        <f>IF(G900="Day Pass ($5)",5,IF(G900="Half-Day ($3)",3,""))</f>
        <v/>
      </c>
      <c r="I900" s="89">
        <f>IF(H900="","",H900*1700)</f>
        <v/>
      </c>
    </row>
    <row r="901" ht="15" customHeight="1" s="64">
      <c r="H901" s="88">
        <f>IF(G901="Day Pass ($5)",5,IF(G901="Half-Day ($3)",3,""))</f>
        <v/>
      </c>
      <c r="I901" s="89">
        <f>IF(H901="","",H901*1700)</f>
        <v/>
      </c>
    </row>
    <row r="902" ht="15" customHeight="1" s="64">
      <c r="H902" s="88">
        <f>IF(G902="Day Pass ($5)",5,IF(G902="Half-Day ($3)",3,""))</f>
        <v/>
      </c>
      <c r="I902" s="89">
        <f>IF(H902="","",H902*1700)</f>
        <v/>
      </c>
    </row>
    <row r="903" ht="15" customHeight="1" s="64">
      <c r="H903" s="88">
        <f>IF(G903="Day Pass ($5)",5,IF(G903="Half-Day ($3)",3,""))</f>
        <v/>
      </c>
      <c r="I903" s="89">
        <f>IF(H903="","",H903*1700)</f>
        <v/>
      </c>
    </row>
    <row r="904" ht="15" customHeight="1" s="64">
      <c r="H904" s="88">
        <f>IF(G904="Day Pass ($5)",5,IF(G904="Half-Day ($3)",3,""))</f>
        <v/>
      </c>
      <c r="I904" s="89">
        <f>IF(H904="","",H904*1700)</f>
        <v/>
      </c>
    </row>
    <row r="905" ht="15" customHeight="1" s="64">
      <c r="H905" s="88">
        <f>IF(G905="Day Pass ($5)",5,IF(G905="Half-Day ($3)",3,""))</f>
        <v/>
      </c>
      <c r="I905" s="89">
        <f>IF(H905="","",H905*1700)</f>
        <v/>
      </c>
    </row>
    <row r="906" ht="15" customHeight="1" s="64">
      <c r="H906" s="88">
        <f>IF(G906="Day Pass ($5)",5,IF(G906="Half-Day ($3)",3,""))</f>
        <v/>
      </c>
      <c r="I906" s="89">
        <f>IF(H906="","",H906*1700)</f>
        <v/>
      </c>
    </row>
    <row r="907" ht="15" customHeight="1" s="64">
      <c r="H907" s="88">
        <f>IF(G907="Day Pass ($5)",5,IF(G907="Half-Day ($3)",3,""))</f>
        <v/>
      </c>
      <c r="I907" s="89">
        <f>IF(H907="","",H907*1700)</f>
        <v/>
      </c>
    </row>
    <row r="908" ht="15" customHeight="1" s="64">
      <c r="H908" s="88">
        <f>IF(G908="Day Pass ($5)",5,IF(G908="Half-Day ($3)",3,""))</f>
        <v/>
      </c>
      <c r="I908" s="89">
        <f>IF(H908="","",H908*1700)</f>
        <v/>
      </c>
    </row>
    <row r="909" ht="15" customHeight="1" s="64">
      <c r="H909" s="88">
        <f>IF(G909="Day Pass ($5)",5,IF(G909="Half-Day ($3)",3,""))</f>
        <v/>
      </c>
      <c r="I909" s="89">
        <f>IF(H909="","",H909*1700)</f>
        <v/>
      </c>
    </row>
    <row r="910" ht="15" customHeight="1" s="64">
      <c r="H910" s="88">
        <f>IF(G910="Day Pass ($5)",5,IF(G910="Half-Day ($3)",3,""))</f>
        <v/>
      </c>
      <c r="I910" s="89">
        <f>IF(H910="","",H910*1700)</f>
        <v/>
      </c>
    </row>
    <row r="911" ht="15" customHeight="1" s="64">
      <c r="H911" s="88">
        <f>IF(G911="Day Pass ($5)",5,IF(G911="Half-Day ($3)",3,""))</f>
        <v/>
      </c>
      <c r="I911" s="89">
        <f>IF(H911="","",H911*1700)</f>
        <v/>
      </c>
    </row>
    <row r="912" ht="15" customHeight="1" s="64">
      <c r="H912" s="88">
        <f>IF(G912="Day Pass ($5)",5,IF(G912="Half-Day ($3)",3,""))</f>
        <v/>
      </c>
      <c r="I912" s="89">
        <f>IF(H912="","",H912*1700)</f>
        <v/>
      </c>
    </row>
    <row r="913" ht="15" customHeight="1" s="64">
      <c r="H913" s="88">
        <f>IF(G913="Day Pass ($5)",5,IF(G913="Half-Day ($3)",3,""))</f>
        <v/>
      </c>
      <c r="I913" s="89">
        <f>IF(H913="","",H913*1700)</f>
        <v/>
      </c>
    </row>
    <row r="914" ht="15" customHeight="1" s="64">
      <c r="H914" s="88">
        <f>IF(G914="Day Pass ($5)",5,IF(G914="Half-Day ($3)",3,""))</f>
        <v/>
      </c>
      <c r="I914" s="89">
        <f>IF(H914="","",H914*1700)</f>
        <v/>
      </c>
    </row>
    <row r="915" ht="15" customHeight="1" s="64">
      <c r="H915" s="88">
        <f>IF(G915="Day Pass ($5)",5,IF(G915="Half-Day ($3)",3,""))</f>
        <v/>
      </c>
      <c r="I915" s="89">
        <f>IF(H915="","",H915*1700)</f>
        <v/>
      </c>
    </row>
    <row r="916" ht="15" customHeight="1" s="64">
      <c r="H916" s="88">
        <f>IF(G916="Day Pass ($5)",5,IF(G916="Half-Day ($3)",3,""))</f>
        <v/>
      </c>
      <c r="I916" s="89">
        <f>IF(H916="","",H916*1700)</f>
        <v/>
      </c>
    </row>
    <row r="917" ht="15" customHeight="1" s="64">
      <c r="H917" s="88">
        <f>IF(G917="Day Pass ($5)",5,IF(G917="Half-Day ($3)",3,""))</f>
        <v/>
      </c>
      <c r="I917" s="89">
        <f>IF(H917="","",H917*1700)</f>
        <v/>
      </c>
    </row>
    <row r="918" ht="15" customHeight="1" s="64">
      <c r="H918" s="88">
        <f>IF(G918="Day Pass ($5)",5,IF(G918="Half-Day ($3)",3,""))</f>
        <v/>
      </c>
      <c r="I918" s="89">
        <f>IF(H918="","",H918*1700)</f>
        <v/>
      </c>
    </row>
    <row r="919" ht="15" customHeight="1" s="64">
      <c r="H919" s="88">
        <f>IF(G919="Day Pass ($5)",5,IF(G919="Half-Day ($3)",3,""))</f>
        <v/>
      </c>
      <c r="I919" s="89">
        <f>IF(H919="","",H919*1700)</f>
        <v/>
      </c>
    </row>
    <row r="920" ht="15" customHeight="1" s="64">
      <c r="H920" s="88">
        <f>IF(G920="Day Pass ($5)",5,IF(G920="Half-Day ($3)",3,""))</f>
        <v/>
      </c>
      <c r="I920" s="89">
        <f>IF(H920="","",H920*1700)</f>
        <v/>
      </c>
    </row>
    <row r="921" ht="15" customHeight="1" s="64">
      <c r="H921" s="88">
        <f>IF(G921="Day Pass ($5)",5,IF(G921="Half-Day ($3)",3,""))</f>
        <v/>
      </c>
      <c r="I921" s="89">
        <f>IF(H921="","",H921*1700)</f>
        <v/>
      </c>
    </row>
    <row r="922" ht="15" customHeight="1" s="64">
      <c r="H922" s="88">
        <f>IF(G922="Day Pass ($5)",5,IF(G922="Half-Day ($3)",3,""))</f>
        <v/>
      </c>
      <c r="I922" s="89">
        <f>IF(H922="","",H922*1700)</f>
        <v/>
      </c>
    </row>
    <row r="923" ht="15" customHeight="1" s="64">
      <c r="H923" s="88">
        <f>IF(G923="Day Pass ($5)",5,IF(G923="Half-Day ($3)",3,""))</f>
        <v/>
      </c>
      <c r="I923" s="89">
        <f>IF(H923="","",H923*1700)</f>
        <v/>
      </c>
    </row>
    <row r="924" ht="15" customHeight="1" s="64">
      <c r="H924" s="88">
        <f>IF(G924="Day Pass ($5)",5,IF(G924="Half-Day ($3)",3,""))</f>
        <v/>
      </c>
      <c r="I924" s="89">
        <f>IF(H924="","",H924*1700)</f>
        <v/>
      </c>
    </row>
    <row r="925" ht="15" customHeight="1" s="64">
      <c r="H925" s="88">
        <f>IF(G925="Day Pass ($5)",5,IF(G925="Half-Day ($3)",3,""))</f>
        <v/>
      </c>
      <c r="I925" s="89">
        <f>IF(H925="","",H925*1700)</f>
        <v/>
      </c>
    </row>
    <row r="926" ht="15" customHeight="1" s="64">
      <c r="H926" s="88">
        <f>IF(G926="Day Pass ($5)",5,IF(G926="Half-Day ($3)",3,""))</f>
        <v/>
      </c>
      <c r="I926" s="89">
        <f>IF(H926="","",H926*1700)</f>
        <v/>
      </c>
    </row>
    <row r="927" ht="15" customHeight="1" s="64">
      <c r="H927" s="88">
        <f>IF(G927="Day Pass ($5)",5,IF(G927="Half-Day ($3)",3,""))</f>
        <v/>
      </c>
      <c r="I927" s="89">
        <f>IF(H927="","",H927*1700)</f>
        <v/>
      </c>
    </row>
    <row r="928" ht="15" customHeight="1" s="64">
      <c r="H928" s="88">
        <f>IF(G928="Day Pass ($5)",5,IF(G928="Half-Day ($3)",3,""))</f>
        <v/>
      </c>
      <c r="I928" s="89">
        <f>IF(H928="","",H928*1700)</f>
        <v/>
      </c>
    </row>
    <row r="929" ht="15" customHeight="1" s="64">
      <c r="H929" s="88">
        <f>IF(G929="Day Pass ($5)",5,IF(G929="Half-Day ($3)",3,""))</f>
        <v/>
      </c>
      <c r="I929" s="89">
        <f>IF(H929="","",H929*1700)</f>
        <v/>
      </c>
    </row>
    <row r="930" ht="15" customHeight="1" s="64">
      <c r="H930" s="88">
        <f>IF(G930="Day Pass ($5)",5,IF(G930="Half-Day ($3)",3,""))</f>
        <v/>
      </c>
      <c r="I930" s="89">
        <f>IF(H930="","",H930*1700)</f>
        <v/>
      </c>
    </row>
    <row r="931" ht="15" customHeight="1" s="64">
      <c r="H931" s="88">
        <f>IF(G931="Day Pass ($5)",5,IF(G931="Half-Day ($3)",3,""))</f>
        <v/>
      </c>
      <c r="I931" s="89">
        <f>IF(H931="","",H931*1700)</f>
        <v/>
      </c>
    </row>
    <row r="932" ht="15" customHeight="1" s="64">
      <c r="H932" s="88">
        <f>IF(G932="Day Pass ($5)",5,IF(G932="Half-Day ($3)",3,""))</f>
        <v/>
      </c>
      <c r="I932" s="89">
        <f>IF(H932="","",H932*1700)</f>
        <v/>
      </c>
    </row>
    <row r="933" ht="15" customHeight="1" s="64">
      <c r="H933" s="88">
        <f>IF(G933="Day Pass ($5)",5,IF(G933="Half-Day ($3)",3,""))</f>
        <v/>
      </c>
      <c r="I933" s="89">
        <f>IF(H933="","",H933*1700)</f>
        <v/>
      </c>
    </row>
    <row r="934" ht="15" customHeight="1" s="64">
      <c r="H934" s="88">
        <f>IF(G934="Day Pass ($5)",5,IF(G934="Half-Day ($3)",3,""))</f>
        <v/>
      </c>
      <c r="I934" s="89">
        <f>IF(H934="","",H934*1700)</f>
        <v/>
      </c>
    </row>
    <row r="935" ht="15" customHeight="1" s="64">
      <c r="H935" s="88">
        <f>IF(G935="Day Pass ($5)",5,IF(G935="Half-Day ($3)",3,""))</f>
        <v/>
      </c>
      <c r="I935" s="89">
        <f>IF(H935="","",H935*1700)</f>
        <v/>
      </c>
    </row>
    <row r="936" ht="15" customHeight="1" s="64">
      <c r="H936" s="88">
        <f>IF(G936="Day Pass ($5)",5,IF(G936="Half-Day ($3)",3,""))</f>
        <v/>
      </c>
      <c r="I936" s="89">
        <f>IF(H936="","",H936*1700)</f>
        <v/>
      </c>
    </row>
    <row r="937" ht="15" customHeight="1" s="64">
      <c r="H937" s="88">
        <f>IF(G937="Day Pass ($5)",5,IF(G937="Half-Day ($3)",3,""))</f>
        <v/>
      </c>
      <c r="I937" s="89">
        <f>IF(H937="","",H937*1700)</f>
        <v/>
      </c>
    </row>
    <row r="938" ht="15" customHeight="1" s="64">
      <c r="H938" s="88">
        <f>IF(G938="Day Pass ($5)",5,IF(G938="Half-Day ($3)",3,""))</f>
        <v/>
      </c>
      <c r="I938" s="89">
        <f>IF(H938="","",H938*1700)</f>
        <v/>
      </c>
    </row>
    <row r="939" ht="15" customHeight="1" s="64">
      <c r="H939" s="88">
        <f>IF(G939="Day Pass ($5)",5,IF(G939="Half-Day ($3)",3,""))</f>
        <v/>
      </c>
      <c r="I939" s="89">
        <f>IF(H939="","",H939*1700)</f>
        <v/>
      </c>
    </row>
    <row r="940" ht="15" customHeight="1" s="64">
      <c r="H940" s="88">
        <f>IF(G940="Day Pass ($5)",5,IF(G940="Half-Day ($3)",3,""))</f>
        <v/>
      </c>
      <c r="I940" s="89">
        <f>IF(H940="","",H940*1700)</f>
        <v/>
      </c>
    </row>
    <row r="941" ht="15" customHeight="1" s="64">
      <c r="H941" s="88">
        <f>IF(G941="Day Pass ($5)",5,IF(G941="Half-Day ($3)",3,""))</f>
        <v/>
      </c>
      <c r="I941" s="89">
        <f>IF(H941="","",H941*1700)</f>
        <v/>
      </c>
    </row>
    <row r="942" ht="15" customHeight="1" s="64">
      <c r="H942" s="88">
        <f>IF(G942="Day Pass ($5)",5,IF(G942="Half-Day ($3)",3,""))</f>
        <v/>
      </c>
      <c r="I942" s="89">
        <f>IF(H942="","",H942*1700)</f>
        <v/>
      </c>
    </row>
    <row r="943" ht="15" customHeight="1" s="64">
      <c r="H943" s="88">
        <f>IF(G943="Day Pass ($5)",5,IF(G943="Half-Day ($3)",3,""))</f>
        <v/>
      </c>
      <c r="I943" s="89">
        <f>IF(H943="","",H943*1700)</f>
        <v/>
      </c>
    </row>
    <row r="944" ht="15" customHeight="1" s="64">
      <c r="H944" s="88">
        <f>IF(G944="Day Pass ($5)",5,IF(G944="Half-Day ($3)",3,""))</f>
        <v/>
      </c>
      <c r="I944" s="89">
        <f>IF(H944="","",H944*1700)</f>
        <v/>
      </c>
    </row>
    <row r="945" ht="15" customHeight="1" s="64">
      <c r="H945" s="88">
        <f>IF(G945="Day Pass ($5)",5,IF(G945="Half-Day ($3)",3,""))</f>
        <v/>
      </c>
      <c r="I945" s="89">
        <f>IF(H945="","",H945*1700)</f>
        <v/>
      </c>
    </row>
    <row r="946" ht="15" customHeight="1" s="64">
      <c r="H946" s="88">
        <f>IF(G946="Day Pass ($5)",5,IF(G946="Half-Day ($3)",3,""))</f>
        <v/>
      </c>
      <c r="I946" s="89">
        <f>IF(H946="","",H946*1700)</f>
        <v/>
      </c>
    </row>
    <row r="947" ht="15" customHeight="1" s="64">
      <c r="H947" s="88">
        <f>IF(G947="Day Pass ($5)",5,IF(G947="Half-Day ($3)",3,""))</f>
        <v/>
      </c>
      <c r="I947" s="89">
        <f>IF(H947="","",H947*1700)</f>
        <v/>
      </c>
    </row>
    <row r="948" ht="15" customHeight="1" s="64">
      <c r="H948" s="88">
        <f>IF(G948="Day Pass ($5)",5,IF(G948="Half-Day ($3)",3,""))</f>
        <v/>
      </c>
      <c r="I948" s="89">
        <f>IF(H948="","",H948*1700)</f>
        <v/>
      </c>
    </row>
    <row r="949" ht="15" customHeight="1" s="64">
      <c r="H949" s="88">
        <f>IF(G949="Day Pass ($5)",5,IF(G949="Half-Day ($3)",3,""))</f>
        <v/>
      </c>
      <c r="I949" s="89">
        <f>IF(H949="","",H949*1700)</f>
        <v/>
      </c>
    </row>
    <row r="950" ht="15" customHeight="1" s="64">
      <c r="H950" s="88">
        <f>IF(G950="Day Pass ($5)",5,IF(G950="Half-Day ($3)",3,""))</f>
        <v/>
      </c>
      <c r="I950" s="89">
        <f>IF(H950="","",H950*1700)</f>
        <v/>
      </c>
    </row>
    <row r="951" ht="15" customHeight="1" s="64">
      <c r="H951" s="88">
        <f>IF(G951="Day Pass ($5)",5,IF(G951="Half-Day ($3)",3,""))</f>
        <v/>
      </c>
      <c r="I951" s="89">
        <f>IF(H951="","",H951*1700)</f>
        <v/>
      </c>
    </row>
    <row r="952" ht="15" customHeight="1" s="64">
      <c r="H952" s="88">
        <f>IF(G952="Day Pass ($5)",5,IF(G952="Half-Day ($3)",3,""))</f>
        <v/>
      </c>
      <c r="I952" s="89">
        <f>IF(H952="","",H952*1700)</f>
        <v/>
      </c>
    </row>
    <row r="953" ht="15" customHeight="1" s="64">
      <c r="H953" s="88">
        <f>IF(G953="Day Pass ($5)",5,IF(G953="Half-Day ($3)",3,""))</f>
        <v/>
      </c>
      <c r="I953" s="89">
        <f>IF(H953="","",H953*1700)</f>
        <v/>
      </c>
    </row>
    <row r="954" ht="15" customHeight="1" s="64">
      <c r="H954" s="88">
        <f>IF(G954="Day Pass ($5)",5,IF(G954="Half-Day ($3)",3,""))</f>
        <v/>
      </c>
      <c r="I954" s="89">
        <f>IF(H954="","",H954*1700)</f>
        <v/>
      </c>
    </row>
    <row r="955" ht="15" customHeight="1" s="64">
      <c r="H955" s="88">
        <f>IF(G955="Day Pass ($5)",5,IF(G955="Half-Day ($3)",3,""))</f>
        <v/>
      </c>
      <c r="I955" s="89">
        <f>IF(H955="","",H955*1700)</f>
        <v/>
      </c>
    </row>
    <row r="956" ht="15" customHeight="1" s="64">
      <c r="H956" s="88">
        <f>IF(G956="Day Pass ($5)",5,IF(G956="Half-Day ($3)",3,""))</f>
        <v/>
      </c>
      <c r="I956" s="89">
        <f>IF(H956="","",H956*1700)</f>
        <v/>
      </c>
    </row>
    <row r="957" ht="15" customHeight="1" s="64">
      <c r="H957" s="88">
        <f>IF(G957="Day Pass ($5)",5,IF(G957="Half-Day ($3)",3,""))</f>
        <v/>
      </c>
      <c r="I957" s="89">
        <f>IF(H957="","",H957*1700)</f>
        <v/>
      </c>
    </row>
    <row r="958" ht="15" customHeight="1" s="64">
      <c r="H958" s="88">
        <f>IF(G958="Day Pass ($5)",5,IF(G958="Half-Day ($3)",3,""))</f>
        <v/>
      </c>
      <c r="I958" s="89">
        <f>IF(H958="","",H958*1700)</f>
        <v/>
      </c>
    </row>
    <row r="959" ht="15" customHeight="1" s="64">
      <c r="H959" s="88">
        <f>IF(G959="Day Pass ($5)",5,IF(G959="Half-Day ($3)",3,""))</f>
        <v/>
      </c>
      <c r="I959" s="89">
        <f>IF(H959="","",H959*1700)</f>
        <v/>
      </c>
    </row>
    <row r="960" ht="15" customHeight="1" s="64">
      <c r="H960" s="88">
        <f>IF(G960="Day Pass ($5)",5,IF(G960="Half-Day ($3)",3,""))</f>
        <v/>
      </c>
      <c r="I960" s="89">
        <f>IF(H960="","",H960*1700)</f>
        <v/>
      </c>
    </row>
    <row r="961" ht="15" customHeight="1" s="64">
      <c r="H961" s="88">
        <f>IF(G961="Day Pass ($5)",5,IF(G961="Half-Day ($3)",3,""))</f>
        <v/>
      </c>
      <c r="I961" s="89">
        <f>IF(H961="","",H961*1700)</f>
        <v/>
      </c>
    </row>
    <row r="962" ht="15" customHeight="1" s="64">
      <c r="H962" s="88">
        <f>IF(G962="Day Pass ($5)",5,IF(G962="Half-Day ($3)",3,""))</f>
        <v/>
      </c>
      <c r="I962" s="89">
        <f>IF(H962="","",H962*1700)</f>
        <v/>
      </c>
    </row>
    <row r="963" ht="15" customHeight="1" s="64">
      <c r="H963" s="88">
        <f>IF(G963="Day Pass ($5)",5,IF(G963="Half-Day ($3)",3,""))</f>
        <v/>
      </c>
      <c r="I963" s="89">
        <f>IF(H963="","",H963*1700)</f>
        <v/>
      </c>
    </row>
    <row r="964" ht="15" customHeight="1" s="64">
      <c r="H964" s="88">
        <f>IF(G964="Day Pass ($5)",5,IF(G964="Half-Day ($3)",3,""))</f>
        <v/>
      </c>
      <c r="I964" s="89">
        <f>IF(H964="","",H964*1700)</f>
        <v/>
      </c>
    </row>
    <row r="965" ht="15" customHeight="1" s="64">
      <c r="H965" s="88">
        <f>IF(G965="Day Pass ($5)",5,IF(G965="Half-Day ($3)",3,""))</f>
        <v/>
      </c>
      <c r="I965" s="89">
        <f>IF(H965="","",H965*1700)</f>
        <v/>
      </c>
    </row>
    <row r="966" ht="15" customHeight="1" s="64">
      <c r="H966" s="88">
        <f>IF(G966="Day Pass ($5)",5,IF(G966="Half-Day ($3)",3,""))</f>
        <v/>
      </c>
      <c r="I966" s="89">
        <f>IF(H966="","",H966*1700)</f>
        <v/>
      </c>
    </row>
    <row r="967" ht="15" customHeight="1" s="64">
      <c r="H967" s="88">
        <f>IF(G967="Day Pass ($5)",5,IF(G967="Half-Day ($3)",3,""))</f>
        <v/>
      </c>
      <c r="I967" s="89">
        <f>IF(H967="","",H967*1700)</f>
        <v/>
      </c>
    </row>
    <row r="968" ht="15" customHeight="1" s="64">
      <c r="H968" s="88">
        <f>IF(G968="Day Pass ($5)",5,IF(G968="Half-Day ($3)",3,""))</f>
        <v/>
      </c>
      <c r="I968" s="89">
        <f>IF(H968="","",H968*1700)</f>
        <v/>
      </c>
    </row>
    <row r="969" ht="15" customHeight="1" s="64">
      <c r="H969" s="88">
        <f>IF(G969="Day Pass ($5)",5,IF(G969="Half-Day ($3)",3,""))</f>
        <v/>
      </c>
      <c r="I969" s="89">
        <f>IF(H969="","",H969*1700)</f>
        <v/>
      </c>
    </row>
    <row r="970" ht="15" customHeight="1" s="64">
      <c r="H970" s="88">
        <f>IF(G970="Day Pass ($5)",5,IF(G970="Half-Day ($3)",3,""))</f>
        <v/>
      </c>
      <c r="I970" s="89">
        <f>IF(H970="","",H970*1700)</f>
        <v/>
      </c>
    </row>
    <row r="971" ht="15" customHeight="1" s="64">
      <c r="H971" s="88">
        <f>IF(G971="Day Pass ($5)",5,IF(G971="Half-Day ($3)",3,""))</f>
        <v/>
      </c>
      <c r="I971" s="89">
        <f>IF(H971="","",H971*1700)</f>
        <v/>
      </c>
    </row>
    <row r="972" ht="15" customHeight="1" s="64">
      <c r="H972" s="88">
        <f>IF(G972="Day Pass ($5)",5,IF(G972="Half-Day ($3)",3,""))</f>
        <v/>
      </c>
      <c r="I972" s="89">
        <f>IF(H972="","",H972*1700)</f>
        <v/>
      </c>
    </row>
    <row r="973" ht="15" customHeight="1" s="64">
      <c r="H973" s="88">
        <f>IF(G973="Day Pass ($5)",5,IF(G973="Half-Day ($3)",3,""))</f>
        <v/>
      </c>
      <c r="I973" s="89">
        <f>IF(H973="","",H973*1700)</f>
        <v/>
      </c>
    </row>
    <row r="974" ht="15" customHeight="1" s="64">
      <c r="H974" s="88">
        <f>IF(G974="Day Pass ($5)",5,IF(G974="Half-Day ($3)",3,""))</f>
        <v/>
      </c>
      <c r="I974" s="89">
        <f>IF(H974="","",H974*1700)</f>
        <v/>
      </c>
    </row>
    <row r="975" ht="15" customHeight="1" s="64">
      <c r="H975" s="88">
        <f>IF(G975="Day Pass ($5)",5,IF(G975="Half-Day ($3)",3,""))</f>
        <v/>
      </c>
      <c r="I975" s="89">
        <f>IF(H975="","",H975*1700)</f>
        <v/>
      </c>
    </row>
    <row r="976" ht="15" customHeight="1" s="64">
      <c r="H976" s="88">
        <f>IF(G976="Day Pass ($5)",5,IF(G976="Half-Day ($3)",3,""))</f>
        <v/>
      </c>
      <c r="I976" s="89">
        <f>IF(H976="","",H976*1700)</f>
        <v/>
      </c>
    </row>
    <row r="977" ht="15" customHeight="1" s="64">
      <c r="H977" s="88">
        <f>IF(G977="Day Pass ($5)",5,IF(G977="Half-Day ($3)",3,""))</f>
        <v/>
      </c>
      <c r="I977" s="89">
        <f>IF(H977="","",H977*1700)</f>
        <v/>
      </c>
    </row>
    <row r="978" ht="15" customHeight="1" s="64">
      <c r="H978" s="88">
        <f>IF(G978="Day Pass ($5)",5,IF(G978="Half-Day ($3)",3,""))</f>
        <v/>
      </c>
      <c r="I978" s="89">
        <f>IF(H978="","",H978*1700)</f>
        <v/>
      </c>
    </row>
    <row r="979" ht="15" customHeight="1" s="64">
      <c r="H979" s="88">
        <f>IF(G979="Day Pass ($5)",5,IF(G979="Half-Day ($3)",3,""))</f>
        <v/>
      </c>
      <c r="I979" s="89">
        <f>IF(H979="","",H979*1700)</f>
        <v/>
      </c>
    </row>
    <row r="980" ht="15" customHeight="1" s="64">
      <c r="H980" s="88">
        <f>IF(G980="Day Pass ($5)",5,IF(G980="Half-Day ($3)",3,""))</f>
        <v/>
      </c>
      <c r="I980" s="89">
        <f>IF(H980="","",H980*1700)</f>
        <v/>
      </c>
    </row>
    <row r="981" ht="15" customHeight="1" s="64">
      <c r="H981" s="88">
        <f>IF(G981="Day Pass ($5)",5,IF(G981="Half-Day ($3)",3,""))</f>
        <v/>
      </c>
      <c r="I981" s="89">
        <f>IF(H981="","",H981*1700)</f>
        <v/>
      </c>
    </row>
    <row r="982" ht="15" customHeight="1" s="64">
      <c r="H982" s="88">
        <f>IF(G982="Day Pass ($5)",5,IF(G982="Half-Day ($3)",3,""))</f>
        <v/>
      </c>
      <c r="I982" s="89">
        <f>IF(H982="","",H982*1700)</f>
        <v/>
      </c>
    </row>
    <row r="983" ht="15" customHeight="1" s="64">
      <c r="H983" s="88">
        <f>IF(G983="Day Pass ($5)",5,IF(G983="Half-Day ($3)",3,""))</f>
        <v/>
      </c>
      <c r="I983" s="89">
        <f>IF(H983="","",H983*1700)</f>
        <v/>
      </c>
    </row>
    <row r="984" ht="15" customHeight="1" s="64">
      <c r="H984" s="88">
        <f>IF(G984="Day Pass ($5)",5,IF(G984="Half-Day ($3)",3,""))</f>
        <v/>
      </c>
      <c r="I984" s="89">
        <f>IF(H984="","",H984*1700)</f>
        <v/>
      </c>
    </row>
    <row r="985" ht="15" customHeight="1" s="64">
      <c r="H985" s="88">
        <f>IF(G985="Day Pass ($5)",5,IF(G985="Half-Day ($3)",3,""))</f>
        <v/>
      </c>
      <c r="I985" s="89">
        <f>IF(H985="","",H985*1700)</f>
        <v/>
      </c>
    </row>
    <row r="986" ht="15" customHeight="1" s="64">
      <c r="H986" s="88">
        <f>IF(G986="Day Pass ($5)",5,IF(G986="Half-Day ($3)",3,""))</f>
        <v/>
      </c>
      <c r="I986" s="89">
        <f>IF(H986="","",H986*1700)</f>
        <v/>
      </c>
    </row>
    <row r="987" ht="15" customHeight="1" s="64">
      <c r="H987" s="88">
        <f>IF(G987="Day Pass ($5)",5,IF(G987="Half-Day ($3)",3,""))</f>
        <v/>
      </c>
      <c r="I987" s="89">
        <f>IF(H987="","",H987*1700)</f>
        <v/>
      </c>
    </row>
    <row r="988" ht="15" customHeight="1" s="64">
      <c r="H988" s="88">
        <f>IF(G988="Day Pass ($5)",5,IF(G988="Half-Day ($3)",3,""))</f>
        <v/>
      </c>
      <c r="I988" s="89">
        <f>IF(H988="","",H988*1700)</f>
        <v/>
      </c>
    </row>
    <row r="989" ht="15" customHeight="1" s="64">
      <c r="H989" s="88">
        <f>IF(G989="Day Pass ($5)",5,IF(G989="Half-Day ($3)",3,""))</f>
        <v/>
      </c>
      <c r="I989" s="89">
        <f>IF(H989="","",H989*1700)</f>
        <v/>
      </c>
    </row>
    <row r="990" ht="15" customHeight="1" s="64">
      <c r="H990" s="88">
        <f>IF(G990="Day Pass ($5)",5,IF(G990="Half-Day ($3)",3,""))</f>
        <v/>
      </c>
      <c r="I990" s="89">
        <f>IF(H990="","",H990*1700)</f>
        <v/>
      </c>
    </row>
    <row r="991" ht="15" customHeight="1" s="64">
      <c r="H991" s="88">
        <f>IF(G991="Day Pass ($5)",5,IF(G991="Half-Day ($3)",3,""))</f>
        <v/>
      </c>
      <c r="I991" s="89">
        <f>IF(H991="","",H991*1700)</f>
        <v/>
      </c>
    </row>
    <row r="992" ht="15" customHeight="1" s="64">
      <c r="H992" s="88">
        <f>IF(G992="Day Pass ($5)",5,IF(G992="Half-Day ($3)",3,""))</f>
        <v/>
      </c>
      <c r="I992" s="89">
        <f>IF(H992="","",H992*1700)</f>
        <v/>
      </c>
    </row>
    <row r="993" ht="15" customHeight="1" s="64">
      <c r="H993" s="88">
        <f>IF(G993="Day Pass ($5)",5,IF(G993="Half-Day ($3)",3,""))</f>
        <v/>
      </c>
      <c r="I993" s="89">
        <f>IF(H993="","",H993*1700)</f>
        <v/>
      </c>
    </row>
    <row r="994" ht="15" customHeight="1" s="64">
      <c r="H994" s="88">
        <f>IF(G994="Day Pass ($5)",5,IF(G994="Half-Day ($3)",3,""))</f>
        <v/>
      </c>
      <c r="I994" s="89">
        <f>IF(H994="","",H994*1700)</f>
        <v/>
      </c>
    </row>
    <row r="995" ht="15" customHeight="1" s="64">
      <c r="H995" s="88">
        <f>IF(G995="Day Pass ($5)",5,IF(G995="Half-Day ($3)",3,""))</f>
        <v/>
      </c>
      <c r="I995" s="89">
        <f>IF(H995="","",H995*1700)</f>
        <v/>
      </c>
    </row>
    <row r="996" ht="15" customHeight="1" s="64">
      <c r="H996" s="88">
        <f>IF(G996="Day Pass ($5)",5,IF(G996="Half-Day ($3)",3,""))</f>
        <v/>
      </c>
      <c r="I996" s="89">
        <f>IF(H996="","",H996*1700)</f>
        <v/>
      </c>
    </row>
    <row r="997" ht="15" customHeight="1" s="64">
      <c r="H997" s="88">
        <f>IF(G997="Day Pass ($5)",5,IF(G997="Half-Day ($3)",3,""))</f>
        <v/>
      </c>
      <c r="I997" s="89">
        <f>IF(H997="","",H997*1700)</f>
        <v/>
      </c>
    </row>
    <row r="998" ht="15" customHeight="1" s="64">
      <c r="H998" s="88">
        <f>IF(G998="Day Pass ($5)",5,IF(G998="Half-Day ($3)",3,""))</f>
        <v/>
      </c>
      <c r="I998" s="89">
        <f>IF(H998="","",H998*1700)</f>
        <v/>
      </c>
    </row>
    <row r="999" ht="15" customHeight="1" s="64">
      <c r="H999" s="88">
        <f>IF(G999="Day Pass ($5)",5,IF(G999="Half-Day ($3)",3,""))</f>
        <v/>
      </c>
      <c r="I999" s="89">
        <f>IF(H999="","",H999*1700)</f>
        <v/>
      </c>
    </row>
    <row r="1000" ht="15" customHeight="1" s="64">
      <c r="H1000" s="88">
        <f>IF(G1000="Day Pass ($5)",5,IF(G1000="Half-Day ($3)",3,""))</f>
        <v/>
      </c>
      <c r="I1000" s="89">
        <f>IF(H1000="","",H1000*1700)</f>
        <v/>
      </c>
    </row>
    <row r="1001" ht="15" customHeight="1" s="64">
      <c r="H1001" s="88">
        <f>IF(G1001="Day Pass ($5)",5,IF(G1001="Half-Day ($3)",3,""))</f>
        <v/>
      </c>
      <c r="I1001" s="89">
        <f>IF(H1001="","",H1001*1700)</f>
        <v/>
      </c>
    </row>
    <row r="1002" ht="15" customHeight="1" s="64">
      <c r="H1002" s="88">
        <f>IF(G1002="Day Pass ($5)",5,IF(G1002="Half-Day ($3)",3,""))</f>
        <v/>
      </c>
      <c r="I1002" s="89">
        <f>IF(H1002="","",H1002*1700)</f>
        <v/>
      </c>
    </row>
    <row r="1003" ht="15" customHeight="1" s="64">
      <c r="H1003" s="88">
        <f>IF(G1003="Day Pass ($5)",5,IF(G1003="Half-Day ($3)",3,""))</f>
        <v/>
      </c>
      <c r="I1003" s="89">
        <f>IF(H1003="","",H1003*1700)</f>
        <v/>
      </c>
    </row>
    <row r="1004" ht="15" customHeight="1" s="64">
      <c r="H1004" s="88">
        <f>IF(G1004="Day Pass ($5)",5,IF(G1004="Half-Day ($3)",3,""))</f>
        <v/>
      </c>
      <c r="I1004" s="89">
        <f>IF(H1004="","",H1004*1700)</f>
        <v/>
      </c>
    </row>
  </sheetData>
  <mergeCells count="3">
    <mergeCell ref="A3:Q3"/>
    <mergeCell ref="A2:Q2"/>
    <mergeCell ref="A1:Q1"/>
  </mergeCells>
  <dataValidations count="4">
    <dataValidation sqref="G5:G1004" showDropDown="0" showInputMessage="0" showErrorMessage="0" allowBlank="1" type="list" errorStyle="stop" operator="between">
      <formula1>"Day Pass ($5),Half-Day ($3)"</formula1>
      <formula2>0</formula2>
    </dataValidation>
    <dataValidation sqref="O5:O1004" showDropDown="0" showInputMessage="0" showErrorMessage="0" allowBlank="1" type="list" errorStyle="stop" operator="between">
      <formula1>"Hot — Very Interested,Warm — Considering,Cool — Just Visiting,Cold — One-time"</formula1>
      <formula2>0</formula2>
    </dataValidation>
    <dataValidation sqref="M505:M1004" showDropDown="0" showInputMessage="0" showErrorMessage="0" allowBlank="1" type="list" errorStyle="stop" operator="between">
      <formula1>"First Visit,2nd Visit,3rd+ Visit"</formula1>
      <formula2>0</formula2>
    </dataValidation>
    <dataValidation sqref="M5:N504 N505:N1004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ECC71"/>
    <outlinePr summaryBelow="1" summaryRight="1"/>
    <pageSetUpPr fitToPage="0"/>
  </sheetPr>
  <dimension ref="A1:P5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3" min="1" max="1"/>
    <col width="22" customWidth="1" style="63" min="2" max="2"/>
    <col width="14" customWidth="1" style="63" min="3" max="3"/>
    <col width="13" customWidth="1" style="63" min="4" max="4"/>
    <col width="12" customWidth="1" style="63" min="5" max="6"/>
    <col width="14" customWidth="1" style="63" min="7" max="7"/>
    <col width="12" customWidth="1" style="63" min="8" max="8"/>
    <col width="14" customWidth="1" style="63" min="9" max="11"/>
    <col width="13" customWidth="1" style="63" min="12" max="12"/>
    <col width="14" customWidth="1" style="63" min="13" max="14"/>
    <col width="20" customWidth="1" style="63" min="15" max="15"/>
    <col width="14" customWidth="1" style="63" min="16" max="16"/>
  </cols>
  <sheetData>
    <row r="1" ht="17.15" customHeight="1" s="64">
      <c r="A1" s="95" t="inlineStr">
        <is>
          <t>MEMBERSHIP RENEWAL TRACKER  |  متتبع تجديد العضوية  |  KAY-OPS-MMS-001 Tab 5</t>
        </is>
      </c>
    </row>
    <row r="2" ht="15" customHeight="1" s="64">
      <c r="A2" s="79" t="inlineStr">
        <is>
          <t>⚠ Start contact 7 DAYS before expiry. Auto-renew per KAY-LEG-WMA-001 Art.2.2 unless 5-day written notice. Log EVERY contact attempt — churn analysis depends on this.</t>
        </is>
      </c>
    </row>
    <row r="3" ht="15" customHeight="1" s="64">
      <c r="A3" s="68" t="inlineStr">
        <is>
          <t>Column E auto-calculates days to expiry. Red = overdue. Amber = ≤7 days. Green = &gt;7 days. Target: 80% renewal rate by M6.</t>
        </is>
      </c>
    </row>
    <row r="4" ht="50.7" customHeight="1" s="64">
      <c r="A4" s="80" t="inlineStr">
        <is>
          <t>Member ID
رقم العضوية</t>
        </is>
      </c>
      <c r="B4" s="80" t="inlineStr">
        <is>
          <t>Member Name
اسم العضو</t>
        </is>
      </c>
      <c r="C4" s="80" t="inlineStr">
        <is>
          <t>Plan
الخطة</t>
        </is>
      </c>
      <c r="D4" s="80" t="inlineStr">
        <is>
          <t>Expiry Date
تاريخ الانتهاء</t>
        </is>
      </c>
      <c r="E4" s="80" t="inlineStr">
        <is>
          <t>Days Until Expiry
أيام للانتهاء</t>
        </is>
      </c>
      <c r="F4" s="80" t="inlineStr">
        <is>
          <t>Alert Status
حالة التنبيه</t>
        </is>
      </c>
      <c r="G4" s="80" t="inlineStr">
        <is>
          <t>1st Contact Date
تاريخ أول اتصال</t>
        </is>
      </c>
      <c r="H4" s="80" t="inlineStr">
        <is>
          <t>1st Contact Method
طريقة الاتصال</t>
        </is>
      </c>
      <c r="I4" s="80" t="inlineStr">
        <is>
          <t>2nd Contact Date
تاريخ ثاني اتصال</t>
        </is>
      </c>
      <c r="J4" s="80" t="inlineStr">
        <is>
          <t>Member Response
رد العضو</t>
        </is>
      </c>
      <c r="K4" s="80" t="inlineStr">
        <is>
          <t>Renewal Decision
قرار التجديد</t>
        </is>
      </c>
      <c r="L4" s="80" t="inlineStr">
        <is>
          <t>New Expiry Date
تاريخ الانتهاء الجديد</t>
        </is>
      </c>
      <c r="M4" s="80" t="inlineStr">
        <is>
          <t>Payment Received?
هل تم الدفع؟</t>
        </is>
      </c>
      <c r="N4" s="80" t="inlineStr">
        <is>
          <t>If Churned: Reason
إذا غادر: السبب</t>
        </is>
      </c>
      <c r="O4" s="80" t="inlineStr">
        <is>
          <t>Notes / Follow-up
ملاحظات / متابعة</t>
        </is>
      </c>
      <c r="P4" s="80" t="inlineStr">
        <is>
          <t>Handled By
تم بواسطة</t>
        </is>
      </c>
    </row>
    <row r="5" ht="15" customHeight="1" s="64">
      <c r="A5" s="85" t="n"/>
      <c r="B5" s="85" t="n"/>
      <c r="C5" s="85" t="n"/>
      <c r="D5" s="85" t="n"/>
      <c r="E5" s="96">
        <f>IF(D5="","",D5-TODAY())</f>
        <v/>
      </c>
      <c r="F5" s="85">
        <f>IF(E5="","",IF(E5&lt;0,"OVERDUE",IF(E5&lt;=3,"URGENT",IF(E5&lt;=7,"CONTACT NOW","OK"))))</f>
        <v/>
      </c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85" t="n"/>
    </row>
    <row r="6" ht="15" customHeight="1" s="64">
      <c r="A6" s="81" t="n"/>
      <c r="B6" s="81" t="n"/>
      <c r="C6" s="81" t="n"/>
      <c r="D6" s="81" t="n"/>
      <c r="E6" s="97">
        <f>IF(D6="","",D6-TODAY())</f>
        <v/>
      </c>
      <c r="F6" s="81">
        <f>IF(E6="","",IF(E6&lt;0,"OVERDUE",IF(E6&lt;=3,"URGENT",IF(E6&lt;=7,"CONTACT NOW","OK"))))</f>
        <v/>
      </c>
      <c r="G6" s="81" t="n"/>
      <c r="H6" s="81" t="n"/>
      <c r="I6" s="81" t="n"/>
      <c r="J6" s="81" t="n"/>
      <c r="K6" s="81" t="n"/>
      <c r="L6" s="81" t="n"/>
      <c r="M6" s="81" t="n"/>
      <c r="N6" s="81" t="n"/>
      <c r="O6" s="81" t="n"/>
      <c r="P6" s="81" t="n"/>
    </row>
    <row r="7" ht="15" customHeight="1" s="64">
      <c r="A7" s="85" t="n"/>
      <c r="B7" s="85" t="n"/>
      <c r="C7" s="85" t="n"/>
      <c r="D7" s="85" t="n"/>
      <c r="E7" s="96">
        <f>IF(D7="","",D7-TODAY())</f>
        <v/>
      </c>
      <c r="F7" s="85">
        <f>IF(E7="","",IF(E7&lt;0,"OVERDUE",IF(E7&lt;=3,"URGENT",IF(E7&lt;=7,"CONTACT NOW","OK"))))</f>
        <v/>
      </c>
      <c r="G7" s="85" t="n"/>
      <c r="H7" s="85" t="n"/>
      <c r="I7" s="85" t="n"/>
      <c r="J7" s="85" t="n"/>
      <c r="K7" s="85" t="n"/>
      <c r="L7" s="85" t="n"/>
      <c r="M7" s="85" t="n"/>
      <c r="N7" s="85" t="n"/>
      <c r="O7" s="85" t="n"/>
      <c r="P7" s="85" t="n"/>
    </row>
    <row r="8" ht="15" customHeight="1" s="64">
      <c r="A8" s="81" t="n"/>
      <c r="B8" s="81" t="n"/>
      <c r="C8" s="81" t="n"/>
      <c r="D8" s="81" t="n"/>
      <c r="E8" s="97">
        <f>IF(D8="","",D8-TODAY())</f>
        <v/>
      </c>
      <c r="F8" s="81">
        <f>IF(E8="","",IF(E8&lt;0,"OVERDUE",IF(E8&lt;=3,"URGENT",IF(E8&lt;=7,"CONTACT NOW","OK"))))</f>
        <v/>
      </c>
      <c r="G8" s="81" t="n"/>
      <c r="H8" s="81" t="n"/>
      <c r="I8" s="81" t="n"/>
      <c r="J8" s="81" t="n"/>
      <c r="K8" s="81" t="n"/>
      <c r="L8" s="81" t="n"/>
      <c r="M8" s="81" t="n"/>
      <c r="N8" s="81" t="n"/>
      <c r="O8" s="81" t="n"/>
      <c r="P8" s="81" t="n"/>
    </row>
    <row r="9" ht="15" customHeight="1" s="64">
      <c r="A9" s="85" t="n"/>
      <c r="B9" s="85" t="n"/>
      <c r="C9" s="85" t="n"/>
      <c r="D9" s="85" t="n"/>
      <c r="E9" s="96">
        <f>IF(D9="","",D9-TODAY())</f>
        <v/>
      </c>
      <c r="F9" s="85">
        <f>IF(E9="","",IF(E9&lt;0,"OVERDUE",IF(E9&lt;=3,"URGENT",IF(E9&lt;=7,"CONTACT NOW","OK"))))</f>
        <v/>
      </c>
      <c r="G9" s="85" t="n"/>
      <c r="H9" s="85" t="n"/>
      <c r="I9" s="85" t="n"/>
      <c r="J9" s="85" t="n"/>
      <c r="K9" s="85" t="n"/>
      <c r="L9" s="85" t="n"/>
      <c r="M9" s="85" t="n"/>
      <c r="N9" s="85" t="n"/>
      <c r="O9" s="85" t="n"/>
      <c r="P9" s="85" t="n"/>
    </row>
    <row r="10" ht="15" customHeight="1" s="64">
      <c r="A10" s="81" t="n"/>
      <c r="B10" s="81" t="n"/>
      <c r="C10" s="81" t="n"/>
      <c r="D10" s="81" t="n"/>
      <c r="E10" s="97">
        <f>IF(D10="","",D10-TODAY())</f>
        <v/>
      </c>
      <c r="F10" s="81">
        <f>IF(E10="","",IF(E10&lt;0,"OVERDUE",IF(E10&lt;=3,"URGENT",IF(E10&lt;=7,"CONTACT NOW","OK"))))</f>
        <v/>
      </c>
      <c r="G10" s="81" t="n"/>
      <c r="H10" s="81" t="n"/>
      <c r="I10" s="81" t="n"/>
      <c r="J10" s="81" t="n"/>
      <c r="K10" s="81" t="n"/>
      <c r="L10" s="81" t="n"/>
      <c r="M10" s="81" t="n"/>
      <c r="N10" s="81" t="n"/>
      <c r="O10" s="81" t="n"/>
      <c r="P10" s="81" t="n"/>
    </row>
    <row r="11" ht="15" customHeight="1" s="64">
      <c r="A11" s="85" t="n"/>
      <c r="B11" s="85" t="n"/>
      <c r="C11" s="85" t="n"/>
      <c r="D11" s="85" t="n"/>
      <c r="E11" s="96">
        <f>IF(D11="","",D11-TODAY())</f>
        <v/>
      </c>
      <c r="F11" s="85">
        <f>IF(E11="","",IF(E11&lt;0,"OVERDUE",IF(E11&lt;=3,"URGENT",IF(E11&lt;=7,"CONTACT NOW","OK"))))</f>
        <v/>
      </c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85" t="n"/>
    </row>
    <row r="12" ht="15" customHeight="1" s="64">
      <c r="A12" s="81" t="n"/>
      <c r="B12" s="81" t="n"/>
      <c r="C12" s="81" t="n"/>
      <c r="D12" s="81" t="n"/>
      <c r="E12" s="97">
        <f>IF(D12="","",D12-TODAY())</f>
        <v/>
      </c>
      <c r="F12" s="81">
        <f>IF(E12="","",IF(E12&lt;0,"OVERDUE",IF(E12&lt;=3,"URGENT",IF(E12&lt;=7,"CONTACT NOW","OK"))))</f>
        <v/>
      </c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</row>
    <row r="13" ht="15" customHeight="1" s="64">
      <c r="A13" s="85" t="n"/>
      <c r="B13" s="85" t="n"/>
      <c r="C13" s="85" t="n"/>
      <c r="D13" s="85" t="n"/>
      <c r="E13" s="96">
        <f>IF(D13="","",D13-TODAY())</f>
        <v/>
      </c>
      <c r="F13" s="85">
        <f>IF(E13="","",IF(E13&lt;0,"OVERDUE",IF(E13&lt;=3,"URGENT",IF(E13&lt;=7,"CONTACT NOW","OK"))))</f>
        <v/>
      </c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85" t="n"/>
    </row>
    <row r="14" ht="15" customHeight="1" s="64">
      <c r="A14" s="81" t="n"/>
      <c r="B14" s="81" t="n"/>
      <c r="C14" s="81" t="n"/>
      <c r="D14" s="81" t="n"/>
      <c r="E14" s="97">
        <f>IF(D14="","",D14-TODAY())</f>
        <v/>
      </c>
      <c r="F14" s="81">
        <f>IF(E14="","",IF(E14&lt;0,"OVERDUE",IF(E14&lt;=3,"URGENT",IF(E14&lt;=7,"CONTACT NOW","OK"))))</f>
        <v/>
      </c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</row>
    <row r="15" ht="15" customHeight="1" s="64">
      <c r="A15" s="85" t="n"/>
      <c r="B15" s="85" t="n"/>
      <c r="C15" s="85" t="n"/>
      <c r="D15" s="85" t="n"/>
      <c r="E15" s="96">
        <f>IF(D15="","",D15-TODAY())</f>
        <v/>
      </c>
      <c r="F15" s="85">
        <f>IF(E15="","",IF(E15&lt;0,"OVERDUE",IF(E15&lt;=3,"URGENT",IF(E15&lt;=7,"CONTACT NOW","OK"))))</f>
        <v/>
      </c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85" t="n"/>
    </row>
    <row r="16" ht="15" customHeight="1" s="64">
      <c r="A16" s="81" t="n"/>
      <c r="B16" s="81" t="n"/>
      <c r="C16" s="81" t="n"/>
      <c r="D16" s="81" t="n"/>
      <c r="E16" s="97">
        <f>IF(D16="","",D16-TODAY())</f>
        <v/>
      </c>
      <c r="F16" s="81">
        <f>IF(E16="","",IF(E16&lt;0,"OVERDUE",IF(E16&lt;=3,"URGENT",IF(E16&lt;=7,"CONTACT NOW","OK"))))</f>
        <v/>
      </c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</row>
    <row r="17" ht="15" customHeight="1" s="64">
      <c r="A17" s="85" t="n"/>
      <c r="B17" s="85" t="n"/>
      <c r="C17" s="85" t="n"/>
      <c r="D17" s="85" t="n"/>
      <c r="E17" s="96">
        <f>IF(D17="","",D17-TODAY())</f>
        <v/>
      </c>
      <c r="F17" s="85">
        <f>IF(E17="","",IF(E17&lt;0,"OVERDUE",IF(E17&lt;=3,"URGENT",IF(E17&lt;=7,"CONTACT NOW","OK"))))</f>
        <v/>
      </c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</row>
    <row r="18" ht="15" customHeight="1" s="64">
      <c r="A18" s="81" t="n"/>
      <c r="B18" s="81" t="n"/>
      <c r="C18" s="81" t="n"/>
      <c r="D18" s="81" t="n"/>
      <c r="E18" s="97">
        <f>IF(D18="","",D18-TODAY())</f>
        <v/>
      </c>
      <c r="F18" s="81">
        <f>IF(E18="","",IF(E18&lt;0,"OVERDUE",IF(E18&lt;=3,"URGENT",IF(E18&lt;=7,"CONTACT NOW","OK"))))</f>
        <v/>
      </c>
      <c r="G18" s="81" t="n"/>
      <c r="H18" s="81" t="n"/>
      <c r="I18" s="81" t="n"/>
      <c r="J18" s="81" t="n"/>
      <c r="K18" s="81" t="n"/>
      <c r="L18" s="81" t="n"/>
      <c r="M18" s="81" t="n"/>
      <c r="N18" s="81" t="n"/>
      <c r="O18" s="81" t="n"/>
      <c r="P18" s="81" t="n"/>
    </row>
    <row r="19" ht="15" customHeight="1" s="64">
      <c r="A19" s="85" t="n"/>
      <c r="B19" s="85" t="n"/>
      <c r="C19" s="85" t="n"/>
      <c r="D19" s="85" t="n"/>
      <c r="E19" s="96">
        <f>IF(D19="","",D19-TODAY())</f>
        <v/>
      </c>
      <c r="F19" s="85">
        <f>IF(E19="","",IF(E19&lt;0,"OVERDUE",IF(E19&lt;=3,"URGENT",IF(E19&lt;=7,"CONTACT NOW","OK"))))</f>
        <v/>
      </c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</row>
    <row r="20" ht="15" customHeight="1" s="64">
      <c r="A20" s="81" t="n"/>
      <c r="B20" s="81" t="n"/>
      <c r="C20" s="81" t="n"/>
      <c r="D20" s="81" t="n"/>
      <c r="E20" s="97">
        <f>IF(D20="","",D20-TODAY())</f>
        <v/>
      </c>
      <c r="F20" s="81">
        <f>IF(E20="","",IF(E20&lt;0,"OVERDUE",IF(E20&lt;=3,"URGENT",IF(E20&lt;=7,"CONTACT NOW","OK"))))</f>
        <v/>
      </c>
      <c r="G20" s="81" t="n"/>
      <c r="H20" s="81" t="n"/>
      <c r="I20" s="81" t="n"/>
      <c r="J20" s="81" t="n"/>
      <c r="K20" s="81" t="n"/>
      <c r="L20" s="81" t="n"/>
      <c r="M20" s="81" t="n"/>
      <c r="N20" s="81" t="n"/>
      <c r="O20" s="81" t="n"/>
      <c r="P20" s="81" t="n"/>
    </row>
    <row r="21" ht="15" customHeight="1" s="64">
      <c r="A21" s="85" t="n"/>
      <c r="B21" s="85" t="n"/>
      <c r="C21" s="85" t="n"/>
      <c r="D21" s="85" t="n"/>
      <c r="E21" s="96">
        <f>IF(D21="","",D21-TODAY())</f>
        <v/>
      </c>
      <c r="F21" s="85">
        <f>IF(E21="","",IF(E21&lt;0,"OVERDUE",IF(E21&lt;=3,"URGENT",IF(E21&lt;=7,"CONTACT NOW","OK"))))</f>
        <v/>
      </c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85" t="n"/>
    </row>
    <row r="22" ht="15" customHeight="1" s="64">
      <c r="A22" s="81" t="n"/>
      <c r="B22" s="81" t="n"/>
      <c r="C22" s="81" t="n"/>
      <c r="D22" s="81" t="n"/>
      <c r="E22" s="97">
        <f>IF(D22="","",D22-TODAY())</f>
        <v/>
      </c>
      <c r="F22" s="81">
        <f>IF(E22="","",IF(E22&lt;0,"OVERDUE",IF(E22&lt;=3,"URGENT",IF(E22&lt;=7,"CONTACT NOW","OK"))))</f>
        <v/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</row>
    <row r="23" ht="15" customHeight="1" s="64">
      <c r="A23" s="85" t="n"/>
      <c r="B23" s="85" t="n"/>
      <c r="C23" s="85" t="n"/>
      <c r="D23" s="85" t="n"/>
      <c r="E23" s="96">
        <f>IF(D23="","",D23-TODAY())</f>
        <v/>
      </c>
      <c r="F23" s="85">
        <f>IF(E23="","",IF(E23&lt;0,"OVERDUE",IF(E23&lt;=3,"URGENT",IF(E23&lt;=7,"CONTACT NOW","OK"))))</f>
        <v/>
      </c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85" t="n"/>
    </row>
    <row r="24" ht="15" customHeight="1" s="64">
      <c r="A24" s="81" t="n"/>
      <c r="B24" s="81" t="n"/>
      <c r="C24" s="81" t="n"/>
      <c r="D24" s="81" t="n"/>
      <c r="E24" s="97">
        <f>IF(D24="","",D24-TODAY())</f>
        <v/>
      </c>
      <c r="F24" s="81">
        <f>IF(E24="","",IF(E24&lt;0,"OVERDUE",IF(E24&lt;=3,"URGENT",IF(E24&lt;=7,"CONTACT NOW","OK"))))</f>
        <v/>
      </c>
      <c r="G24" s="81" t="n"/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</row>
    <row r="25" ht="15" customHeight="1" s="64">
      <c r="A25" s="85" t="n"/>
      <c r="B25" s="85" t="n"/>
      <c r="C25" s="85" t="n"/>
      <c r="D25" s="85" t="n"/>
      <c r="E25" s="96">
        <f>IF(D25="","",D25-TODAY())</f>
        <v/>
      </c>
      <c r="F25" s="85">
        <f>IF(E25="","",IF(E25&lt;0,"OVERDUE",IF(E25&lt;=3,"URGENT",IF(E25&lt;=7,"CONTACT NOW","OK"))))</f>
        <v/>
      </c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85" t="n"/>
    </row>
    <row r="26" ht="15" customHeight="1" s="64">
      <c r="A26" s="81" t="n"/>
      <c r="B26" s="81" t="n"/>
      <c r="C26" s="81" t="n"/>
      <c r="D26" s="81" t="n"/>
      <c r="E26" s="97">
        <f>IF(D26="","",D26-TODAY())</f>
        <v/>
      </c>
      <c r="F26" s="81">
        <f>IF(E26="","",IF(E26&lt;0,"OVERDUE",IF(E26&lt;=3,"URGENT",IF(E26&lt;=7,"CONTACT NOW","OK"))))</f>
        <v/>
      </c>
      <c r="G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</row>
    <row r="27" ht="15" customHeight="1" s="64">
      <c r="A27" s="85" t="n"/>
      <c r="B27" s="85" t="n"/>
      <c r="C27" s="85" t="n"/>
      <c r="D27" s="85" t="n"/>
      <c r="E27" s="96">
        <f>IF(D27="","",D27-TODAY())</f>
        <v/>
      </c>
      <c r="F27" s="85">
        <f>IF(E27="","",IF(E27&lt;0,"OVERDUE",IF(E27&lt;=3,"URGENT",IF(E27&lt;=7,"CONTACT NOW","OK"))))</f>
        <v/>
      </c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</row>
    <row r="28" ht="15" customHeight="1" s="64">
      <c r="A28" s="81" t="n"/>
      <c r="B28" s="81" t="n"/>
      <c r="C28" s="81" t="n"/>
      <c r="D28" s="81" t="n"/>
      <c r="E28" s="97">
        <f>IF(D28="","",D28-TODAY())</f>
        <v/>
      </c>
      <c r="F28" s="81">
        <f>IF(E28="","",IF(E28&lt;0,"OVERDUE",IF(E28&lt;=3,"URGENT",IF(E28&lt;=7,"CONTACT NOW","OK"))))</f>
        <v/>
      </c>
      <c r="G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</row>
    <row r="29" ht="15" customHeight="1" s="64">
      <c r="A29" s="85" t="n"/>
      <c r="B29" s="85" t="n"/>
      <c r="C29" s="85" t="n"/>
      <c r="D29" s="85" t="n"/>
      <c r="E29" s="96">
        <f>IF(D29="","",D29-TODAY())</f>
        <v/>
      </c>
      <c r="F29" s="85">
        <f>IF(E29="","",IF(E29&lt;0,"OVERDUE",IF(E29&lt;=3,"URGENT",IF(E29&lt;=7,"CONTACT NOW","OK"))))</f>
        <v/>
      </c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</row>
    <row r="30" ht="15" customHeight="1" s="64">
      <c r="A30" s="81" t="n"/>
      <c r="B30" s="81" t="n"/>
      <c r="C30" s="81" t="n"/>
      <c r="D30" s="81" t="n"/>
      <c r="E30" s="97">
        <f>IF(D30="","",D30-TODAY())</f>
        <v/>
      </c>
      <c r="F30" s="81">
        <f>IF(E30="","",IF(E30&lt;0,"OVERDUE",IF(E30&lt;=3,"URGENT",IF(E30&lt;=7,"CONTACT NOW","OK"))))</f>
        <v/>
      </c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</row>
    <row r="31" ht="15" customHeight="1" s="64">
      <c r="A31" s="85" t="n"/>
      <c r="B31" s="85" t="n"/>
      <c r="C31" s="85" t="n"/>
      <c r="D31" s="85" t="n"/>
      <c r="E31" s="96">
        <f>IF(D31="","",D31-TODAY())</f>
        <v/>
      </c>
      <c r="F31" s="85">
        <f>IF(E31="","",IF(E31&lt;0,"OVERDUE",IF(E31&lt;=3,"URGENT",IF(E31&lt;=7,"CONTACT NOW","OK"))))</f>
        <v/>
      </c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</row>
    <row r="32" ht="15" customHeight="1" s="64">
      <c r="A32" s="81" t="n"/>
      <c r="B32" s="81" t="n"/>
      <c r="C32" s="81" t="n"/>
      <c r="D32" s="81" t="n"/>
      <c r="E32" s="97">
        <f>IF(D32="","",D32-TODAY())</f>
        <v/>
      </c>
      <c r="F32" s="81">
        <f>IF(E32="","",IF(E32&lt;0,"OVERDUE",IF(E32&lt;=3,"URGENT",IF(E32&lt;=7,"CONTACT NOW","OK"))))</f>
        <v/>
      </c>
      <c r="G32" s="81" t="n"/>
      <c r="H32" s="81" t="n"/>
      <c r="I32" s="81" t="n"/>
      <c r="J32" s="81" t="n"/>
      <c r="K32" s="81" t="n"/>
      <c r="L32" s="81" t="n"/>
      <c r="M32" s="81" t="n"/>
      <c r="N32" s="81" t="n"/>
      <c r="O32" s="81" t="n"/>
      <c r="P32" s="81" t="n"/>
    </row>
    <row r="33" ht="15" customHeight="1" s="64">
      <c r="A33" s="85" t="n"/>
      <c r="B33" s="85" t="n"/>
      <c r="C33" s="85" t="n"/>
      <c r="D33" s="85" t="n"/>
      <c r="E33" s="96">
        <f>IF(D33="","",D33-TODAY())</f>
        <v/>
      </c>
      <c r="F33" s="85">
        <f>IF(E33="","",IF(E33&lt;0,"OVERDUE",IF(E33&lt;=3,"URGENT",IF(E33&lt;=7,"CONTACT NOW","OK"))))</f>
        <v/>
      </c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</row>
    <row r="34" ht="15" customHeight="1" s="64">
      <c r="A34" s="81" t="n"/>
      <c r="B34" s="81" t="n"/>
      <c r="C34" s="81" t="n"/>
      <c r="D34" s="81" t="n"/>
      <c r="E34" s="97">
        <f>IF(D34="","",D34-TODAY())</f>
        <v/>
      </c>
      <c r="F34" s="81">
        <f>IF(E34="","",IF(E34&lt;0,"OVERDUE",IF(E34&lt;=3,"URGENT",IF(E34&lt;=7,"CONTACT NOW","OK"))))</f>
        <v/>
      </c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</row>
    <row r="35" ht="15" customHeight="1" s="64">
      <c r="A35" s="85" t="n"/>
      <c r="B35" s="85" t="n"/>
      <c r="C35" s="85" t="n"/>
      <c r="D35" s="85" t="n"/>
      <c r="E35" s="96">
        <f>IF(D35="","",D35-TODAY())</f>
        <v/>
      </c>
      <c r="F35" s="85">
        <f>IF(E35="","",IF(E35&lt;0,"OVERDUE",IF(E35&lt;=3,"URGENT",IF(E35&lt;=7,"CONTACT NOW","OK"))))</f>
        <v/>
      </c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</row>
    <row r="36" ht="15" customHeight="1" s="64">
      <c r="A36" s="81" t="n"/>
      <c r="B36" s="81" t="n"/>
      <c r="C36" s="81" t="n"/>
      <c r="D36" s="81" t="n"/>
      <c r="E36" s="97">
        <f>IF(D36="","",D36-TODAY())</f>
        <v/>
      </c>
      <c r="F36" s="81">
        <f>IF(E36="","",IF(E36&lt;0,"OVERDUE",IF(E36&lt;=3,"URGENT",IF(E36&lt;=7,"CONTACT NOW","OK"))))</f>
        <v/>
      </c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</row>
    <row r="37" ht="15" customHeight="1" s="64">
      <c r="A37" s="85" t="n"/>
      <c r="B37" s="85" t="n"/>
      <c r="C37" s="85" t="n"/>
      <c r="D37" s="85" t="n"/>
      <c r="E37" s="96">
        <f>IF(D37="","",D37-TODAY())</f>
        <v/>
      </c>
      <c r="F37" s="85">
        <f>IF(E37="","",IF(E37&lt;0,"OVERDUE",IF(E37&lt;=3,"URGENT",IF(E37&lt;=7,"CONTACT NOW","OK"))))</f>
        <v/>
      </c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</row>
    <row r="38" ht="15" customHeight="1" s="64">
      <c r="A38" s="81" t="n"/>
      <c r="B38" s="81" t="n"/>
      <c r="C38" s="81" t="n"/>
      <c r="D38" s="81" t="n"/>
      <c r="E38" s="97">
        <f>IF(D38="","",D38-TODAY())</f>
        <v/>
      </c>
      <c r="F38" s="81">
        <f>IF(E38="","",IF(E38&lt;0,"OVERDUE",IF(E38&lt;=3,"URGENT",IF(E38&lt;=7,"CONTACT NOW","OK"))))</f>
        <v/>
      </c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</row>
    <row r="39" ht="15" customHeight="1" s="64">
      <c r="A39" s="85" t="n"/>
      <c r="B39" s="85" t="n"/>
      <c r="C39" s="85" t="n"/>
      <c r="D39" s="85" t="n"/>
      <c r="E39" s="96">
        <f>IF(D39="","",D39-TODAY())</f>
        <v/>
      </c>
      <c r="F39" s="85">
        <f>IF(E39="","",IF(E39&lt;0,"OVERDUE",IF(E39&lt;=3,"URGENT",IF(E39&lt;=7,"CONTACT NOW","OK"))))</f>
        <v/>
      </c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</row>
    <row r="40" ht="15" customHeight="1" s="64">
      <c r="A40" s="81" t="n"/>
      <c r="B40" s="81" t="n"/>
      <c r="C40" s="81" t="n"/>
      <c r="D40" s="81" t="n"/>
      <c r="E40" s="97">
        <f>IF(D40="","",D40-TODAY())</f>
        <v/>
      </c>
      <c r="F40" s="81">
        <f>IF(E40="","",IF(E40&lt;0,"OVERDUE",IF(E40&lt;=3,"URGENT",IF(E40&lt;=7,"CONTACT NOW","OK"))))</f>
        <v/>
      </c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</row>
    <row r="41" ht="15" customHeight="1" s="64">
      <c r="A41" s="85" t="n"/>
      <c r="B41" s="85" t="n"/>
      <c r="C41" s="85" t="n"/>
      <c r="D41" s="85" t="n"/>
      <c r="E41" s="96">
        <f>IF(D41="","",D41-TODAY())</f>
        <v/>
      </c>
      <c r="F41" s="85">
        <f>IF(E41="","",IF(E41&lt;0,"OVERDUE",IF(E41&lt;=3,"URGENT",IF(E41&lt;=7,"CONTACT NOW","OK"))))</f>
        <v/>
      </c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</row>
    <row r="42" ht="15" customHeight="1" s="64">
      <c r="A42" s="81" t="n"/>
      <c r="B42" s="81" t="n"/>
      <c r="C42" s="81" t="n"/>
      <c r="D42" s="81" t="n"/>
      <c r="E42" s="97">
        <f>IF(D42="","",D42-TODAY())</f>
        <v/>
      </c>
      <c r="F42" s="81">
        <f>IF(E42="","",IF(E42&lt;0,"OVERDUE",IF(E42&lt;=3,"URGENT",IF(E42&lt;=7,"CONTACT NOW","OK"))))</f>
        <v/>
      </c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</row>
    <row r="43" ht="15" customHeight="1" s="64">
      <c r="A43" s="85" t="n"/>
      <c r="B43" s="85" t="n"/>
      <c r="C43" s="85" t="n"/>
      <c r="D43" s="85" t="n"/>
      <c r="E43" s="96">
        <f>IF(D43="","",D43-TODAY())</f>
        <v/>
      </c>
      <c r="F43" s="85">
        <f>IF(E43="","",IF(E43&lt;0,"OVERDUE",IF(E43&lt;=3,"URGENT",IF(E43&lt;=7,"CONTACT NOW","OK"))))</f>
        <v/>
      </c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</row>
    <row r="44" ht="15" customHeight="1" s="64">
      <c r="A44" s="81" t="n"/>
      <c r="B44" s="81" t="n"/>
      <c r="C44" s="81" t="n"/>
      <c r="D44" s="81" t="n"/>
      <c r="E44" s="97">
        <f>IF(D44="","",D44-TODAY())</f>
        <v/>
      </c>
      <c r="F44" s="81">
        <f>IF(E44="","",IF(E44&lt;0,"OVERDUE",IF(E44&lt;=3,"URGENT",IF(E44&lt;=7,"CONTACT NOW","OK"))))</f>
        <v/>
      </c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</row>
    <row r="45" ht="15" customHeight="1" s="64">
      <c r="A45" s="85" t="n"/>
      <c r="B45" s="85" t="n"/>
      <c r="C45" s="85" t="n"/>
      <c r="D45" s="85" t="n"/>
      <c r="E45" s="96">
        <f>IF(D45="","",D45-TODAY())</f>
        <v/>
      </c>
      <c r="F45" s="85">
        <f>IF(E45="","",IF(E45&lt;0,"OVERDUE",IF(E45&lt;=3,"URGENT",IF(E45&lt;=7,"CONTACT NOW","OK"))))</f>
        <v/>
      </c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</row>
    <row r="46" ht="15" customHeight="1" s="64">
      <c r="A46" s="81" t="n"/>
      <c r="B46" s="81" t="n"/>
      <c r="C46" s="81" t="n"/>
      <c r="D46" s="81" t="n"/>
      <c r="E46" s="97">
        <f>IF(D46="","",D46-TODAY())</f>
        <v/>
      </c>
      <c r="F46" s="81">
        <f>IF(E46="","",IF(E46&lt;0,"OVERDUE",IF(E46&lt;=3,"URGENT",IF(E46&lt;=7,"CONTACT NOW","OK"))))</f>
        <v/>
      </c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</row>
    <row r="47" ht="15" customHeight="1" s="64">
      <c r="A47" s="85" t="n"/>
      <c r="B47" s="85" t="n"/>
      <c r="C47" s="85" t="n"/>
      <c r="D47" s="85" t="n"/>
      <c r="E47" s="96">
        <f>IF(D47="","",D47-TODAY())</f>
        <v/>
      </c>
      <c r="F47" s="85">
        <f>IF(E47="","",IF(E47&lt;0,"OVERDUE",IF(E47&lt;=3,"URGENT",IF(E47&lt;=7,"CONTACT NOW","OK"))))</f>
        <v/>
      </c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</row>
    <row r="48" ht="15" customHeight="1" s="64">
      <c r="A48" s="81" t="n"/>
      <c r="B48" s="81" t="n"/>
      <c r="C48" s="81" t="n"/>
      <c r="D48" s="81" t="n"/>
      <c r="E48" s="97">
        <f>IF(D48="","",D48-TODAY())</f>
        <v/>
      </c>
      <c r="F48" s="81">
        <f>IF(E48="","",IF(E48&lt;0,"OVERDUE",IF(E48&lt;=3,"URGENT",IF(E48&lt;=7,"CONTACT NOW","OK"))))</f>
        <v/>
      </c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</row>
    <row r="49" ht="15" customHeight="1" s="64">
      <c r="A49" s="85" t="n"/>
      <c r="B49" s="85" t="n"/>
      <c r="C49" s="85" t="n"/>
      <c r="D49" s="85" t="n"/>
      <c r="E49" s="96">
        <f>IF(D49="","",D49-TODAY())</f>
        <v/>
      </c>
      <c r="F49" s="85">
        <f>IF(E49="","",IF(E49&lt;0,"OVERDUE",IF(E49&lt;=3,"URGENT",IF(E49&lt;=7,"CONTACT NOW","OK"))))</f>
        <v/>
      </c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</row>
    <row r="50" ht="15" customHeight="1" s="64">
      <c r="A50" s="81" t="n"/>
      <c r="B50" s="81" t="n"/>
      <c r="C50" s="81" t="n"/>
      <c r="D50" s="81" t="n"/>
      <c r="E50" s="97">
        <f>IF(D50="","",D50-TODAY())</f>
        <v/>
      </c>
      <c r="F50" s="81">
        <f>IF(E50="","",IF(E50&lt;0,"OVERDUE",IF(E50&lt;=3,"URGENT",IF(E50&lt;=7,"CONTACT NOW","OK"))))</f>
        <v/>
      </c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</row>
    <row r="51" ht="15" customHeight="1" s="64">
      <c r="A51" s="85" t="n"/>
      <c r="B51" s="85" t="n"/>
      <c r="C51" s="85" t="n"/>
      <c r="D51" s="85" t="n"/>
      <c r="E51" s="96">
        <f>IF(D51="","",D51-TODAY())</f>
        <v/>
      </c>
      <c r="F51" s="85">
        <f>IF(E51="","",IF(E51&lt;0,"OVERDUE",IF(E51&lt;=3,"URGENT",IF(E51&lt;=7,"CONTACT NOW","OK"))))</f>
        <v/>
      </c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</row>
    <row r="52" ht="15" customHeight="1" s="64">
      <c r="A52" s="81" t="n"/>
      <c r="B52" s="81" t="n"/>
      <c r="C52" s="81" t="n"/>
      <c r="D52" s="81" t="n"/>
      <c r="E52" s="97">
        <f>IF(D52="","",D52-TODAY())</f>
        <v/>
      </c>
      <c r="F52" s="81">
        <f>IF(E52="","",IF(E52&lt;0,"OVERDUE",IF(E52&lt;=3,"URGENT",IF(E52&lt;=7,"CONTACT NOW","OK"))))</f>
        <v/>
      </c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</row>
    <row r="53" ht="15" customHeight="1" s="64">
      <c r="A53" s="85" t="n"/>
      <c r="B53" s="85" t="n"/>
      <c r="C53" s="85" t="n"/>
      <c r="D53" s="85" t="n"/>
      <c r="E53" s="96">
        <f>IF(D53="","",D53-TODAY())</f>
        <v/>
      </c>
      <c r="F53" s="85">
        <f>IF(E53="","",IF(E53&lt;0,"OVERDUE",IF(E53&lt;=3,"URGENT",IF(E53&lt;=7,"CONTACT NOW","OK"))))</f>
        <v/>
      </c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</row>
    <row r="54" ht="15" customHeight="1" s="64">
      <c r="A54" s="81" t="n"/>
      <c r="B54" s="81" t="n"/>
      <c r="C54" s="81" t="n"/>
      <c r="D54" s="81" t="n"/>
      <c r="E54" s="97">
        <f>IF(D54="","",D54-TODAY())</f>
        <v/>
      </c>
      <c r="F54" s="81">
        <f>IF(E54="","",IF(E54&lt;0,"OVERDUE",IF(E54&lt;=3,"URGENT",IF(E54&lt;=7,"CONTACT NOW","OK"))))</f>
        <v/>
      </c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</row>
    <row r="55" ht="15" customHeight="1" s="64">
      <c r="E55" s="98">
        <f>IF(D55="","",D55-TODAY())</f>
        <v/>
      </c>
      <c r="F55" s="63">
        <f>IF(E55="","",IF(E55&lt;0,"OVERDUE",IF(E55&lt;=3,"URGENT",IF(E55&lt;=7,"CONTACT NOW","OK"))))</f>
        <v/>
      </c>
    </row>
    <row r="56" ht="15" customHeight="1" s="64">
      <c r="E56" s="98">
        <f>IF(D56="","",D56-TODAY())</f>
        <v/>
      </c>
      <c r="F56" s="63">
        <f>IF(E56="","",IF(E56&lt;0,"OVERDUE",IF(E56&lt;=3,"URGENT",IF(E56&lt;=7,"CONTACT NOW","OK"))))</f>
        <v/>
      </c>
    </row>
    <row r="57" ht="15" customHeight="1" s="64">
      <c r="E57" s="98">
        <f>IF(D57="","",D57-TODAY())</f>
        <v/>
      </c>
      <c r="F57" s="63">
        <f>IF(E57="","",IF(E57&lt;0,"OVERDUE",IF(E57&lt;=3,"URGENT",IF(E57&lt;=7,"CONTACT NOW","OK"))))</f>
        <v/>
      </c>
    </row>
    <row r="58" ht="15" customHeight="1" s="64">
      <c r="E58" s="98">
        <f>IF(D58="","",D58-TODAY())</f>
        <v/>
      </c>
      <c r="F58" s="63">
        <f>IF(E58="","",IF(E58&lt;0,"OVERDUE",IF(E58&lt;=3,"URGENT",IF(E58&lt;=7,"CONTACT NOW","OK"))))</f>
        <v/>
      </c>
    </row>
    <row r="59" ht="15" customHeight="1" s="64">
      <c r="E59" s="98">
        <f>IF(D59="","",D59-TODAY())</f>
        <v/>
      </c>
      <c r="F59" s="63">
        <f>IF(E59="","",IF(E59&lt;0,"OVERDUE",IF(E59&lt;=3,"URGENT",IF(E59&lt;=7,"CONTACT NOW","OK"))))</f>
        <v/>
      </c>
    </row>
    <row r="60" ht="15" customHeight="1" s="64">
      <c r="E60" s="98">
        <f>IF(D60="","",D60-TODAY())</f>
        <v/>
      </c>
      <c r="F60" s="63">
        <f>IF(E60="","",IF(E60&lt;0,"OVERDUE",IF(E60&lt;=3,"URGENT",IF(E60&lt;=7,"CONTACT NOW","OK"))))</f>
        <v/>
      </c>
    </row>
    <row r="61" ht="15" customHeight="1" s="64">
      <c r="E61" s="98">
        <f>IF(D61="","",D61-TODAY())</f>
        <v/>
      </c>
      <c r="F61" s="63">
        <f>IF(E61="","",IF(E61&lt;0,"OVERDUE",IF(E61&lt;=3,"URGENT",IF(E61&lt;=7,"CONTACT NOW","OK"))))</f>
        <v/>
      </c>
    </row>
    <row r="62" ht="15" customHeight="1" s="64">
      <c r="E62" s="98">
        <f>IF(D62="","",D62-TODAY())</f>
        <v/>
      </c>
      <c r="F62" s="63">
        <f>IF(E62="","",IF(E62&lt;0,"OVERDUE",IF(E62&lt;=3,"URGENT",IF(E62&lt;=7,"CONTACT NOW","OK"))))</f>
        <v/>
      </c>
    </row>
    <row r="63" ht="15" customHeight="1" s="64">
      <c r="E63" s="98">
        <f>IF(D63="","",D63-TODAY())</f>
        <v/>
      </c>
      <c r="F63" s="63">
        <f>IF(E63="","",IF(E63&lt;0,"OVERDUE",IF(E63&lt;=3,"URGENT",IF(E63&lt;=7,"CONTACT NOW","OK"))))</f>
        <v/>
      </c>
    </row>
    <row r="64" ht="15" customHeight="1" s="64">
      <c r="E64" s="98">
        <f>IF(D64="","",D64-TODAY())</f>
        <v/>
      </c>
      <c r="F64" s="63">
        <f>IF(E64="","",IF(E64&lt;0,"OVERDUE",IF(E64&lt;=3,"URGENT",IF(E64&lt;=7,"CONTACT NOW","OK"))))</f>
        <v/>
      </c>
    </row>
    <row r="65" ht="15" customHeight="1" s="64">
      <c r="E65" s="98">
        <f>IF(D65="","",D65-TODAY())</f>
        <v/>
      </c>
      <c r="F65" s="63">
        <f>IF(E65="","",IF(E65&lt;0,"OVERDUE",IF(E65&lt;=3,"URGENT",IF(E65&lt;=7,"CONTACT NOW","OK"))))</f>
        <v/>
      </c>
    </row>
    <row r="66" ht="15" customHeight="1" s="64">
      <c r="E66" s="98">
        <f>IF(D66="","",D66-TODAY())</f>
        <v/>
      </c>
      <c r="F66" s="63">
        <f>IF(E66="","",IF(E66&lt;0,"OVERDUE",IF(E66&lt;=3,"URGENT",IF(E66&lt;=7,"CONTACT NOW","OK"))))</f>
        <v/>
      </c>
    </row>
    <row r="67" ht="15" customHeight="1" s="64">
      <c r="E67" s="98">
        <f>IF(D67="","",D67-TODAY())</f>
        <v/>
      </c>
      <c r="F67" s="63">
        <f>IF(E67="","",IF(E67&lt;0,"OVERDUE",IF(E67&lt;=3,"URGENT",IF(E67&lt;=7,"CONTACT NOW","OK"))))</f>
        <v/>
      </c>
    </row>
    <row r="68" ht="15" customHeight="1" s="64">
      <c r="E68" s="98">
        <f>IF(D68="","",D68-TODAY())</f>
        <v/>
      </c>
      <c r="F68" s="63">
        <f>IF(E68="","",IF(E68&lt;0,"OVERDUE",IF(E68&lt;=3,"URGENT",IF(E68&lt;=7,"CONTACT NOW","OK"))))</f>
        <v/>
      </c>
    </row>
    <row r="69" ht="15" customHeight="1" s="64">
      <c r="E69" s="98">
        <f>IF(D69="","",D69-TODAY())</f>
        <v/>
      </c>
      <c r="F69" s="63">
        <f>IF(E69="","",IF(E69&lt;0,"OVERDUE",IF(E69&lt;=3,"URGENT",IF(E69&lt;=7,"CONTACT NOW","OK"))))</f>
        <v/>
      </c>
    </row>
    <row r="70" ht="15" customHeight="1" s="64">
      <c r="E70" s="98">
        <f>IF(D70="","",D70-TODAY())</f>
        <v/>
      </c>
      <c r="F70" s="63">
        <f>IF(E70="","",IF(E70&lt;0,"OVERDUE",IF(E70&lt;=3,"URGENT",IF(E70&lt;=7,"CONTACT NOW","OK"))))</f>
        <v/>
      </c>
    </row>
    <row r="71" ht="15" customHeight="1" s="64">
      <c r="E71" s="98">
        <f>IF(D71="","",D71-TODAY())</f>
        <v/>
      </c>
      <c r="F71" s="63">
        <f>IF(E71="","",IF(E71&lt;0,"OVERDUE",IF(E71&lt;=3,"URGENT",IF(E71&lt;=7,"CONTACT NOW","OK"))))</f>
        <v/>
      </c>
    </row>
    <row r="72" ht="15" customHeight="1" s="64">
      <c r="E72" s="98">
        <f>IF(D72="","",D72-TODAY())</f>
        <v/>
      </c>
      <c r="F72" s="63">
        <f>IF(E72="","",IF(E72&lt;0,"OVERDUE",IF(E72&lt;=3,"URGENT",IF(E72&lt;=7,"CONTACT NOW","OK"))))</f>
        <v/>
      </c>
    </row>
    <row r="73" ht="15" customHeight="1" s="64">
      <c r="E73" s="98">
        <f>IF(D73="","",D73-TODAY())</f>
        <v/>
      </c>
      <c r="F73" s="63">
        <f>IF(E73="","",IF(E73&lt;0,"OVERDUE",IF(E73&lt;=3,"URGENT",IF(E73&lt;=7,"CONTACT NOW","OK"))))</f>
        <v/>
      </c>
    </row>
    <row r="74" ht="15" customHeight="1" s="64">
      <c r="E74" s="98">
        <f>IF(D74="","",D74-TODAY())</f>
        <v/>
      </c>
      <c r="F74" s="63">
        <f>IF(E74="","",IF(E74&lt;0,"OVERDUE",IF(E74&lt;=3,"URGENT",IF(E74&lt;=7,"CONTACT NOW","OK"))))</f>
        <v/>
      </c>
    </row>
    <row r="75" ht="15" customHeight="1" s="64">
      <c r="E75" s="98">
        <f>IF(D75="","",D75-TODAY())</f>
        <v/>
      </c>
      <c r="F75" s="63">
        <f>IF(E75="","",IF(E75&lt;0,"OVERDUE",IF(E75&lt;=3,"URGENT",IF(E75&lt;=7,"CONTACT NOW","OK"))))</f>
        <v/>
      </c>
    </row>
    <row r="76" ht="15" customHeight="1" s="64">
      <c r="E76" s="98">
        <f>IF(D76="","",D76-TODAY())</f>
        <v/>
      </c>
      <c r="F76" s="63">
        <f>IF(E76="","",IF(E76&lt;0,"OVERDUE",IF(E76&lt;=3,"URGENT",IF(E76&lt;=7,"CONTACT NOW","OK"))))</f>
        <v/>
      </c>
    </row>
    <row r="77" ht="15" customHeight="1" s="64">
      <c r="E77" s="98">
        <f>IF(D77="","",D77-TODAY())</f>
        <v/>
      </c>
      <c r="F77" s="63">
        <f>IF(E77="","",IF(E77&lt;0,"OVERDUE",IF(E77&lt;=3,"URGENT",IF(E77&lt;=7,"CONTACT NOW","OK"))))</f>
        <v/>
      </c>
    </row>
    <row r="78" ht="15" customHeight="1" s="64">
      <c r="E78" s="98">
        <f>IF(D78="","",D78-TODAY())</f>
        <v/>
      </c>
      <c r="F78" s="63">
        <f>IF(E78="","",IF(E78&lt;0,"OVERDUE",IF(E78&lt;=3,"URGENT",IF(E78&lt;=7,"CONTACT NOW","OK"))))</f>
        <v/>
      </c>
    </row>
    <row r="79" ht="15" customHeight="1" s="64">
      <c r="E79" s="98">
        <f>IF(D79="","",D79-TODAY())</f>
        <v/>
      </c>
      <c r="F79" s="63">
        <f>IF(E79="","",IF(E79&lt;0,"OVERDUE",IF(E79&lt;=3,"URGENT",IF(E79&lt;=7,"CONTACT NOW","OK"))))</f>
        <v/>
      </c>
    </row>
    <row r="80" ht="15" customHeight="1" s="64">
      <c r="E80" s="98">
        <f>IF(D80="","",D80-TODAY())</f>
        <v/>
      </c>
      <c r="F80" s="63">
        <f>IF(E80="","",IF(E80&lt;0,"OVERDUE",IF(E80&lt;=3,"URGENT",IF(E80&lt;=7,"CONTACT NOW","OK"))))</f>
        <v/>
      </c>
    </row>
    <row r="81" ht="15" customHeight="1" s="64">
      <c r="E81" s="98">
        <f>IF(D81="","",D81-TODAY())</f>
        <v/>
      </c>
      <c r="F81" s="63">
        <f>IF(E81="","",IF(E81&lt;0,"OVERDUE",IF(E81&lt;=3,"URGENT",IF(E81&lt;=7,"CONTACT NOW","OK"))))</f>
        <v/>
      </c>
    </row>
    <row r="82" ht="15" customHeight="1" s="64">
      <c r="E82" s="98">
        <f>IF(D82="","",D82-TODAY())</f>
        <v/>
      </c>
      <c r="F82" s="63">
        <f>IF(E82="","",IF(E82&lt;0,"OVERDUE",IF(E82&lt;=3,"URGENT",IF(E82&lt;=7,"CONTACT NOW","OK"))))</f>
        <v/>
      </c>
    </row>
    <row r="83" ht="15" customHeight="1" s="64">
      <c r="E83" s="98">
        <f>IF(D83="","",D83-TODAY())</f>
        <v/>
      </c>
      <c r="F83" s="63">
        <f>IF(E83="","",IF(E83&lt;0,"OVERDUE",IF(E83&lt;=3,"URGENT",IF(E83&lt;=7,"CONTACT NOW","OK"))))</f>
        <v/>
      </c>
    </row>
    <row r="84" ht="15" customHeight="1" s="64">
      <c r="E84" s="98">
        <f>IF(D84="","",D84-TODAY())</f>
        <v/>
      </c>
      <c r="F84" s="63">
        <f>IF(E84="","",IF(E84&lt;0,"OVERDUE",IF(E84&lt;=3,"URGENT",IF(E84&lt;=7,"CONTACT NOW","OK"))))</f>
        <v/>
      </c>
    </row>
    <row r="85" ht="15" customHeight="1" s="64">
      <c r="E85" s="98">
        <f>IF(D85="","",D85-TODAY())</f>
        <v/>
      </c>
      <c r="F85" s="63">
        <f>IF(E85="","",IF(E85&lt;0,"OVERDUE",IF(E85&lt;=3,"URGENT",IF(E85&lt;=7,"CONTACT NOW","OK"))))</f>
        <v/>
      </c>
    </row>
    <row r="86" ht="15" customHeight="1" s="64">
      <c r="E86" s="98">
        <f>IF(D86="","",D86-TODAY())</f>
        <v/>
      </c>
      <c r="F86" s="63">
        <f>IF(E86="","",IF(E86&lt;0,"OVERDUE",IF(E86&lt;=3,"URGENT",IF(E86&lt;=7,"CONTACT NOW","OK"))))</f>
        <v/>
      </c>
    </row>
    <row r="87" ht="15" customHeight="1" s="64">
      <c r="E87" s="98">
        <f>IF(D87="","",D87-TODAY())</f>
        <v/>
      </c>
      <c r="F87" s="63">
        <f>IF(E87="","",IF(E87&lt;0,"OVERDUE",IF(E87&lt;=3,"URGENT",IF(E87&lt;=7,"CONTACT NOW","OK"))))</f>
        <v/>
      </c>
    </row>
    <row r="88" ht="15" customHeight="1" s="64">
      <c r="E88" s="98">
        <f>IF(D88="","",D88-TODAY())</f>
        <v/>
      </c>
      <c r="F88" s="63">
        <f>IF(E88="","",IF(E88&lt;0,"OVERDUE",IF(E88&lt;=3,"URGENT",IF(E88&lt;=7,"CONTACT NOW","OK"))))</f>
        <v/>
      </c>
    </row>
    <row r="89" ht="15" customHeight="1" s="64">
      <c r="E89" s="98">
        <f>IF(D89="","",D89-TODAY())</f>
        <v/>
      </c>
      <c r="F89" s="63">
        <f>IF(E89="","",IF(E89&lt;0,"OVERDUE",IF(E89&lt;=3,"URGENT",IF(E89&lt;=7,"CONTACT NOW","OK"))))</f>
        <v/>
      </c>
    </row>
    <row r="90" ht="15" customHeight="1" s="64">
      <c r="E90" s="98">
        <f>IF(D90="","",D90-TODAY())</f>
        <v/>
      </c>
      <c r="F90" s="63">
        <f>IF(E90="","",IF(E90&lt;0,"OVERDUE",IF(E90&lt;=3,"URGENT",IF(E90&lt;=7,"CONTACT NOW","OK"))))</f>
        <v/>
      </c>
    </row>
    <row r="91" ht="15" customHeight="1" s="64">
      <c r="E91" s="98">
        <f>IF(D91="","",D91-TODAY())</f>
        <v/>
      </c>
      <c r="F91" s="63">
        <f>IF(E91="","",IF(E91&lt;0,"OVERDUE",IF(E91&lt;=3,"URGENT",IF(E91&lt;=7,"CONTACT NOW","OK"))))</f>
        <v/>
      </c>
    </row>
    <row r="92" ht="15" customHeight="1" s="64">
      <c r="E92" s="98">
        <f>IF(D92="","",D92-TODAY())</f>
        <v/>
      </c>
      <c r="F92" s="63">
        <f>IF(E92="","",IF(E92&lt;0,"OVERDUE",IF(E92&lt;=3,"URGENT",IF(E92&lt;=7,"CONTACT NOW","OK"))))</f>
        <v/>
      </c>
    </row>
    <row r="93" ht="15" customHeight="1" s="64">
      <c r="E93" s="98">
        <f>IF(D93="","",D93-TODAY())</f>
        <v/>
      </c>
      <c r="F93" s="63">
        <f>IF(E93="","",IF(E93&lt;0,"OVERDUE",IF(E93&lt;=3,"URGENT",IF(E93&lt;=7,"CONTACT NOW","OK"))))</f>
        <v/>
      </c>
    </row>
    <row r="94" ht="15" customHeight="1" s="64">
      <c r="E94" s="98">
        <f>IF(D94="","",D94-TODAY())</f>
        <v/>
      </c>
      <c r="F94" s="63">
        <f>IF(E94="","",IF(E94&lt;0,"OVERDUE",IF(E94&lt;=3,"URGENT",IF(E94&lt;=7,"CONTACT NOW","OK"))))</f>
        <v/>
      </c>
    </row>
    <row r="95" ht="15" customHeight="1" s="64">
      <c r="E95" s="98">
        <f>IF(D95="","",D95-TODAY())</f>
        <v/>
      </c>
      <c r="F95" s="63">
        <f>IF(E95="","",IF(E95&lt;0,"OVERDUE",IF(E95&lt;=3,"URGENT",IF(E95&lt;=7,"CONTACT NOW","OK"))))</f>
        <v/>
      </c>
    </row>
    <row r="96" ht="15" customHeight="1" s="64">
      <c r="E96" s="98">
        <f>IF(D96="","",D96-TODAY())</f>
        <v/>
      </c>
      <c r="F96" s="63">
        <f>IF(E96="","",IF(E96&lt;0,"OVERDUE",IF(E96&lt;=3,"URGENT",IF(E96&lt;=7,"CONTACT NOW","OK"))))</f>
        <v/>
      </c>
    </row>
    <row r="97" ht="15" customHeight="1" s="64">
      <c r="E97" s="98">
        <f>IF(D97="","",D97-TODAY())</f>
        <v/>
      </c>
      <c r="F97" s="63">
        <f>IF(E97="","",IF(E97&lt;0,"OVERDUE",IF(E97&lt;=3,"URGENT",IF(E97&lt;=7,"CONTACT NOW","OK"))))</f>
        <v/>
      </c>
    </row>
    <row r="98" ht="15" customHeight="1" s="64">
      <c r="E98" s="98">
        <f>IF(D98="","",D98-TODAY())</f>
        <v/>
      </c>
      <c r="F98" s="63">
        <f>IF(E98="","",IF(E98&lt;0,"OVERDUE",IF(E98&lt;=3,"URGENT",IF(E98&lt;=7,"CONTACT NOW","OK"))))</f>
        <v/>
      </c>
    </row>
    <row r="99" ht="15" customHeight="1" s="64">
      <c r="E99" s="98">
        <f>IF(D99="","",D99-TODAY())</f>
        <v/>
      </c>
      <c r="F99" s="63">
        <f>IF(E99="","",IF(E99&lt;0,"OVERDUE",IF(E99&lt;=3,"URGENT",IF(E99&lt;=7,"CONTACT NOW","OK"))))</f>
        <v/>
      </c>
    </row>
    <row r="100" ht="15" customHeight="1" s="64">
      <c r="E100" s="98">
        <f>IF(D100="","",D100-TODAY())</f>
        <v/>
      </c>
      <c r="F100" s="63">
        <f>IF(E100="","",IF(E100&lt;0,"OVERDUE",IF(E100&lt;=3,"URGENT",IF(E100&lt;=7,"CONTACT NOW","OK"))))</f>
        <v/>
      </c>
    </row>
    <row r="101" ht="15" customHeight="1" s="64">
      <c r="E101" s="98">
        <f>IF(D101="","",D101-TODAY())</f>
        <v/>
      </c>
      <c r="F101" s="63">
        <f>IF(E101="","",IF(E101&lt;0,"OVERDUE",IF(E101&lt;=3,"URGENT",IF(E101&lt;=7,"CONTACT NOW","OK"))))</f>
        <v/>
      </c>
    </row>
    <row r="102" ht="15" customHeight="1" s="64">
      <c r="E102" s="98">
        <f>IF(D102="","",D102-TODAY())</f>
        <v/>
      </c>
      <c r="F102" s="63">
        <f>IF(E102="","",IF(E102&lt;0,"OVERDUE",IF(E102&lt;=3,"URGENT",IF(E102&lt;=7,"CONTACT NOW","OK"))))</f>
        <v/>
      </c>
    </row>
    <row r="103" ht="15" customHeight="1" s="64">
      <c r="E103" s="98">
        <f>IF(D103="","",D103-TODAY())</f>
        <v/>
      </c>
      <c r="F103" s="63">
        <f>IF(E103="","",IF(E103&lt;0,"OVERDUE",IF(E103&lt;=3,"URGENT",IF(E103&lt;=7,"CONTACT NOW","OK"))))</f>
        <v/>
      </c>
    </row>
    <row r="104" ht="15" customHeight="1" s="64">
      <c r="E104" s="98">
        <f>IF(D104="","",D104-TODAY())</f>
        <v/>
      </c>
      <c r="F104" s="63">
        <f>IF(E104="","",IF(E104&lt;0,"OVERDUE",IF(E104&lt;=3,"URGENT",IF(E104&lt;=7,"CONTACT NOW","OK"))))</f>
        <v/>
      </c>
    </row>
    <row r="105" ht="15" customHeight="1" s="64">
      <c r="E105" s="98">
        <f>IF(D105="","",D105-TODAY())</f>
        <v/>
      </c>
      <c r="F105" s="63">
        <f>IF(E105="","",IF(E105&lt;0,"OVERDUE",IF(E105&lt;=3,"URGENT",IF(E105&lt;=7,"CONTACT NOW","OK"))))</f>
        <v/>
      </c>
    </row>
    <row r="106" ht="15" customHeight="1" s="64">
      <c r="E106" s="98">
        <f>IF(D106="","",D106-TODAY())</f>
        <v/>
      </c>
      <c r="F106" s="63">
        <f>IF(E106="","",IF(E106&lt;0,"OVERDUE",IF(E106&lt;=3,"URGENT",IF(E106&lt;=7,"CONTACT NOW","OK"))))</f>
        <v/>
      </c>
    </row>
    <row r="107" ht="15" customHeight="1" s="64">
      <c r="E107" s="98">
        <f>IF(D107="","",D107-TODAY())</f>
        <v/>
      </c>
      <c r="F107" s="63">
        <f>IF(E107="","",IF(E107&lt;0,"OVERDUE",IF(E107&lt;=3,"URGENT",IF(E107&lt;=7,"CONTACT NOW","OK"))))</f>
        <v/>
      </c>
    </row>
    <row r="108" ht="15" customHeight="1" s="64">
      <c r="E108" s="98">
        <f>IF(D108="","",D108-TODAY())</f>
        <v/>
      </c>
      <c r="F108" s="63">
        <f>IF(E108="","",IF(E108&lt;0,"OVERDUE",IF(E108&lt;=3,"URGENT",IF(E108&lt;=7,"CONTACT NOW","OK"))))</f>
        <v/>
      </c>
    </row>
    <row r="109" ht="15" customHeight="1" s="64">
      <c r="E109" s="98">
        <f>IF(D109="","",D109-TODAY())</f>
        <v/>
      </c>
      <c r="F109" s="63">
        <f>IF(E109="","",IF(E109&lt;0,"OVERDUE",IF(E109&lt;=3,"URGENT",IF(E109&lt;=7,"CONTACT NOW","OK"))))</f>
        <v/>
      </c>
    </row>
    <row r="110" ht="15" customHeight="1" s="64">
      <c r="E110" s="98">
        <f>IF(D110="","",D110-TODAY())</f>
        <v/>
      </c>
      <c r="F110" s="63">
        <f>IF(E110="","",IF(E110&lt;0,"OVERDUE",IF(E110&lt;=3,"URGENT",IF(E110&lt;=7,"CONTACT NOW","OK"))))</f>
        <v/>
      </c>
    </row>
    <row r="111" ht="15" customHeight="1" s="64">
      <c r="E111" s="98">
        <f>IF(D111="","",D111-TODAY())</f>
        <v/>
      </c>
      <c r="F111" s="63">
        <f>IF(E111="","",IF(E111&lt;0,"OVERDUE",IF(E111&lt;=3,"URGENT",IF(E111&lt;=7,"CONTACT NOW","OK"))))</f>
        <v/>
      </c>
    </row>
    <row r="112" ht="15" customHeight="1" s="64">
      <c r="E112" s="98">
        <f>IF(D112="","",D112-TODAY())</f>
        <v/>
      </c>
      <c r="F112" s="63">
        <f>IF(E112="","",IF(E112&lt;0,"OVERDUE",IF(E112&lt;=3,"URGENT",IF(E112&lt;=7,"CONTACT NOW","OK"))))</f>
        <v/>
      </c>
    </row>
    <row r="113" ht="15" customHeight="1" s="64">
      <c r="E113" s="98">
        <f>IF(D113="","",D113-TODAY())</f>
        <v/>
      </c>
      <c r="F113" s="63">
        <f>IF(E113="","",IF(E113&lt;0,"OVERDUE",IF(E113&lt;=3,"URGENT",IF(E113&lt;=7,"CONTACT NOW","OK"))))</f>
        <v/>
      </c>
    </row>
    <row r="114" ht="15" customHeight="1" s="64">
      <c r="E114" s="98">
        <f>IF(D114="","",D114-TODAY())</f>
        <v/>
      </c>
      <c r="F114" s="63">
        <f>IF(E114="","",IF(E114&lt;0,"OVERDUE",IF(E114&lt;=3,"URGENT",IF(E114&lt;=7,"CONTACT NOW","OK"))))</f>
        <v/>
      </c>
    </row>
    <row r="115" ht="15" customHeight="1" s="64">
      <c r="E115" s="98">
        <f>IF(D115="","",D115-TODAY())</f>
        <v/>
      </c>
      <c r="F115" s="63">
        <f>IF(E115="","",IF(E115&lt;0,"OVERDUE",IF(E115&lt;=3,"URGENT",IF(E115&lt;=7,"CONTACT NOW","OK"))))</f>
        <v/>
      </c>
    </row>
    <row r="116" ht="15" customHeight="1" s="64">
      <c r="E116" s="98">
        <f>IF(D116="","",D116-TODAY())</f>
        <v/>
      </c>
      <c r="F116" s="63">
        <f>IF(E116="","",IF(E116&lt;0,"OVERDUE",IF(E116&lt;=3,"URGENT",IF(E116&lt;=7,"CONTACT NOW","OK"))))</f>
        <v/>
      </c>
    </row>
    <row r="117" ht="15" customHeight="1" s="64">
      <c r="E117" s="98">
        <f>IF(D117="","",D117-TODAY())</f>
        <v/>
      </c>
      <c r="F117" s="63">
        <f>IF(E117="","",IF(E117&lt;0,"OVERDUE",IF(E117&lt;=3,"URGENT",IF(E117&lt;=7,"CONTACT NOW","OK"))))</f>
        <v/>
      </c>
    </row>
    <row r="118" ht="15" customHeight="1" s="64">
      <c r="E118" s="98">
        <f>IF(D118="","",D118-TODAY())</f>
        <v/>
      </c>
      <c r="F118" s="63">
        <f>IF(E118="","",IF(E118&lt;0,"OVERDUE",IF(E118&lt;=3,"URGENT",IF(E118&lt;=7,"CONTACT NOW","OK"))))</f>
        <v/>
      </c>
    </row>
    <row r="119" ht="15" customHeight="1" s="64">
      <c r="E119" s="98">
        <f>IF(D119="","",D119-TODAY())</f>
        <v/>
      </c>
      <c r="F119" s="63">
        <f>IF(E119="","",IF(E119&lt;0,"OVERDUE",IF(E119&lt;=3,"URGENT",IF(E119&lt;=7,"CONTACT NOW","OK"))))</f>
        <v/>
      </c>
    </row>
    <row r="120" ht="15" customHeight="1" s="64">
      <c r="E120" s="98">
        <f>IF(D120="","",D120-TODAY())</f>
        <v/>
      </c>
      <c r="F120" s="63">
        <f>IF(E120="","",IF(E120&lt;0,"OVERDUE",IF(E120&lt;=3,"URGENT",IF(E120&lt;=7,"CONTACT NOW","OK"))))</f>
        <v/>
      </c>
    </row>
    <row r="121" ht="15" customHeight="1" s="64">
      <c r="E121" s="98">
        <f>IF(D121="","",D121-TODAY())</f>
        <v/>
      </c>
      <c r="F121" s="63">
        <f>IF(E121="","",IF(E121&lt;0,"OVERDUE",IF(E121&lt;=3,"URGENT",IF(E121&lt;=7,"CONTACT NOW","OK"))))</f>
        <v/>
      </c>
    </row>
    <row r="122" ht="15" customHeight="1" s="64">
      <c r="E122" s="98">
        <f>IF(D122="","",D122-TODAY())</f>
        <v/>
      </c>
      <c r="F122" s="63">
        <f>IF(E122="","",IF(E122&lt;0,"OVERDUE",IF(E122&lt;=3,"URGENT",IF(E122&lt;=7,"CONTACT NOW","OK"))))</f>
        <v/>
      </c>
    </row>
    <row r="123" ht="15" customHeight="1" s="64">
      <c r="E123" s="98">
        <f>IF(D123="","",D123-TODAY())</f>
        <v/>
      </c>
      <c r="F123" s="63">
        <f>IF(E123="","",IF(E123&lt;0,"OVERDUE",IF(E123&lt;=3,"URGENT",IF(E123&lt;=7,"CONTACT NOW","OK"))))</f>
        <v/>
      </c>
    </row>
    <row r="124" ht="15" customHeight="1" s="64">
      <c r="E124" s="98">
        <f>IF(D124="","",D124-TODAY())</f>
        <v/>
      </c>
      <c r="F124" s="63">
        <f>IF(E124="","",IF(E124&lt;0,"OVERDUE",IF(E124&lt;=3,"URGENT",IF(E124&lt;=7,"CONTACT NOW","OK"))))</f>
        <v/>
      </c>
    </row>
    <row r="125" ht="15" customHeight="1" s="64">
      <c r="E125" s="98">
        <f>IF(D125="","",D125-TODAY())</f>
        <v/>
      </c>
      <c r="F125" s="63">
        <f>IF(E125="","",IF(E125&lt;0,"OVERDUE",IF(E125&lt;=3,"URGENT",IF(E125&lt;=7,"CONTACT NOW","OK"))))</f>
        <v/>
      </c>
    </row>
    <row r="126" ht="15" customHeight="1" s="64">
      <c r="E126" s="98">
        <f>IF(D126="","",D126-TODAY())</f>
        <v/>
      </c>
      <c r="F126" s="63">
        <f>IF(E126="","",IF(E126&lt;0,"OVERDUE",IF(E126&lt;=3,"URGENT",IF(E126&lt;=7,"CONTACT NOW","OK"))))</f>
        <v/>
      </c>
    </row>
    <row r="127" ht="15" customHeight="1" s="64">
      <c r="E127" s="98">
        <f>IF(D127="","",D127-TODAY())</f>
        <v/>
      </c>
      <c r="F127" s="63">
        <f>IF(E127="","",IF(E127&lt;0,"OVERDUE",IF(E127&lt;=3,"URGENT",IF(E127&lt;=7,"CONTACT NOW","OK"))))</f>
        <v/>
      </c>
    </row>
    <row r="128" ht="15" customHeight="1" s="64">
      <c r="E128" s="98">
        <f>IF(D128="","",D128-TODAY())</f>
        <v/>
      </c>
      <c r="F128" s="63">
        <f>IF(E128="","",IF(E128&lt;0,"OVERDUE",IF(E128&lt;=3,"URGENT",IF(E128&lt;=7,"CONTACT NOW","OK"))))</f>
        <v/>
      </c>
    </row>
    <row r="129" ht="15" customHeight="1" s="64">
      <c r="E129" s="98">
        <f>IF(D129="","",D129-TODAY())</f>
        <v/>
      </c>
      <c r="F129" s="63">
        <f>IF(E129="","",IF(E129&lt;0,"OVERDUE",IF(E129&lt;=3,"URGENT",IF(E129&lt;=7,"CONTACT NOW","OK"))))</f>
        <v/>
      </c>
    </row>
    <row r="130" ht="15" customHeight="1" s="64">
      <c r="E130" s="98">
        <f>IF(D130="","",D130-TODAY())</f>
        <v/>
      </c>
      <c r="F130" s="63">
        <f>IF(E130="","",IF(E130&lt;0,"OVERDUE",IF(E130&lt;=3,"URGENT",IF(E130&lt;=7,"CONTACT NOW","OK"))))</f>
        <v/>
      </c>
    </row>
    <row r="131" ht="15" customHeight="1" s="64">
      <c r="E131" s="98">
        <f>IF(D131="","",D131-TODAY())</f>
        <v/>
      </c>
      <c r="F131" s="63">
        <f>IF(E131="","",IF(E131&lt;0,"OVERDUE",IF(E131&lt;=3,"URGENT",IF(E131&lt;=7,"CONTACT NOW","OK"))))</f>
        <v/>
      </c>
    </row>
    <row r="132" ht="15" customHeight="1" s="64">
      <c r="E132" s="98">
        <f>IF(D132="","",D132-TODAY())</f>
        <v/>
      </c>
      <c r="F132" s="63">
        <f>IF(E132="","",IF(E132&lt;0,"OVERDUE",IF(E132&lt;=3,"URGENT",IF(E132&lt;=7,"CONTACT NOW","OK"))))</f>
        <v/>
      </c>
    </row>
    <row r="133" ht="15" customHeight="1" s="64">
      <c r="E133" s="98">
        <f>IF(D133="","",D133-TODAY())</f>
        <v/>
      </c>
      <c r="F133" s="63">
        <f>IF(E133="","",IF(E133&lt;0,"OVERDUE",IF(E133&lt;=3,"URGENT",IF(E133&lt;=7,"CONTACT NOW","OK"))))</f>
        <v/>
      </c>
    </row>
    <row r="134" ht="15" customHeight="1" s="64">
      <c r="E134" s="98">
        <f>IF(D134="","",D134-TODAY())</f>
        <v/>
      </c>
      <c r="F134" s="63">
        <f>IF(E134="","",IF(E134&lt;0,"OVERDUE",IF(E134&lt;=3,"URGENT",IF(E134&lt;=7,"CONTACT NOW","OK"))))</f>
        <v/>
      </c>
    </row>
    <row r="135" ht="15" customHeight="1" s="64">
      <c r="E135" s="98">
        <f>IF(D135="","",D135-TODAY())</f>
        <v/>
      </c>
      <c r="F135" s="63">
        <f>IF(E135="","",IF(E135&lt;0,"OVERDUE",IF(E135&lt;=3,"URGENT",IF(E135&lt;=7,"CONTACT NOW","OK"))))</f>
        <v/>
      </c>
    </row>
    <row r="136" ht="15" customHeight="1" s="64">
      <c r="E136" s="98">
        <f>IF(D136="","",D136-TODAY())</f>
        <v/>
      </c>
      <c r="F136" s="63">
        <f>IF(E136="","",IF(E136&lt;0,"OVERDUE",IF(E136&lt;=3,"URGENT",IF(E136&lt;=7,"CONTACT NOW","OK"))))</f>
        <v/>
      </c>
    </row>
    <row r="137" ht="15" customHeight="1" s="64">
      <c r="E137" s="98">
        <f>IF(D137="","",D137-TODAY())</f>
        <v/>
      </c>
      <c r="F137" s="63">
        <f>IF(E137="","",IF(E137&lt;0,"OVERDUE",IF(E137&lt;=3,"URGENT",IF(E137&lt;=7,"CONTACT NOW","OK"))))</f>
        <v/>
      </c>
    </row>
    <row r="138" ht="15" customHeight="1" s="64">
      <c r="E138" s="98">
        <f>IF(D138="","",D138-TODAY())</f>
        <v/>
      </c>
      <c r="F138" s="63">
        <f>IF(E138="","",IF(E138&lt;0,"OVERDUE",IF(E138&lt;=3,"URGENT",IF(E138&lt;=7,"CONTACT NOW","OK"))))</f>
        <v/>
      </c>
    </row>
    <row r="139" ht="15" customHeight="1" s="64">
      <c r="E139" s="98">
        <f>IF(D139="","",D139-TODAY())</f>
        <v/>
      </c>
      <c r="F139" s="63">
        <f>IF(E139="","",IF(E139&lt;0,"OVERDUE",IF(E139&lt;=3,"URGENT",IF(E139&lt;=7,"CONTACT NOW","OK"))))</f>
        <v/>
      </c>
    </row>
    <row r="140" ht="15" customHeight="1" s="64">
      <c r="E140" s="98">
        <f>IF(D140="","",D140-TODAY())</f>
        <v/>
      </c>
      <c r="F140" s="63">
        <f>IF(E140="","",IF(E140&lt;0,"OVERDUE",IF(E140&lt;=3,"URGENT",IF(E140&lt;=7,"CONTACT NOW","OK"))))</f>
        <v/>
      </c>
    </row>
    <row r="141" ht="15" customHeight="1" s="64">
      <c r="E141" s="98">
        <f>IF(D141="","",D141-TODAY())</f>
        <v/>
      </c>
      <c r="F141" s="63">
        <f>IF(E141="","",IF(E141&lt;0,"OVERDUE",IF(E141&lt;=3,"URGENT",IF(E141&lt;=7,"CONTACT NOW","OK"))))</f>
        <v/>
      </c>
    </row>
    <row r="142" ht="15" customHeight="1" s="64">
      <c r="E142" s="98">
        <f>IF(D142="","",D142-TODAY())</f>
        <v/>
      </c>
      <c r="F142" s="63">
        <f>IF(E142="","",IF(E142&lt;0,"OVERDUE",IF(E142&lt;=3,"URGENT",IF(E142&lt;=7,"CONTACT NOW","OK"))))</f>
        <v/>
      </c>
    </row>
    <row r="143" ht="15" customHeight="1" s="64">
      <c r="E143" s="98">
        <f>IF(D143="","",D143-TODAY())</f>
        <v/>
      </c>
      <c r="F143" s="63">
        <f>IF(E143="","",IF(E143&lt;0,"OVERDUE",IF(E143&lt;=3,"URGENT",IF(E143&lt;=7,"CONTACT NOW","OK"))))</f>
        <v/>
      </c>
    </row>
    <row r="144" ht="15" customHeight="1" s="64">
      <c r="E144" s="98">
        <f>IF(D144="","",D144-TODAY())</f>
        <v/>
      </c>
      <c r="F144" s="63">
        <f>IF(E144="","",IF(E144&lt;0,"OVERDUE",IF(E144&lt;=3,"URGENT",IF(E144&lt;=7,"CONTACT NOW","OK"))))</f>
        <v/>
      </c>
    </row>
    <row r="145" ht="15" customHeight="1" s="64">
      <c r="E145" s="98">
        <f>IF(D145="","",D145-TODAY())</f>
        <v/>
      </c>
      <c r="F145" s="63">
        <f>IF(E145="","",IF(E145&lt;0,"OVERDUE",IF(E145&lt;=3,"URGENT",IF(E145&lt;=7,"CONTACT NOW","OK"))))</f>
        <v/>
      </c>
    </row>
    <row r="146" ht="15" customHeight="1" s="64">
      <c r="E146" s="98">
        <f>IF(D146="","",D146-TODAY())</f>
        <v/>
      </c>
      <c r="F146" s="63">
        <f>IF(E146="","",IF(E146&lt;0,"OVERDUE",IF(E146&lt;=3,"URGENT",IF(E146&lt;=7,"CONTACT NOW","OK"))))</f>
        <v/>
      </c>
    </row>
    <row r="147" ht="15" customHeight="1" s="64">
      <c r="E147" s="98">
        <f>IF(D147="","",D147-TODAY())</f>
        <v/>
      </c>
      <c r="F147" s="63">
        <f>IF(E147="","",IF(E147&lt;0,"OVERDUE",IF(E147&lt;=3,"URGENT",IF(E147&lt;=7,"CONTACT NOW","OK"))))</f>
        <v/>
      </c>
    </row>
    <row r="148" ht="15" customHeight="1" s="64">
      <c r="E148" s="98">
        <f>IF(D148="","",D148-TODAY())</f>
        <v/>
      </c>
      <c r="F148" s="63">
        <f>IF(E148="","",IF(E148&lt;0,"OVERDUE",IF(E148&lt;=3,"URGENT",IF(E148&lt;=7,"CONTACT NOW","OK"))))</f>
        <v/>
      </c>
    </row>
    <row r="149" ht="15" customHeight="1" s="64">
      <c r="E149" s="98">
        <f>IF(D149="","",D149-TODAY())</f>
        <v/>
      </c>
      <c r="F149" s="63">
        <f>IF(E149="","",IF(E149&lt;0,"OVERDUE",IF(E149&lt;=3,"URGENT",IF(E149&lt;=7,"CONTACT NOW","OK"))))</f>
        <v/>
      </c>
    </row>
    <row r="150" ht="15" customHeight="1" s="64">
      <c r="E150" s="98">
        <f>IF(D150="","",D150-TODAY())</f>
        <v/>
      </c>
      <c r="F150" s="63">
        <f>IF(E150="","",IF(E150&lt;0,"OVERDUE",IF(E150&lt;=3,"URGENT",IF(E150&lt;=7,"CONTACT NOW","OK"))))</f>
        <v/>
      </c>
    </row>
    <row r="151" ht="15" customHeight="1" s="64">
      <c r="E151" s="98">
        <f>IF(D151="","",D151-TODAY())</f>
        <v/>
      </c>
      <c r="F151" s="63">
        <f>IF(E151="","",IF(E151&lt;0,"OVERDUE",IF(E151&lt;=3,"URGENT",IF(E151&lt;=7,"CONTACT NOW","OK"))))</f>
        <v/>
      </c>
    </row>
    <row r="152" ht="15" customHeight="1" s="64">
      <c r="E152" s="98">
        <f>IF(D152="","",D152-TODAY())</f>
        <v/>
      </c>
      <c r="F152" s="63">
        <f>IF(E152="","",IF(E152&lt;0,"OVERDUE",IF(E152&lt;=3,"URGENT",IF(E152&lt;=7,"CONTACT NOW","OK"))))</f>
        <v/>
      </c>
    </row>
    <row r="153" ht="15" customHeight="1" s="64">
      <c r="E153" s="98">
        <f>IF(D153="","",D153-TODAY())</f>
        <v/>
      </c>
      <c r="F153" s="63">
        <f>IF(E153="","",IF(E153&lt;0,"OVERDUE",IF(E153&lt;=3,"URGENT",IF(E153&lt;=7,"CONTACT NOW","OK"))))</f>
        <v/>
      </c>
    </row>
    <row r="154" ht="15" customHeight="1" s="64">
      <c r="E154" s="98">
        <f>IF(D154="","",D154-TODAY())</f>
        <v/>
      </c>
      <c r="F154" s="63">
        <f>IF(E154="","",IF(E154&lt;0,"OVERDUE",IF(E154&lt;=3,"URGENT",IF(E154&lt;=7,"CONTACT NOW","OK"))))</f>
        <v/>
      </c>
    </row>
    <row r="155" ht="15" customHeight="1" s="64">
      <c r="E155" s="98">
        <f>IF(D155="","",D155-TODAY())</f>
        <v/>
      </c>
      <c r="F155" s="63">
        <f>IF(E155="","",IF(E155&lt;0,"OVERDUE",IF(E155&lt;=3,"URGENT",IF(E155&lt;=7,"CONTACT NOW","OK"))))</f>
        <v/>
      </c>
    </row>
    <row r="156" ht="15" customHeight="1" s="64">
      <c r="E156" s="98">
        <f>IF(D156="","",D156-TODAY())</f>
        <v/>
      </c>
      <c r="F156" s="63">
        <f>IF(E156="","",IF(E156&lt;0,"OVERDUE",IF(E156&lt;=3,"URGENT",IF(E156&lt;=7,"CONTACT NOW","OK"))))</f>
        <v/>
      </c>
    </row>
    <row r="157" ht="15" customHeight="1" s="64">
      <c r="E157" s="98">
        <f>IF(D157="","",D157-TODAY())</f>
        <v/>
      </c>
      <c r="F157" s="63">
        <f>IF(E157="","",IF(E157&lt;0,"OVERDUE",IF(E157&lt;=3,"URGENT",IF(E157&lt;=7,"CONTACT NOW","OK"))))</f>
        <v/>
      </c>
    </row>
    <row r="158" ht="15" customHeight="1" s="64">
      <c r="E158" s="98">
        <f>IF(D158="","",D158-TODAY())</f>
        <v/>
      </c>
      <c r="F158" s="63">
        <f>IF(E158="","",IF(E158&lt;0,"OVERDUE",IF(E158&lt;=3,"URGENT",IF(E158&lt;=7,"CONTACT NOW","OK"))))</f>
        <v/>
      </c>
    </row>
    <row r="159" ht="15" customHeight="1" s="64">
      <c r="E159" s="98">
        <f>IF(D159="","",D159-TODAY())</f>
        <v/>
      </c>
      <c r="F159" s="63">
        <f>IF(E159="","",IF(E159&lt;0,"OVERDUE",IF(E159&lt;=3,"URGENT",IF(E159&lt;=7,"CONTACT NOW","OK"))))</f>
        <v/>
      </c>
    </row>
    <row r="160" ht="15" customHeight="1" s="64">
      <c r="E160" s="98">
        <f>IF(D160="","",D160-TODAY())</f>
        <v/>
      </c>
      <c r="F160" s="63">
        <f>IF(E160="","",IF(E160&lt;0,"OVERDUE",IF(E160&lt;=3,"URGENT",IF(E160&lt;=7,"CONTACT NOW","OK"))))</f>
        <v/>
      </c>
    </row>
    <row r="161" ht="15" customHeight="1" s="64">
      <c r="E161" s="98">
        <f>IF(D161="","",D161-TODAY())</f>
        <v/>
      </c>
      <c r="F161" s="63">
        <f>IF(E161="","",IF(E161&lt;0,"OVERDUE",IF(E161&lt;=3,"URGENT",IF(E161&lt;=7,"CONTACT NOW","OK"))))</f>
        <v/>
      </c>
    </row>
    <row r="162" ht="15" customHeight="1" s="64">
      <c r="E162" s="98">
        <f>IF(D162="","",D162-TODAY())</f>
        <v/>
      </c>
      <c r="F162" s="63">
        <f>IF(E162="","",IF(E162&lt;0,"OVERDUE",IF(E162&lt;=3,"URGENT",IF(E162&lt;=7,"CONTACT NOW","OK"))))</f>
        <v/>
      </c>
    </row>
    <row r="163" ht="15" customHeight="1" s="64">
      <c r="E163" s="98">
        <f>IF(D163="","",D163-TODAY())</f>
        <v/>
      </c>
      <c r="F163" s="63">
        <f>IF(E163="","",IF(E163&lt;0,"OVERDUE",IF(E163&lt;=3,"URGENT",IF(E163&lt;=7,"CONTACT NOW","OK"))))</f>
        <v/>
      </c>
    </row>
    <row r="164" ht="15" customHeight="1" s="64">
      <c r="E164" s="98">
        <f>IF(D164="","",D164-TODAY())</f>
        <v/>
      </c>
      <c r="F164" s="63">
        <f>IF(E164="","",IF(E164&lt;0,"OVERDUE",IF(E164&lt;=3,"URGENT",IF(E164&lt;=7,"CONTACT NOW","OK"))))</f>
        <v/>
      </c>
    </row>
    <row r="165" ht="15" customHeight="1" s="64">
      <c r="E165" s="98">
        <f>IF(D165="","",D165-TODAY())</f>
        <v/>
      </c>
      <c r="F165" s="63">
        <f>IF(E165="","",IF(E165&lt;0,"OVERDUE",IF(E165&lt;=3,"URGENT",IF(E165&lt;=7,"CONTACT NOW","OK"))))</f>
        <v/>
      </c>
    </row>
    <row r="166" ht="15" customHeight="1" s="64">
      <c r="E166" s="98">
        <f>IF(D166="","",D166-TODAY())</f>
        <v/>
      </c>
      <c r="F166" s="63">
        <f>IF(E166="","",IF(E166&lt;0,"OVERDUE",IF(E166&lt;=3,"URGENT",IF(E166&lt;=7,"CONTACT NOW","OK"))))</f>
        <v/>
      </c>
    </row>
    <row r="167" ht="15" customHeight="1" s="64">
      <c r="E167" s="98">
        <f>IF(D167="","",D167-TODAY())</f>
        <v/>
      </c>
      <c r="F167" s="63">
        <f>IF(E167="","",IF(E167&lt;0,"OVERDUE",IF(E167&lt;=3,"URGENT",IF(E167&lt;=7,"CONTACT NOW","OK"))))</f>
        <v/>
      </c>
    </row>
    <row r="168" ht="15" customHeight="1" s="64">
      <c r="E168" s="98">
        <f>IF(D168="","",D168-TODAY())</f>
        <v/>
      </c>
      <c r="F168" s="63">
        <f>IF(E168="","",IF(E168&lt;0,"OVERDUE",IF(E168&lt;=3,"URGENT",IF(E168&lt;=7,"CONTACT NOW","OK"))))</f>
        <v/>
      </c>
    </row>
    <row r="169" ht="15" customHeight="1" s="64">
      <c r="E169" s="98">
        <f>IF(D169="","",D169-TODAY())</f>
        <v/>
      </c>
      <c r="F169" s="63">
        <f>IF(E169="","",IF(E169&lt;0,"OVERDUE",IF(E169&lt;=3,"URGENT",IF(E169&lt;=7,"CONTACT NOW","OK"))))</f>
        <v/>
      </c>
    </row>
    <row r="170" ht="15" customHeight="1" s="64">
      <c r="E170" s="98">
        <f>IF(D170="","",D170-TODAY())</f>
        <v/>
      </c>
      <c r="F170" s="63">
        <f>IF(E170="","",IF(E170&lt;0,"OVERDUE",IF(E170&lt;=3,"URGENT",IF(E170&lt;=7,"CONTACT NOW","OK"))))</f>
        <v/>
      </c>
    </row>
    <row r="171" ht="15" customHeight="1" s="64">
      <c r="E171" s="98">
        <f>IF(D171="","",D171-TODAY())</f>
        <v/>
      </c>
      <c r="F171" s="63">
        <f>IF(E171="","",IF(E171&lt;0,"OVERDUE",IF(E171&lt;=3,"URGENT",IF(E171&lt;=7,"CONTACT NOW","OK"))))</f>
        <v/>
      </c>
    </row>
    <row r="172" ht="15" customHeight="1" s="64">
      <c r="E172" s="98">
        <f>IF(D172="","",D172-TODAY())</f>
        <v/>
      </c>
      <c r="F172" s="63">
        <f>IF(E172="","",IF(E172&lt;0,"OVERDUE",IF(E172&lt;=3,"URGENT",IF(E172&lt;=7,"CONTACT NOW","OK"))))</f>
        <v/>
      </c>
    </row>
    <row r="173" ht="15" customHeight="1" s="64">
      <c r="E173" s="98">
        <f>IF(D173="","",D173-TODAY())</f>
        <v/>
      </c>
      <c r="F173" s="63">
        <f>IF(E173="","",IF(E173&lt;0,"OVERDUE",IF(E173&lt;=3,"URGENT",IF(E173&lt;=7,"CONTACT NOW","OK"))))</f>
        <v/>
      </c>
    </row>
    <row r="174" ht="15" customHeight="1" s="64">
      <c r="E174" s="98">
        <f>IF(D174="","",D174-TODAY())</f>
        <v/>
      </c>
      <c r="F174" s="63">
        <f>IF(E174="","",IF(E174&lt;0,"OVERDUE",IF(E174&lt;=3,"URGENT",IF(E174&lt;=7,"CONTACT NOW","OK"))))</f>
        <v/>
      </c>
    </row>
    <row r="175" ht="15" customHeight="1" s="64">
      <c r="E175" s="98">
        <f>IF(D175="","",D175-TODAY())</f>
        <v/>
      </c>
      <c r="F175" s="63">
        <f>IF(E175="","",IF(E175&lt;0,"OVERDUE",IF(E175&lt;=3,"URGENT",IF(E175&lt;=7,"CONTACT NOW","OK"))))</f>
        <v/>
      </c>
    </row>
    <row r="176" ht="15" customHeight="1" s="64">
      <c r="E176" s="98">
        <f>IF(D176="","",D176-TODAY())</f>
        <v/>
      </c>
      <c r="F176" s="63">
        <f>IF(E176="","",IF(E176&lt;0,"OVERDUE",IF(E176&lt;=3,"URGENT",IF(E176&lt;=7,"CONTACT NOW","OK"))))</f>
        <v/>
      </c>
    </row>
    <row r="177" ht="15" customHeight="1" s="64">
      <c r="E177" s="98">
        <f>IF(D177="","",D177-TODAY())</f>
        <v/>
      </c>
      <c r="F177" s="63">
        <f>IF(E177="","",IF(E177&lt;0,"OVERDUE",IF(E177&lt;=3,"URGENT",IF(E177&lt;=7,"CONTACT NOW","OK"))))</f>
        <v/>
      </c>
    </row>
    <row r="178" ht="15" customHeight="1" s="64">
      <c r="E178" s="98">
        <f>IF(D178="","",D178-TODAY())</f>
        <v/>
      </c>
      <c r="F178" s="63">
        <f>IF(E178="","",IF(E178&lt;0,"OVERDUE",IF(E178&lt;=3,"URGENT",IF(E178&lt;=7,"CONTACT NOW","OK"))))</f>
        <v/>
      </c>
    </row>
    <row r="179" ht="15" customHeight="1" s="64">
      <c r="E179" s="98">
        <f>IF(D179="","",D179-TODAY())</f>
        <v/>
      </c>
      <c r="F179" s="63">
        <f>IF(E179="","",IF(E179&lt;0,"OVERDUE",IF(E179&lt;=3,"URGENT",IF(E179&lt;=7,"CONTACT NOW","OK"))))</f>
        <v/>
      </c>
    </row>
    <row r="180" ht="15" customHeight="1" s="64">
      <c r="E180" s="98">
        <f>IF(D180="","",D180-TODAY())</f>
        <v/>
      </c>
      <c r="F180" s="63">
        <f>IF(E180="","",IF(E180&lt;0,"OVERDUE",IF(E180&lt;=3,"URGENT",IF(E180&lt;=7,"CONTACT NOW","OK"))))</f>
        <v/>
      </c>
    </row>
    <row r="181" ht="15" customHeight="1" s="64">
      <c r="E181" s="98">
        <f>IF(D181="","",D181-TODAY())</f>
        <v/>
      </c>
      <c r="F181" s="63">
        <f>IF(E181="","",IF(E181&lt;0,"OVERDUE",IF(E181&lt;=3,"URGENT",IF(E181&lt;=7,"CONTACT NOW","OK"))))</f>
        <v/>
      </c>
    </row>
    <row r="182" ht="15" customHeight="1" s="64">
      <c r="E182" s="98">
        <f>IF(D182="","",D182-TODAY())</f>
        <v/>
      </c>
      <c r="F182" s="63">
        <f>IF(E182="","",IF(E182&lt;0,"OVERDUE",IF(E182&lt;=3,"URGENT",IF(E182&lt;=7,"CONTACT NOW","OK"))))</f>
        <v/>
      </c>
    </row>
    <row r="183" ht="15" customHeight="1" s="64">
      <c r="E183" s="98">
        <f>IF(D183="","",D183-TODAY())</f>
        <v/>
      </c>
      <c r="F183" s="63">
        <f>IF(E183="","",IF(E183&lt;0,"OVERDUE",IF(E183&lt;=3,"URGENT",IF(E183&lt;=7,"CONTACT NOW","OK"))))</f>
        <v/>
      </c>
    </row>
    <row r="184" ht="15" customHeight="1" s="64">
      <c r="E184" s="98">
        <f>IF(D184="","",D184-TODAY())</f>
        <v/>
      </c>
      <c r="F184" s="63">
        <f>IF(E184="","",IF(E184&lt;0,"OVERDUE",IF(E184&lt;=3,"URGENT",IF(E184&lt;=7,"CONTACT NOW","OK"))))</f>
        <v/>
      </c>
    </row>
    <row r="185" ht="15" customHeight="1" s="64">
      <c r="E185" s="98">
        <f>IF(D185="","",D185-TODAY())</f>
        <v/>
      </c>
      <c r="F185" s="63">
        <f>IF(E185="","",IF(E185&lt;0,"OVERDUE",IF(E185&lt;=3,"URGENT",IF(E185&lt;=7,"CONTACT NOW","OK"))))</f>
        <v/>
      </c>
    </row>
    <row r="186" ht="15" customHeight="1" s="64">
      <c r="E186" s="98">
        <f>IF(D186="","",D186-TODAY())</f>
        <v/>
      </c>
      <c r="F186" s="63">
        <f>IF(E186="","",IF(E186&lt;0,"OVERDUE",IF(E186&lt;=3,"URGENT",IF(E186&lt;=7,"CONTACT NOW","OK"))))</f>
        <v/>
      </c>
    </row>
    <row r="187" ht="15" customHeight="1" s="64">
      <c r="E187" s="98">
        <f>IF(D187="","",D187-TODAY())</f>
        <v/>
      </c>
      <c r="F187" s="63">
        <f>IF(E187="","",IF(E187&lt;0,"OVERDUE",IF(E187&lt;=3,"URGENT",IF(E187&lt;=7,"CONTACT NOW","OK"))))</f>
        <v/>
      </c>
    </row>
    <row r="188" ht="15" customHeight="1" s="64">
      <c r="E188" s="98">
        <f>IF(D188="","",D188-TODAY())</f>
        <v/>
      </c>
      <c r="F188" s="63">
        <f>IF(E188="","",IF(E188&lt;0,"OVERDUE",IF(E188&lt;=3,"URGENT",IF(E188&lt;=7,"CONTACT NOW","OK"))))</f>
        <v/>
      </c>
    </row>
    <row r="189" ht="15" customHeight="1" s="64">
      <c r="E189" s="98">
        <f>IF(D189="","",D189-TODAY())</f>
        <v/>
      </c>
      <c r="F189" s="63">
        <f>IF(E189="","",IF(E189&lt;0,"OVERDUE",IF(E189&lt;=3,"URGENT",IF(E189&lt;=7,"CONTACT NOW","OK"))))</f>
        <v/>
      </c>
    </row>
    <row r="190" ht="15" customHeight="1" s="64">
      <c r="E190" s="98">
        <f>IF(D190="","",D190-TODAY())</f>
        <v/>
      </c>
      <c r="F190" s="63">
        <f>IF(E190="","",IF(E190&lt;0,"OVERDUE",IF(E190&lt;=3,"URGENT",IF(E190&lt;=7,"CONTACT NOW","OK"))))</f>
        <v/>
      </c>
    </row>
    <row r="191" ht="15" customHeight="1" s="64">
      <c r="E191" s="98">
        <f>IF(D191="","",D191-TODAY())</f>
        <v/>
      </c>
      <c r="F191" s="63">
        <f>IF(E191="","",IF(E191&lt;0,"OVERDUE",IF(E191&lt;=3,"URGENT",IF(E191&lt;=7,"CONTACT NOW","OK"))))</f>
        <v/>
      </c>
    </row>
    <row r="192" ht="15" customHeight="1" s="64">
      <c r="E192" s="98">
        <f>IF(D192="","",D192-TODAY())</f>
        <v/>
      </c>
      <c r="F192" s="63">
        <f>IF(E192="","",IF(E192&lt;0,"OVERDUE",IF(E192&lt;=3,"URGENT",IF(E192&lt;=7,"CONTACT NOW","OK"))))</f>
        <v/>
      </c>
    </row>
    <row r="193" ht="15" customHeight="1" s="64">
      <c r="E193" s="98">
        <f>IF(D193="","",D193-TODAY())</f>
        <v/>
      </c>
      <c r="F193" s="63">
        <f>IF(E193="","",IF(E193&lt;0,"OVERDUE",IF(E193&lt;=3,"URGENT",IF(E193&lt;=7,"CONTACT NOW","OK"))))</f>
        <v/>
      </c>
    </row>
    <row r="194" ht="15" customHeight="1" s="64">
      <c r="E194" s="98">
        <f>IF(D194="","",D194-TODAY())</f>
        <v/>
      </c>
      <c r="F194" s="63">
        <f>IF(E194="","",IF(E194&lt;0,"OVERDUE",IF(E194&lt;=3,"URGENT",IF(E194&lt;=7,"CONTACT NOW","OK"))))</f>
        <v/>
      </c>
    </row>
    <row r="195" ht="15" customHeight="1" s="64">
      <c r="E195" s="98">
        <f>IF(D195="","",D195-TODAY())</f>
        <v/>
      </c>
      <c r="F195" s="63">
        <f>IF(E195="","",IF(E195&lt;0,"OVERDUE",IF(E195&lt;=3,"URGENT",IF(E195&lt;=7,"CONTACT NOW","OK"))))</f>
        <v/>
      </c>
    </row>
    <row r="196" ht="15" customHeight="1" s="64">
      <c r="E196" s="98">
        <f>IF(D196="","",D196-TODAY())</f>
        <v/>
      </c>
      <c r="F196" s="63">
        <f>IF(E196="","",IF(E196&lt;0,"OVERDUE",IF(E196&lt;=3,"URGENT",IF(E196&lt;=7,"CONTACT NOW","OK"))))</f>
        <v/>
      </c>
    </row>
    <row r="197" ht="15" customHeight="1" s="64">
      <c r="E197" s="98">
        <f>IF(D197="","",D197-TODAY())</f>
        <v/>
      </c>
      <c r="F197" s="63">
        <f>IF(E197="","",IF(E197&lt;0,"OVERDUE",IF(E197&lt;=3,"URGENT",IF(E197&lt;=7,"CONTACT NOW","OK"))))</f>
        <v/>
      </c>
    </row>
    <row r="198" ht="15" customHeight="1" s="64">
      <c r="E198" s="98">
        <f>IF(D198="","",D198-TODAY())</f>
        <v/>
      </c>
      <c r="F198" s="63">
        <f>IF(E198="","",IF(E198&lt;0,"OVERDUE",IF(E198&lt;=3,"URGENT",IF(E198&lt;=7,"CONTACT NOW","OK"))))</f>
        <v/>
      </c>
    </row>
    <row r="199" ht="15" customHeight="1" s="64">
      <c r="E199" s="98">
        <f>IF(D199="","",D199-TODAY())</f>
        <v/>
      </c>
      <c r="F199" s="63">
        <f>IF(E199="","",IF(E199&lt;0,"OVERDUE",IF(E199&lt;=3,"URGENT",IF(E199&lt;=7,"CONTACT NOW","OK"))))</f>
        <v/>
      </c>
    </row>
    <row r="200" ht="15" customHeight="1" s="64">
      <c r="E200" s="98">
        <f>IF(D200="","",D200-TODAY())</f>
        <v/>
      </c>
      <c r="F200" s="63">
        <f>IF(E200="","",IF(E200&lt;0,"OVERDUE",IF(E200&lt;=3,"URGENT",IF(E200&lt;=7,"CONTACT NOW","OK"))))</f>
        <v/>
      </c>
    </row>
    <row r="201" ht="15" customHeight="1" s="64">
      <c r="E201" s="98">
        <f>IF(D201="","",D201-TODAY())</f>
        <v/>
      </c>
      <c r="F201" s="63">
        <f>IF(E201="","",IF(E201&lt;0,"OVERDUE",IF(E201&lt;=3,"URGENT",IF(E201&lt;=7,"CONTACT NOW","OK"))))</f>
        <v/>
      </c>
    </row>
    <row r="202" ht="15" customHeight="1" s="64">
      <c r="E202" s="98">
        <f>IF(D202="","",D202-TODAY())</f>
        <v/>
      </c>
      <c r="F202" s="63">
        <f>IF(E202="","",IF(E202&lt;0,"OVERDUE",IF(E202&lt;=3,"URGENT",IF(E202&lt;=7,"CONTACT NOW","OK"))))</f>
        <v/>
      </c>
    </row>
    <row r="203" ht="15" customHeight="1" s="64">
      <c r="E203" s="98">
        <f>IF(D203="","",D203-TODAY())</f>
        <v/>
      </c>
      <c r="F203" s="63">
        <f>IF(E203="","",IF(E203&lt;0,"OVERDUE",IF(E203&lt;=3,"URGENT",IF(E203&lt;=7,"CONTACT NOW","OK"))))</f>
        <v/>
      </c>
    </row>
    <row r="204" ht="15" customHeight="1" s="64">
      <c r="E204" s="98">
        <f>IF(D204="","",D204-TODAY())</f>
        <v/>
      </c>
      <c r="F204" s="63">
        <f>IF(E204="","",IF(E204&lt;0,"OVERDUE",IF(E204&lt;=3,"URGENT",IF(E204&lt;=7,"CONTACT NOW","OK"))))</f>
        <v/>
      </c>
    </row>
    <row r="205" ht="15" customHeight="1" s="64">
      <c r="E205" s="98">
        <f>IF(D205="","",D205-TODAY())</f>
        <v/>
      </c>
      <c r="F205" s="63">
        <f>IF(E205="","",IF(E205&lt;0,"OVERDUE",IF(E205&lt;=3,"URGENT",IF(E205&lt;=7,"CONTACT NOW","OK"))))</f>
        <v/>
      </c>
    </row>
    <row r="206" ht="15" customHeight="1" s="64">
      <c r="E206" s="98">
        <f>IF(D206="","",D206-TODAY())</f>
        <v/>
      </c>
      <c r="F206" s="63">
        <f>IF(E206="","",IF(E206&lt;0,"OVERDUE",IF(E206&lt;=3,"URGENT",IF(E206&lt;=7,"CONTACT NOW","OK"))))</f>
        <v/>
      </c>
    </row>
    <row r="207" ht="15" customHeight="1" s="64">
      <c r="E207" s="98">
        <f>IF(D207="","",D207-TODAY())</f>
        <v/>
      </c>
      <c r="F207" s="63">
        <f>IF(E207="","",IF(E207&lt;0,"OVERDUE",IF(E207&lt;=3,"URGENT",IF(E207&lt;=7,"CONTACT NOW","OK"))))</f>
        <v/>
      </c>
    </row>
    <row r="208" ht="15" customHeight="1" s="64">
      <c r="E208" s="98">
        <f>IF(D208="","",D208-TODAY())</f>
        <v/>
      </c>
      <c r="F208" s="63">
        <f>IF(E208="","",IF(E208&lt;0,"OVERDUE",IF(E208&lt;=3,"URGENT",IF(E208&lt;=7,"CONTACT NOW","OK"))))</f>
        <v/>
      </c>
    </row>
    <row r="209" ht="15" customHeight="1" s="64">
      <c r="E209" s="98">
        <f>IF(D209="","",D209-TODAY())</f>
        <v/>
      </c>
      <c r="F209" s="63">
        <f>IF(E209="","",IF(E209&lt;0,"OVERDUE",IF(E209&lt;=3,"URGENT",IF(E209&lt;=7,"CONTACT NOW","OK"))))</f>
        <v/>
      </c>
    </row>
    <row r="210" ht="15" customHeight="1" s="64">
      <c r="E210" s="98">
        <f>IF(D210="","",D210-TODAY())</f>
        <v/>
      </c>
      <c r="F210" s="63">
        <f>IF(E210="","",IF(E210&lt;0,"OVERDUE",IF(E210&lt;=3,"URGENT",IF(E210&lt;=7,"CONTACT NOW","OK"))))</f>
        <v/>
      </c>
    </row>
    <row r="211" ht="15" customHeight="1" s="64">
      <c r="E211" s="98">
        <f>IF(D211="","",D211-TODAY())</f>
        <v/>
      </c>
      <c r="F211" s="63">
        <f>IF(E211="","",IF(E211&lt;0,"OVERDUE",IF(E211&lt;=3,"URGENT",IF(E211&lt;=7,"CONTACT NOW","OK"))))</f>
        <v/>
      </c>
    </row>
    <row r="212" ht="15" customHeight="1" s="64">
      <c r="E212" s="98">
        <f>IF(D212="","",D212-TODAY())</f>
        <v/>
      </c>
      <c r="F212" s="63">
        <f>IF(E212="","",IF(E212&lt;0,"OVERDUE",IF(E212&lt;=3,"URGENT",IF(E212&lt;=7,"CONTACT NOW","OK"))))</f>
        <v/>
      </c>
    </row>
    <row r="213" ht="15" customHeight="1" s="64">
      <c r="E213" s="98">
        <f>IF(D213="","",D213-TODAY())</f>
        <v/>
      </c>
      <c r="F213" s="63">
        <f>IF(E213="","",IF(E213&lt;0,"OVERDUE",IF(E213&lt;=3,"URGENT",IF(E213&lt;=7,"CONTACT NOW","OK"))))</f>
        <v/>
      </c>
    </row>
    <row r="214" ht="15" customHeight="1" s="64">
      <c r="E214" s="98">
        <f>IF(D214="","",D214-TODAY())</f>
        <v/>
      </c>
      <c r="F214" s="63">
        <f>IF(E214="","",IF(E214&lt;0,"OVERDUE",IF(E214&lt;=3,"URGENT",IF(E214&lt;=7,"CONTACT NOW","OK"))))</f>
        <v/>
      </c>
    </row>
    <row r="215" ht="15" customHeight="1" s="64">
      <c r="E215" s="98">
        <f>IF(D215="","",D215-TODAY())</f>
        <v/>
      </c>
      <c r="F215" s="63">
        <f>IF(E215="","",IF(E215&lt;0,"OVERDUE",IF(E215&lt;=3,"URGENT",IF(E215&lt;=7,"CONTACT NOW","OK"))))</f>
        <v/>
      </c>
    </row>
    <row r="216" ht="15" customHeight="1" s="64">
      <c r="E216" s="98">
        <f>IF(D216="","",D216-TODAY())</f>
        <v/>
      </c>
      <c r="F216" s="63">
        <f>IF(E216="","",IF(E216&lt;0,"OVERDUE",IF(E216&lt;=3,"URGENT",IF(E216&lt;=7,"CONTACT NOW","OK"))))</f>
        <v/>
      </c>
    </row>
    <row r="217" ht="15" customHeight="1" s="64">
      <c r="E217" s="98">
        <f>IF(D217="","",D217-TODAY())</f>
        <v/>
      </c>
      <c r="F217" s="63">
        <f>IF(E217="","",IF(E217&lt;0,"OVERDUE",IF(E217&lt;=3,"URGENT",IF(E217&lt;=7,"CONTACT NOW","OK"))))</f>
        <v/>
      </c>
    </row>
    <row r="218" ht="15" customHeight="1" s="64">
      <c r="E218" s="98">
        <f>IF(D218="","",D218-TODAY())</f>
        <v/>
      </c>
      <c r="F218" s="63">
        <f>IF(E218="","",IF(E218&lt;0,"OVERDUE",IF(E218&lt;=3,"URGENT",IF(E218&lt;=7,"CONTACT NOW","OK"))))</f>
        <v/>
      </c>
    </row>
    <row r="219" ht="15" customHeight="1" s="64">
      <c r="E219" s="98">
        <f>IF(D219="","",D219-TODAY())</f>
        <v/>
      </c>
      <c r="F219" s="63">
        <f>IF(E219="","",IF(E219&lt;0,"OVERDUE",IF(E219&lt;=3,"URGENT",IF(E219&lt;=7,"CONTACT NOW","OK"))))</f>
        <v/>
      </c>
    </row>
    <row r="220" ht="15" customHeight="1" s="64">
      <c r="E220" s="98">
        <f>IF(D220="","",D220-TODAY())</f>
        <v/>
      </c>
      <c r="F220" s="63">
        <f>IF(E220="","",IF(E220&lt;0,"OVERDUE",IF(E220&lt;=3,"URGENT",IF(E220&lt;=7,"CONTACT NOW","OK"))))</f>
        <v/>
      </c>
    </row>
    <row r="221" ht="15" customHeight="1" s="64">
      <c r="E221" s="98">
        <f>IF(D221="","",D221-TODAY())</f>
        <v/>
      </c>
      <c r="F221" s="63">
        <f>IF(E221="","",IF(E221&lt;0,"OVERDUE",IF(E221&lt;=3,"URGENT",IF(E221&lt;=7,"CONTACT NOW","OK"))))</f>
        <v/>
      </c>
    </row>
    <row r="222" ht="15" customHeight="1" s="64">
      <c r="E222" s="98">
        <f>IF(D222="","",D222-TODAY())</f>
        <v/>
      </c>
      <c r="F222" s="63">
        <f>IF(E222="","",IF(E222&lt;0,"OVERDUE",IF(E222&lt;=3,"URGENT",IF(E222&lt;=7,"CONTACT NOW","OK"))))</f>
        <v/>
      </c>
    </row>
    <row r="223" ht="15" customHeight="1" s="64">
      <c r="E223" s="98">
        <f>IF(D223="","",D223-TODAY())</f>
        <v/>
      </c>
      <c r="F223" s="63">
        <f>IF(E223="","",IF(E223&lt;0,"OVERDUE",IF(E223&lt;=3,"URGENT",IF(E223&lt;=7,"CONTACT NOW","OK"))))</f>
        <v/>
      </c>
    </row>
    <row r="224" ht="15" customHeight="1" s="64">
      <c r="E224" s="98">
        <f>IF(D224="","",D224-TODAY())</f>
        <v/>
      </c>
      <c r="F224" s="63">
        <f>IF(E224="","",IF(E224&lt;0,"OVERDUE",IF(E224&lt;=3,"URGENT",IF(E224&lt;=7,"CONTACT NOW","OK"))))</f>
        <v/>
      </c>
    </row>
    <row r="225" ht="15" customHeight="1" s="64">
      <c r="E225" s="98">
        <f>IF(D225="","",D225-TODAY())</f>
        <v/>
      </c>
      <c r="F225" s="63">
        <f>IF(E225="","",IF(E225&lt;0,"OVERDUE",IF(E225&lt;=3,"URGENT",IF(E225&lt;=7,"CONTACT NOW","OK"))))</f>
        <v/>
      </c>
    </row>
    <row r="226" ht="15" customHeight="1" s="64">
      <c r="E226" s="98">
        <f>IF(D226="","",D226-TODAY())</f>
        <v/>
      </c>
      <c r="F226" s="63">
        <f>IF(E226="","",IF(E226&lt;0,"OVERDUE",IF(E226&lt;=3,"URGENT",IF(E226&lt;=7,"CONTACT NOW","OK"))))</f>
        <v/>
      </c>
    </row>
    <row r="227" ht="15" customHeight="1" s="64">
      <c r="E227" s="98">
        <f>IF(D227="","",D227-TODAY())</f>
        <v/>
      </c>
      <c r="F227" s="63">
        <f>IF(E227="","",IF(E227&lt;0,"OVERDUE",IF(E227&lt;=3,"URGENT",IF(E227&lt;=7,"CONTACT NOW","OK"))))</f>
        <v/>
      </c>
    </row>
    <row r="228" ht="15" customHeight="1" s="64">
      <c r="E228" s="98">
        <f>IF(D228="","",D228-TODAY())</f>
        <v/>
      </c>
      <c r="F228" s="63">
        <f>IF(E228="","",IF(E228&lt;0,"OVERDUE",IF(E228&lt;=3,"URGENT",IF(E228&lt;=7,"CONTACT NOW","OK"))))</f>
        <v/>
      </c>
    </row>
    <row r="229" ht="15" customHeight="1" s="64">
      <c r="E229" s="98">
        <f>IF(D229="","",D229-TODAY())</f>
        <v/>
      </c>
      <c r="F229" s="63">
        <f>IF(E229="","",IF(E229&lt;0,"OVERDUE",IF(E229&lt;=3,"URGENT",IF(E229&lt;=7,"CONTACT NOW","OK"))))</f>
        <v/>
      </c>
    </row>
    <row r="230" ht="15" customHeight="1" s="64">
      <c r="E230" s="98">
        <f>IF(D230="","",D230-TODAY())</f>
        <v/>
      </c>
      <c r="F230" s="63">
        <f>IF(E230="","",IF(E230&lt;0,"OVERDUE",IF(E230&lt;=3,"URGENT",IF(E230&lt;=7,"CONTACT NOW","OK"))))</f>
        <v/>
      </c>
    </row>
    <row r="231" ht="15" customHeight="1" s="64">
      <c r="E231" s="98">
        <f>IF(D231="","",D231-TODAY())</f>
        <v/>
      </c>
      <c r="F231" s="63">
        <f>IF(E231="","",IF(E231&lt;0,"OVERDUE",IF(E231&lt;=3,"URGENT",IF(E231&lt;=7,"CONTACT NOW","OK"))))</f>
        <v/>
      </c>
    </row>
    <row r="232" ht="15" customHeight="1" s="64">
      <c r="E232" s="98">
        <f>IF(D232="","",D232-TODAY())</f>
        <v/>
      </c>
      <c r="F232" s="63">
        <f>IF(E232="","",IF(E232&lt;0,"OVERDUE",IF(E232&lt;=3,"URGENT",IF(E232&lt;=7,"CONTACT NOW","OK"))))</f>
        <v/>
      </c>
    </row>
    <row r="233" ht="15" customHeight="1" s="64">
      <c r="E233" s="98">
        <f>IF(D233="","",D233-TODAY())</f>
        <v/>
      </c>
      <c r="F233" s="63">
        <f>IF(E233="","",IF(E233&lt;0,"OVERDUE",IF(E233&lt;=3,"URGENT",IF(E233&lt;=7,"CONTACT NOW","OK"))))</f>
        <v/>
      </c>
    </row>
    <row r="234" ht="15" customHeight="1" s="64">
      <c r="E234" s="98">
        <f>IF(D234="","",D234-TODAY())</f>
        <v/>
      </c>
      <c r="F234" s="63">
        <f>IF(E234="","",IF(E234&lt;0,"OVERDUE",IF(E234&lt;=3,"URGENT",IF(E234&lt;=7,"CONTACT NOW","OK"))))</f>
        <v/>
      </c>
    </row>
    <row r="235" ht="15" customHeight="1" s="64">
      <c r="E235" s="98">
        <f>IF(D235="","",D235-TODAY())</f>
        <v/>
      </c>
      <c r="F235" s="63">
        <f>IF(E235="","",IF(E235&lt;0,"OVERDUE",IF(E235&lt;=3,"URGENT",IF(E235&lt;=7,"CONTACT NOW","OK"))))</f>
        <v/>
      </c>
    </row>
    <row r="236" ht="15" customHeight="1" s="64">
      <c r="E236" s="98">
        <f>IF(D236="","",D236-TODAY())</f>
        <v/>
      </c>
      <c r="F236" s="63">
        <f>IF(E236="","",IF(E236&lt;0,"OVERDUE",IF(E236&lt;=3,"URGENT",IF(E236&lt;=7,"CONTACT NOW","OK"))))</f>
        <v/>
      </c>
    </row>
    <row r="237" ht="15" customHeight="1" s="64">
      <c r="E237" s="98">
        <f>IF(D237="","",D237-TODAY())</f>
        <v/>
      </c>
      <c r="F237" s="63">
        <f>IF(E237="","",IF(E237&lt;0,"OVERDUE",IF(E237&lt;=3,"URGENT",IF(E237&lt;=7,"CONTACT NOW","OK"))))</f>
        <v/>
      </c>
    </row>
    <row r="238" ht="15" customHeight="1" s="64">
      <c r="E238" s="98">
        <f>IF(D238="","",D238-TODAY())</f>
        <v/>
      </c>
      <c r="F238" s="63">
        <f>IF(E238="","",IF(E238&lt;0,"OVERDUE",IF(E238&lt;=3,"URGENT",IF(E238&lt;=7,"CONTACT NOW","OK"))))</f>
        <v/>
      </c>
    </row>
    <row r="239" ht="15" customHeight="1" s="64">
      <c r="E239" s="98">
        <f>IF(D239="","",D239-TODAY())</f>
        <v/>
      </c>
      <c r="F239" s="63">
        <f>IF(E239="","",IF(E239&lt;0,"OVERDUE",IF(E239&lt;=3,"URGENT",IF(E239&lt;=7,"CONTACT NOW","OK"))))</f>
        <v/>
      </c>
    </row>
    <row r="240" ht="15" customHeight="1" s="64">
      <c r="E240" s="98">
        <f>IF(D240="","",D240-TODAY())</f>
        <v/>
      </c>
      <c r="F240" s="63">
        <f>IF(E240="","",IF(E240&lt;0,"OVERDUE",IF(E240&lt;=3,"URGENT",IF(E240&lt;=7,"CONTACT NOW","OK"))))</f>
        <v/>
      </c>
    </row>
    <row r="241" ht="15" customHeight="1" s="64">
      <c r="E241" s="98">
        <f>IF(D241="","",D241-TODAY())</f>
        <v/>
      </c>
      <c r="F241" s="63">
        <f>IF(E241="","",IF(E241&lt;0,"OVERDUE",IF(E241&lt;=3,"URGENT",IF(E241&lt;=7,"CONTACT NOW","OK"))))</f>
        <v/>
      </c>
    </row>
    <row r="242" ht="15" customHeight="1" s="64">
      <c r="E242" s="98">
        <f>IF(D242="","",D242-TODAY())</f>
        <v/>
      </c>
      <c r="F242" s="63">
        <f>IF(E242="","",IF(E242&lt;0,"OVERDUE",IF(E242&lt;=3,"URGENT",IF(E242&lt;=7,"CONTACT NOW","OK"))))</f>
        <v/>
      </c>
    </row>
    <row r="243" ht="15" customHeight="1" s="64">
      <c r="E243" s="98">
        <f>IF(D243="","",D243-TODAY())</f>
        <v/>
      </c>
      <c r="F243" s="63">
        <f>IF(E243="","",IF(E243&lt;0,"OVERDUE",IF(E243&lt;=3,"URGENT",IF(E243&lt;=7,"CONTACT NOW","OK"))))</f>
        <v/>
      </c>
    </row>
    <row r="244" ht="15" customHeight="1" s="64">
      <c r="E244" s="98">
        <f>IF(D244="","",D244-TODAY())</f>
        <v/>
      </c>
      <c r="F244" s="63">
        <f>IF(E244="","",IF(E244&lt;0,"OVERDUE",IF(E244&lt;=3,"URGENT",IF(E244&lt;=7,"CONTACT NOW","OK"))))</f>
        <v/>
      </c>
    </row>
    <row r="245" ht="15" customHeight="1" s="64">
      <c r="E245" s="98">
        <f>IF(D245="","",D245-TODAY())</f>
        <v/>
      </c>
      <c r="F245" s="63">
        <f>IF(E245="","",IF(E245&lt;0,"OVERDUE",IF(E245&lt;=3,"URGENT",IF(E245&lt;=7,"CONTACT NOW","OK"))))</f>
        <v/>
      </c>
    </row>
    <row r="246" ht="15" customHeight="1" s="64">
      <c r="E246" s="98">
        <f>IF(D246="","",D246-TODAY())</f>
        <v/>
      </c>
      <c r="F246" s="63">
        <f>IF(E246="","",IF(E246&lt;0,"OVERDUE",IF(E246&lt;=3,"URGENT",IF(E246&lt;=7,"CONTACT NOW","OK"))))</f>
        <v/>
      </c>
    </row>
    <row r="247" ht="15" customHeight="1" s="64">
      <c r="E247" s="98">
        <f>IF(D247="","",D247-TODAY())</f>
        <v/>
      </c>
      <c r="F247" s="63">
        <f>IF(E247="","",IF(E247&lt;0,"OVERDUE",IF(E247&lt;=3,"URGENT",IF(E247&lt;=7,"CONTACT NOW","OK"))))</f>
        <v/>
      </c>
    </row>
    <row r="248" ht="15" customHeight="1" s="64">
      <c r="E248" s="98">
        <f>IF(D248="","",D248-TODAY())</f>
        <v/>
      </c>
      <c r="F248" s="63">
        <f>IF(E248="","",IF(E248&lt;0,"OVERDUE",IF(E248&lt;=3,"URGENT",IF(E248&lt;=7,"CONTACT NOW","OK"))))</f>
        <v/>
      </c>
    </row>
    <row r="249" ht="15" customHeight="1" s="64">
      <c r="E249" s="98">
        <f>IF(D249="","",D249-TODAY())</f>
        <v/>
      </c>
      <c r="F249" s="63">
        <f>IF(E249="","",IF(E249&lt;0,"OVERDUE",IF(E249&lt;=3,"URGENT",IF(E249&lt;=7,"CONTACT NOW","OK"))))</f>
        <v/>
      </c>
    </row>
    <row r="250" ht="15" customHeight="1" s="64">
      <c r="E250" s="98">
        <f>IF(D250="","",D250-TODAY())</f>
        <v/>
      </c>
      <c r="F250" s="63">
        <f>IF(E250="","",IF(E250&lt;0,"OVERDUE",IF(E250&lt;=3,"URGENT",IF(E250&lt;=7,"CONTACT NOW","OK"))))</f>
        <v/>
      </c>
    </row>
    <row r="251" ht="15" customHeight="1" s="64">
      <c r="E251" s="98">
        <f>IF(D251="","",D251-TODAY())</f>
        <v/>
      </c>
      <c r="F251" s="63">
        <f>IF(E251="","",IF(E251&lt;0,"OVERDUE",IF(E251&lt;=3,"URGENT",IF(E251&lt;=7,"CONTACT NOW","OK"))))</f>
        <v/>
      </c>
    </row>
    <row r="252" ht="15" customHeight="1" s="64">
      <c r="E252" s="98">
        <f>IF(D252="","",D252-TODAY())</f>
        <v/>
      </c>
      <c r="F252" s="63">
        <f>IF(E252="","",IF(E252&lt;0,"OVERDUE",IF(E252&lt;=3,"URGENT",IF(E252&lt;=7,"CONTACT NOW","OK"))))</f>
        <v/>
      </c>
    </row>
    <row r="253" ht="15" customHeight="1" s="64">
      <c r="E253" s="98">
        <f>IF(D253="","",D253-TODAY())</f>
        <v/>
      </c>
      <c r="F253" s="63">
        <f>IF(E253="","",IF(E253&lt;0,"OVERDUE",IF(E253&lt;=3,"URGENT",IF(E253&lt;=7,"CONTACT NOW","OK"))))</f>
        <v/>
      </c>
    </row>
    <row r="254" ht="15" customHeight="1" s="64">
      <c r="E254" s="98">
        <f>IF(D254="","",D254-TODAY())</f>
        <v/>
      </c>
      <c r="F254" s="63">
        <f>IF(E254="","",IF(E254&lt;0,"OVERDUE",IF(E254&lt;=3,"URGENT",IF(E254&lt;=7,"CONTACT NOW","OK"))))</f>
        <v/>
      </c>
    </row>
    <row r="255" ht="15" customHeight="1" s="64">
      <c r="E255" s="98">
        <f>IF(D255="","",D255-TODAY())</f>
        <v/>
      </c>
      <c r="F255" s="63">
        <f>IF(E255="","",IF(E255&lt;0,"OVERDUE",IF(E255&lt;=3,"URGENT",IF(E255&lt;=7,"CONTACT NOW","OK"))))</f>
        <v/>
      </c>
    </row>
    <row r="256" ht="15" customHeight="1" s="64">
      <c r="E256" s="98">
        <f>IF(D256="","",D256-TODAY())</f>
        <v/>
      </c>
      <c r="F256" s="63">
        <f>IF(E256="","",IF(E256&lt;0,"OVERDUE",IF(E256&lt;=3,"URGENT",IF(E256&lt;=7,"CONTACT NOW","OK"))))</f>
        <v/>
      </c>
    </row>
    <row r="257" ht="15" customHeight="1" s="64">
      <c r="E257" s="98">
        <f>IF(D257="","",D257-TODAY())</f>
        <v/>
      </c>
      <c r="F257" s="63">
        <f>IF(E257="","",IF(E257&lt;0,"OVERDUE",IF(E257&lt;=3,"URGENT",IF(E257&lt;=7,"CONTACT NOW","OK"))))</f>
        <v/>
      </c>
    </row>
    <row r="258" ht="15" customHeight="1" s="64">
      <c r="E258" s="98">
        <f>IF(D258="","",D258-TODAY())</f>
        <v/>
      </c>
      <c r="F258" s="63">
        <f>IF(E258="","",IF(E258&lt;0,"OVERDUE",IF(E258&lt;=3,"URGENT",IF(E258&lt;=7,"CONTACT NOW","OK"))))</f>
        <v/>
      </c>
    </row>
    <row r="259" ht="15" customHeight="1" s="64">
      <c r="E259" s="98">
        <f>IF(D259="","",D259-TODAY())</f>
        <v/>
      </c>
      <c r="F259" s="63">
        <f>IF(E259="","",IF(E259&lt;0,"OVERDUE",IF(E259&lt;=3,"URGENT",IF(E259&lt;=7,"CONTACT NOW","OK"))))</f>
        <v/>
      </c>
    </row>
    <row r="260" ht="15" customHeight="1" s="64">
      <c r="E260" s="98">
        <f>IF(D260="","",D260-TODAY())</f>
        <v/>
      </c>
      <c r="F260" s="63">
        <f>IF(E260="","",IF(E260&lt;0,"OVERDUE",IF(E260&lt;=3,"URGENT",IF(E260&lt;=7,"CONTACT NOW","OK"))))</f>
        <v/>
      </c>
    </row>
    <row r="261" ht="15" customHeight="1" s="64">
      <c r="E261" s="98">
        <f>IF(D261="","",D261-TODAY())</f>
        <v/>
      </c>
      <c r="F261" s="63">
        <f>IF(E261="","",IF(E261&lt;0,"OVERDUE",IF(E261&lt;=3,"URGENT",IF(E261&lt;=7,"CONTACT NOW","OK"))))</f>
        <v/>
      </c>
    </row>
    <row r="262" ht="15" customHeight="1" s="64">
      <c r="E262" s="98">
        <f>IF(D262="","",D262-TODAY())</f>
        <v/>
      </c>
      <c r="F262" s="63">
        <f>IF(E262="","",IF(E262&lt;0,"OVERDUE",IF(E262&lt;=3,"URGENT",IF(E262&lt;=7,"CONTACT NOW","OK"))))</f>
        <v/>
      </c>
    </row>
    <row r="263" ht="15" customHeight="1" s="64">
      <c r="E263" s="98">
        <f>IF(D263="","",D263-TODAY())</f>
        <v/>
      </c>
      <c r="F263" s="63">
        <f>IF(E263="","",IF(E263&lt;0,"OVERDUE",IF(E263&lt;=3,"URGENT",IF(E263&lt;=7,"CONTACT NOW","OK"))))</f>
        <v/>
      </c>
    </row>
    <row r="264" ht="15" customHeight="1" s="64">
      <c r="E264" s="98">
        <f>IF(D264="","",D264-TODAY())</f>
        <v/>
      </c>
      <c r="F264" s="63">
        <f>IF(E264="","",IF(E264&lt;0,"OVERDUE",IF(E264&lt;=3,"URGENT",IF(E264&lt;=7,"CONTACT NOW","OK"))))</f>
        <v/>
      </c>
    </row>
    <row r="265" ht="15" customHeight="1" s="64">
      <c r="E265" s="98">
        <f>IF(D265="","",D265-TODAY())</f>
        <v/>
      </c>
      <c r="F265" s="63">
        <f>IF(E265="","",IF(E265&lt;0,"OVERDUE",IF(E265&lt;=3,"URGENT",IF(E265&lt;=7,"CONTACT NOW","OK"))))</f>
        <v/>
      </c>
    </row>
    <row r="266" ht="15" customHeight="1" s="64">
      <c r="E266" s="98">
        <f>IF(D266="","",D266-TODAY())</f>
        <v/>
      </c>
      <c r="F266" s="63">
        <f>IF(E266="","",IF(E266&lt;0,"OVERDUE",IF(E266&lt;=3,"URGENT",IF(E266&lt;=7,"CONTACT NOW","OK"))))</f>
        <v/>
      </c>
    </row>
    <row r="267" ht="15" customHeight="1" s="64">
      <c r="E267" s="98">
        <f>IF(D267="","",D267-TODAY())</f>
        <v/>
      </c>
      <c r="F267" s="63">
        <f>IF(E267="","",IF(E267&lt;0,"OVERDUE",IF(E267&lt;=3,"URGENT",IF(E267&lt;=7,"CONTACT NOW","OK"))))</f>
        <v/>
      </c>
    </row>
    <row r="268" ht="15" customHeight="1" s="64">
      <c r="E268" s="98">
        <f>IF(D268="","",D268-TODAY())</f>
        <v/>
      </c>
      <c r="F268" s="63">
        <f>IF(E268="","",IF(E268&lt;0,"OVERDUE",IF(E268&lt;=3,"URGENT",IF(E268&lt;=7,"CONTACT NOW","OK"))))</f>
        <v/>
      </c>
    </row>
    <row r="269" ht="15" customHeight="1" s="64">
      <c r="E269" s="98">
        <f>IF(D269="","",D269-TODAY())</f>
        <v/>
      </c>
      <c r="F269" s="63">
        <f>IF(E269="","",IF(E269&lt;0,"OVERDUE",IF(E269&lt;=3,"URGENT",IF(E269&lt;=7,"CONTACT NOW","OK"))))</f>
        <v/>
      </c>
    </row>
    <row r="270" ht="15" customHeight="1" s="64">
      <c r="E270" s="98">
        <f>IF(D270="","",D270-TODAY())</f>
        <v/>
      </c>
      <c r="F270" s="63">
        <f>IF(E270="","",IF(E270&lt;0,"OVERDUE",IF(E270&lt;=3,"URGENT",IF(E270&lt;=7,"CONTACT NOW","OK"))))</f>
        <v/>
      </c>
    </row>
    <row r="271" ht="15" customHeight="1" s="64">
      <c r="E271" s="98">
        <f>IF(D271="","",D271-TODAY())</f>
        <v/>
      </c>
      <c r="F271" s="63">
        <f>IF(E271="","",IF(E271&lt;0,"OVERDUE",IF(E271&lt;=3,"URGENT",IF(E271&lt;=7,"CONTACT NOW","OK"))))</f>
        <v/>
      </c>
    </row>
    <row r="272" ht="15" customHeight="1" s="64">
      <c r="E272" s="98">
        <f>IF(D272="","",D272-TODAY())</f>
        <v/>
      </c>
      <c r="F272" s="63">
        <f>IF(E272="","",IF(E272&lt;0,"OVERDUE",IF(E272&lt;=3,"URGENT",IF(E272&lt;=7,"CONTACT NOW","OK"))))</f>
        <v/>
      </c>
    </row>
    <row r="273" ht="15" customHeight="1" s="64">
      <c r="E273" s="98">
        <f>IF(D273="","",D273-TODAY())</f>
        <v/>
      </c>
      <c r="F273" s="63">
        <f>IF(E273="","",IF(E273&lt;0,"OVERDUE",IF(E273&lt;=3,"URGENT",IF(E273&lt;=7,"CONTACT NOW","OK"))))</f>
        <v/>
      </c>
    </row>
    <row r="274" ht="15" customHeight="1" s="64">
      <c r="E274" s="98">
        <f>IF(D274="","",D274-TODAY())</f>
        <v/>
      </c>
      <c r="F274" s="63">
        <f>IF(E274="","",IF(E274&lt;0,"OVERDUE",IF(E274&lt;=3,"URGENT",IF(E274&lt;=7,"CONTACT NOW","OK"))))</f>
        <v/>
      </c>
    </row>
    <row r="275" ht="15" customHeight="1" s="64">
      <c r="E275" s="98">
        <f>IF(D275="","",D275-TODAY())</f>
        <v/>
      </c>
      <c r="F275" s="63">
        <f>IF(E275="","",IF(E275&lt;0,"OVERDUE",IF(E275&lt;=3,"URGENT",IF(E275&lt;=7,"CONTACT NOW","OK"))))</f>
        <v/>
      </c>
    </row>
    <row r="276" ht="15" customHeight="1" s="64">
      <c r="E276" s="98">
        <f>IF(D276="","",D276-TODAY())</f>
        <v/>
      </c>
      <c r="F276" s="63">
        <f>IF(E276="","",IF(E276&lt;0,"OVERDUE",IF(E276&lt;=3,"URGENT",IF(E276&lt;=7,"CONTACT NOW","OK"))))</f>
        <v/>
      </c>
    </row>
    <row r="277" ht="15" customHeight="1" s="64">
      <c r="E277" s="98">
        <f>IF(D277="","",D277-TODAY())</f>
        <v/>
      </c>
      <c r="F277" s="63">
        <f>IF(E277="","",IF(E277&lt;0,"OVERDUE",IF(E277&lt;=3,"URGENT",IF(E277&lt;=7,"CONTACT NOW","OK"))))</f>
        <v/>
      </c>
    </row>
    <row r="278" ht="15" customHeight="1" s="64">
      <c r="E278" s="98">
        <f>IF(D278="","",D278-TODAY())</f>
        <v/>
      </c>
      <c r="F278" s="63">
        <f>IF(E278="","",IF(E278&lt;0,"OVERDUE",IF(E278&lt;=3,"URGENT",IF(E278&lt;=7,"CONTACT NOW","OK"))))</f>
        <v/>
      </c>
    </row>
    <row r="279" ht="15" customHeight="1" s="64">
      <c r="E279" s="98">
        <f>IF(D279="","",D279-TODAY())</f>
        <v/>
      </c>
      <c r="F279" s="63">
        <f>IF(E279="","",IF(E279&lt;0,"OVERDUE",IF(E279&lt;=3,"URGENT",IF(E279&lt;=7,"CONTACT NOW","OK"))))</f>
        <v/>
      </c>
    </row>
    <row r="280" ht="15" customHeight="1" s="64">
      <c r="E280" s="98">
        <f>IF(D280="","",D280-TODAY())</f>
        <v/>
      </c>
      <c r="F280" s="63">
        <f>IF(E280="","",IF(E280&lt;0,"OVERDUE",IF(E280&lt;=3,"URGENT",IF(E280&lt;=7,"CONTACT NOW","OK"))))</f>
        <v/>
      </c>
    </row>
    <row r="281" ht="15" customHeight="1" s="64">
      <c r="E281" s="98">
        <f>IF(D281="","",D281-TODAY())</f>
        <v/>
      </c>
      <c r="F281" s="63">
        <f>IF(E281="","",IF(E281&lt;0,"OVERDUE",IF(E281&lt;=3,"URGENT",IF(E281&lt;=7,"CONTACT NOW","OK"))))</f>
        <v/>
      </c>
    </row>
    <row r="282" ht="15" customHeight="1" s="64">
      <c r="E282" s="98">
        <f>IF(D282="","",D282-TODAY())</f>
        <v/>
      </c>
      <c r="F282" s="63">
        <f>IF(E282="","",IF(E282&lt;0,"OVERDUE",IF(E282&lt;=3,"URGENT",IF(E282&lt;=7,"CONTACT NOW","OK"))))</f>
        <v/>
      </c>
    </row>
    <row r="283" ht="15" customHeight="1" s="64">
      <c r="E283" s="98">
        <f>IF(D283="","",D283-TODAY())</f>
        <v/>
      </c>
      <c r="F283" s="63">
        <f>IF(E283="","",IF(E283&lt;0,"OVERDUE",IF(E283&lt;=3,"URGENT",IF(E283&lt;=7,"CONTACT NOW","OK"))))</f>
        <v/>
      </c>
    </row>
    <row r="284" ht="15" customHeight="1" s="64">
      <c r="E284" s="98">
        <f>IF(D284="","",D284-TODAY())</f>
        <v/>
      </c>
      <c r="F284" s="63">
        <f>IF(E284="","",IF(E284&lt;0,"OVERDUE",IF(E284&lt;=3,"URGENT",IF(E284&lt;=7,"CONTACT NOW","OK"))))</f>
        <v/>
      </c>
    </row>
    <row r="285" ht="15" customHeight="1" s="64">
      <c r="E285" s="98">
        <f>IF(D285="","",D285-TODAY())</f>
        <v/>
      </c>
      <c r="F285" s="63">
        <f>IF(E285="","",IF(E285&lt;0,"OVERDUE",IF(E285&lt;=3,"URGENT",IF(E285&lt;=7,"CONTACT NOW","OK"))))</f>
        <v/>
      </c>
    </row>
    <row r="286" ht="15" customHeight="1" s="64">
      <c r="E286" s="98">
        <f>IF(D286="","",D286-TODAY())</f>
        <v/>
      </c>
      <c r="F286" s="63">
        <f>IF(E286="","",IF(E286&lt;0,"OVERDUE",IF(E286&lt;=3,"URGENT",IF(E286&lt;=7,"CONTACT NOW","OK"))))</f>
        <v/>
      </c>
    </row>
    <row r="287" ht="15" customHeight="1" s="64">
      <c r="E287" s="98">
        <f>IF(D287="","",D287-TODAY())</f>
        <v/>
      </c>
      <c r="F287" s="63">
        <f>IF(E287="","",IF(E287&lt;0,"OVERDUE",IF(E287&lt;=3,"URGENT",IF(E287&lt;=7,"CONTACT NOW","OK"))))</f>
        <v/>
      </c>
    </row>
    <row r="288" ht="15" customHeight="1" s="64">
      <c r="E288" s="98">
        <f>IF(D288="","",D288-TODAY())</f>
        <v/>
      </c>
      <c r="F288" s="63">
        <f>IF(E288="","",IF(E288&lt;0,"OVERDUE",IF(E288&lt;=3,"URGENT",IF(E288&lt;=7,"CONTACT NOW","OK"))))</f>
        <v/>
      </c>
    </row>
    <row r="289" ht="15" customHeight="1" s="64">
      <c r="E289" s="98">
        <f>IF(D289="","",D289-TODAY())</f>
        <v/>
      </c>
      <c r="F289" s="63">
        <f>IF(E289="","",IF(E289&lt;0,"OVERDUE",IF(E289&lt;=3,"URGENT",IF(E289&lt;=7,"CONTACT NOW","OK"))))</f>
        <v/>
      </c>
    </row>
    <row r="290" ht="15" customHeight="1" s="64">
      <c r="E290" s="98">
        <f>IF(D290="","",D290-TODAY())</f>
        <v/>
      </c>
      <c r="F290" s="63">
        <f>IF(E290="","",IF(E290&lt;0,"OVERDUE",IF(E290&lt;=3,"URGENT",IF(E290&lt;=7,"CONTACT NOW","OK"))))</f>
        <v/>
      </c>
    </row>
    <row r="291" ht="15" customHeight="1" s="64">
      <c r="E291" s="98">
        <f>IF(D291="","",D291-TODAY())</f>
        <v/>
      </c>
      <c r="F291" s="63">
        <f>IF(E291="","",IF(E291&lt;0,"OVERDUE",IF(E291&lt;=3,"URGENT",IF(E291&lt;=7,"CONTACT NOW","OK"))))</f>
        <v/>
      </c>
    </row>
    <row r="292" ht="15" customHeight="1" s="64">
      <c r="E292" s="98">
        <f>IF(D292="","",D292-TODAY())</f>
        <v/>
      </c>
      <c r="F292" s="63">
        <f>IF(E292="","",IF(E292&lt;0,"OVERDUE",IF(E292&lt;=3,"URGENT",IF(E292&lt;=7,"CONTACT NOW","OK"))))</f>
        <v/>
      </c>
    </row>
    <row r="293" ht="15" customHeight="1" s="64">
      <c r="E293" s="98">
        <f>IF(D293="","",D293-TODAY())</f>
        <v/>
      </c>
      <c r="F293" s="63">
        <f>IF(E293="","",IF(E293&lt;0,"OVERDUE",IF(E293&lt;=3,"URGENT",IF(E293&lt;=7,"CONTACT NOW","OK"))))</f>
        <v/>
      </c>
    </row>
    <row r="294" ht="15" customHeight="1" s="64">
      <c r="E294" s="98">
        <f>IF(D294="","",D294-TODAY())</f>
        <v/>
      </c>
      <c r="F294" s="63">
        <f>IF(E294="","",IF(E294&lt;0,"OVERDUE",IF(E294&lt;=3,"URGENT",IF(E294&lt;=7,"CONTACT NOW","OK"))))</f>
        <v/>
      </c>
    </row>
    <row r="295" ht="15" customHeight="1" s="64">
      <c r="E295" s="98">
        <f>IF(D295="","",D295-TODAY())</f>
        <v/>
      </c>
      <c r="F295" s="63">
        <f>IF(E295="","",IF(E295&lt;0,"OVERDUE",IF(E295&lt;=3,"URGENT",IF(E295&lt;=7,"CONTACT NOW","OK"))))</f>
        <v/>
      </c>
    </row>
    <row r="296" ht="15" customHeight="1" s="64">
      <c r="E296" s="98">
        <f>IF(D296="","",D296-TODAY())</f>
        <v/>
      </c>
      <c r="F296" s="63">
        <f>IF(E296="","",IF(E296&lt;0,"OVERDUE",IF(E296&lt;=3,"URGENT",IF(E296&lt;=7,"CONTACT NOW","OK"))))</f>
        <v/>
      </c>
    </row>
    <row r="297" ht="15" customHeight="1" s="64">
      <c r="E297" s="98">
        <f>IF(D297="","",D297-TODAY())</f>
        <v/>
      </c>
      <c r="F297" s="63">
        <f>IF(E297="","",IF(E297&lt;0,"OVERDUE",IF(E297&lt;=3,"URGENT",IF(E297&lt;=7,"CONTACT NOW","OK"))))</f>
        <v/>
      </c>
    </row>
    <row r="298" ht="15" customHeight="1" s="64">
      <c r="E298" s="98">
        <f>IF(D298="","",D298-TODAY())</f>
        <v/>
      </c>
      <c r="F298" s="63">
        <f>IF(E298="","",IF(E298&lt;0,"OVERDUE",IF(E298&lt;=3,"URGENT",IF(E298&lt;=7,"CONTACT NOW","OK"))))</f>
        <v/>
      </c>
    </row>
    <row r="299" ht="15" customHeight="1" s="64">
      <c r="E299" s="98">
        <f>IF(D299="","",D299-TODAY())</f>
        <v/>
      </c>
      <c r="F299" s="63">
        <f>IF(E299="","",IF(E299&lt;0,"OVERDUE",IF(E299&lt;=3,"URGENT",IF(E299&lt;=7,"CONTACT NOW","OK"))))</f>
        <v/>
      </c>
    </row>
    <row r="300" ht="15" customHeight="1" s="64">
      <c r="E300" s="98">
        <f>IF(D300="","",D300-TODAY())</f>
        <v/>
      </c>
      <c r="F300" s="63">
        <f>IF(E300="","",IF(E300&lt;0,"OVERDUE",IF(E300&lt;=3,"URGENT",IF(E300&lt;=7,"CONTACT NOW","OK"))))</f>
        <v/>
      </c>
    </row>
    <row r="301" ht="15" customHeight="1" s="64">
      <c r="E301" s="98">
        <f>IF(D301="","",D301-TODAY())</f>
        <v/>
      </c>
      <c r="F301" s="63">
        <f>IF(E301="","",IF(E301&lt;0,"OVERDUE",IF(E301&lt;=3,"URGENT",IF(E301&lt;=7,"CONTACT NOW","OK"))))</f>
        <v/>
      </c>
    </row>
    <row r="302" ht="15" customHeight="1" s="64">
      <c r="E302" s="98">
        <f>IF(D302="","",D302-TODAY())</f>
        <v/>
      </c>
      <c r="F302" s="63">
        <f>IF(E302="","",IF(E302&lt;0,"OVERDUE",IF(E302&lt;=3,"URGENT",IF(E302&lt;=7,"CONTACT NOW","OK"))))</f>
        <v/>
      </c>
    </row>
    <row r="303" ht="15" customHeight="1" s="64">
      <c r="E303" s="98">
        <f>IF(D303="","",D303-TODAY())</f>
        <v/>
      </c>
      <c r="F303" s="63">
        <f>IF(E303="","",IF(E303&lt;0,"OVERDUE",IF(E303&lt;=3,"URGENT",IF(E303&lt;=7,"CONTACT NOW","OK"))))</f>
        <v/>
      </c>
    </row>
    <row r="304" ht="15" customHeight="1" s="64">
      <c r="E304" s="98">
        <f>IF(D304="","",D304-TODAY())</f>
        <v/>
      </c>
      <c r="F304" s="63">
        <f>IF(E304="","",IF(E304&lt;0,"OVERDUE",IF(E304&lt;=3,"URGENT",IF(E304&lt;=7,"CONTACT NOW","OK"))))</f>
        <v/>
      </c>
    </row>
    <row r="305" ht="15" customHeight="1" s="64">
      <c r="E305" s="98">
        <f>IF(D305="","",D305-TODAY())</f>
        <v/>
      </c>
      <c r="F305" s="63">
        <f>IF(E305="","",IF(E305&lt;0,"OVERDUE",IF(E305&lt;=3,"URGENT",IF(E305&lt;=7,"CONTACT NOW","OK"))))</f>
        <v/>
      </c>
    </row>
    <row r="306" ht="15" customHeight="1" s="64">
      <c r="E306" s="98">
        <f>IF(D306="","",D306-TODAY())</f>
        <v/>
      </c>
      <c r="F306" s="63">
        <f>IF(E306="","",IF(E306&lt;0,"OVERDUE",IF(E306&lt;=3,"URGENT",IF(E306&lt;=7,"CONTACT NOW","OK"))))</f>
        <v/>
      </c>
    </row>
    <row r="307" ht="15" customHeight="1" s="64">
      <c r="E307" s="98">
        <f>IF(D307="","",D307-TODAY())</f>
        <v/>
      </c>
      <c r="F307" s="63">
        <f>IF(E307="","",IF(E307&lt;0,"OVERDUE",IF(E307&lt;=3,"URGENT",IF(E307&lt;=7,"CONTACT NOW","OK"))))</f>
        <v/>
      </c>
    </row>
    <row r="308" ht="15" customHeight="1" s="64">
      <c r="E308" s="98">
        <f>IF(D308="","",D308-TODAY())</f>
        <v/>
      </c>
      <c r="F308" s="63">
        <f>IF(E308="","",IF(E308&lt;0,"OVERDUE",IF(E308&lt;=3,"URGENT",IF(E308&lt;=7,"CONTACT NOW","OK"))))</f>
        <v/>
      </c>
    </row>
    <row r="309" ht="15" customHeight="1" s="64">
      <c r="E309" s="98">
        <f>IF(D309="","",D309-TODAY())</f>
        <v/>
      </c>
      <c r="F309" s="63">
        <f>IF(E309="","",IF(E309&lt;0,"OVERDUE",IF(E309&lt;=3,"URGENT",IF(E309&lt;=7,"CONTACT NOW","OK"))))</f>
        <v/>
      </c>
    </row>
    <row r="310" ht="15" customHeight="1" s="64">
      <c r="E310" s="98">
        <f>IF(D310="","",D310-TODAY())</f>
        <v/>
      </c>
      <c r="F310" s="63">
        <f>IF(E310="","",IF(E310&lt;0,"OVERDUE",IF(E310&lt;=3,"URGENT",IF(E310&lt;=7,"CONTACT NOW","OK"))))</f>
        <v/>
      </c>
    </row>
    <row r="311" ht="15" customHeight="1" s="64">
      <c r="E311" s="98">
        <f>IF(D311="","",D311-TODAY())</f>
        <v/>
      </c>
      <c r="F311" s="63">
        <f>IF(E311="","",IF(E311&lt;0,"OVERDUE",IF(E311&lt;=3,"URGENT",IF(E311&lt;=7,"CONTACT NOW","OK"))))</f>
        <v/>
      </c>
    </row>
    <row r="312" ht="15" customHeight="1" s="64">
      <c r="E312" s="98">
        <f>IF(D312="","",D312-TODAY())</f>
        <v/>
      </c>
      <c r="F312" s="63">
        <f>IF(E312="","",IF(E312&lt;0,"OVERDUE",IF(E312&lt;=3,"URGENT",IF(E312&lt;=7,"CONTACT NOW","OK"))))</f>
        <v/>
      </c>
    </row>
    <row r="313" ht="15" customHeight="1" s="64">
      <c r="E313" s="98">
        <f>IF(D313="","",D313-TODAY())</f>
        <v/>
      </c>
      <c r="F313" s="63">
        <f>IF(E313="","",IF(E313&lt;0,"OVERDUE",IF(E313&lt;=3,"URGENT",IF(E313&lt;=7,"CONTACT NOW","OK"))))</f>
        <v/>
      </c>
    </row>
    <row r="314" ht="15" customHeight="1" s="64">
      <c r="E314" s="98">
        <f>IF(D314="","",D314-TODAY())</f>
        <v/>
      </c>
      <c r="F314" s="63">
        <f>IF(E314="","",IF(E314&lt;0,"OVERDUE",IF(E314&lt;=3,"URGENT",IF(E314&lt;=7,"CONTACT NOW","OK"))))</f>
        <v/>
      </c>
    </row>
    <row r="315" ht="15" customHeight="1" s="64">
      <c r="E315" s="98">
        <f>IF(D315="","",D315-TODAY())</f>
        <v/>
      </c>
      <c r="F315" s="63">
        <f>IF(E315="","",IF(E315&lt;0,"OVERDUE",IF(E315&lt;=3,"URGENT",IF(E315&lt;=7,"CONTACT NOW","OK"))))</f>
        <v/>
      </c>
    </row>
    <row r="316" ht="15" customHeight="1" s="64">
      <c r="E316" s="98">
        <f>IF(D316="","",D316-TODAY())</f>
        <v/>
      </c>
      <c r="F316" s="63">
        <f>IF(E316="","",IF(E316&lt;0,"OVERDUE",IF(E316&lt;=3,"URGENT",IF(E316&lt;=7,"CONTACT NOW","OK"))))</f>
        <v/>
      </c>
    </row>
    <row r="317" ht="15" customHeight="1" s="64">
      <c r="E317" s="98">
        <f>IF(D317="","",D317-TODAY())</f>
        <v/>
      </c>
      <c r="F317" s="63">
        <f>IF(E317="","",IF(E317&lt;0,"OVERDUE",IF(E317&lt;=3,"URGENT",IF(E317&lt;=7,"CONTACT NOW","OK"))))</f>
        <v/>
      </c>
    </row>
    <row r="318" ht="15" customHeight="1" s="64">
      <c r="E318" s="98">
        <f>IF(D318="","",D318-TODAY())</f>
        <v/>
      </c>
      <c r="F318" s="63">
        <f>IF(E318="","",IF(E318&lt;0,"OVERDUE",IF(E318&lt;=3,"URGENT",IF(E318&lt;=7,"CONTACT NOW","OK"))))</f>
        <v/>
      </c>
    </row>
    <row r="319" ht="15" customHeight="1" s="64">
      <c r="E319" s="98">
        <f>IF(D319="","",D319-TODAY())</f>
        <v/>
      </c>
      <c r="F319" s="63">
        <f>IF(E319="","",IF(E319&lt;0,"OVERDUE",IF(E319&lt;=3,"URGENT",IF(E319&lt;=7,"CONTACT NOW","OK"))))</f>
        <v/>
      </c>
    </row>
    <row r="320" ht="15" customHeight="1" s="64">
      <c r="E320" s="98">
        <f>IF(D320="","",D320-TODAY())</f>
        <v/>
      </c>
      <c r="F320" s="63">
        <f>IF(E320="","",IF(E320&lt;0,"OVERDUE",IF(E320&lt;=3,"URGENT",IF(E320&lt;=7,"CONTACT NOW","OK"))))</f>
        <v/>
      </c>
    </row>
    <row r="321" ht="15" customHeight="1" s="64">
      <c r="E321" s="98">
        <f>IF(D321="","",D321-TODAY())</f>
        <v/>
      </c>
      <c r="F321" s="63">
        <f>IF(E321="","",IF(E321&lt;0,"OVERDUE",IF(E321&lt;=3,"URGENT",IF(E321&lt;=7,"CONTACT NOW","OK"))))</f>
        <v/>
      </c>
    </row>
    <row r="322" ht="15" customHeight="1" s="64">
      <c r="E322" s="98">
        <f>IF(D322="","",D322-TODAY())</f>
        <v/>
      </c>
      <c r="F322" s="63">
        <f>IF(E322="","",IF(E322&lt;0,"OVERDUE",IF(E322&lt;=3,"URGENT",IF(E322&lt;=7,"CONTACT NOW","OK"))))</f>
        <v/>
      </c>
    </row>
    <row r="323" ht="15" customHeight="1" s="64">
      <c r="E323" s="98">
        <f>IF(D323="","",D323-TODAY())</f>
        <v/>
      </c>
      <c r="F323" s="63">
        <f>IF(E323="","",IF(E323&lt;0,"OVERDUE",IF(E323&lt;=3,"URGENT",IF(E323&lt;=7,"CONTACT NOW","OK"))))</f>
        <v/>
      </c>
    </row>
    <row r="324" ht="15" customHeight="1" s="64">
      <c r="E324" s="98">
        <f>IF(D324="","",D324-TODAY())</f>
        <v/>
      </c>
      <c r="F324" s="63">
        <f>IF(E324="","",IF(E324&lt;0,"OVERDUE",IF(E324&lt;=3,"URGENT",IF(E324&lt;=7,"CONTACT NOW","OK"))))</f>
        <v/>
      </c>
    </row>
    <row r="325" ht="15" customHeight="1" s="64">
      <c r="E325" s="98">
        <f>IF(D325="","",D325-TODAY())</f>
        <v/>
      </c>
      <c r="F325" s="63">
        <f>IF(E325="","",IF(E325&lt;0,"OVERDUE",IF(E325&lt;=3,"URGENT",IF(E325&lt;=7,"CONTACT NOW","OK"))))</f>
        <v/>
      </c>
    </row>
    <row r="326" ht="15" customHeight="1" s="64">
      <c r="E326" s="98">
        <f>IF(D326="","",D326-TODAY())</f>
        <v/>
      </c>
      <c r="F326" s="63">
        <f>IF(E326="","",IF(E326&lt;0,"OVERDUE",IF(E326&lt;=3,"URGENT",IF(E326&lt;=7,"CONTACT NOW","OK"))))</f>
        <v/>
      </c>
    </row>
    <row r="327" ht="15" customHeight="1" s="64">
      <c r="E327" s="98">
        <f>IF(D327="","",D327-TODAY())</f>
        <v/>
      </c>
      <c r="F327" s="63">
        <f>IF(E327="","",IF(E327&lt;0,"OVERDUE",IF(E327&lt;=3,"URGENT",IF(E327&lt;=7,"CONTACT NOW","OK"))))</f>
        <v/>
      </c>
    </row>
    <row r="328" ht="15" customHeight="1" s="64">
      <c r="E328" s="98">
        <f>IF(D328="","",D328-TODAY())</f>
        <v/>
      </c>
      <c r="F328" s="63">
        <f>IF(E328="","",IF(E328&lt;0,"OVERDUE",IF(E328&lt;=3,"URGENT",IF(E328&lt;=7,"CONTACT NOW","OK"))))</f>
        <v/>
      </c>
    </row>
    <row r="329" ht="15" customHeight="1" s="64">
      <c r="E329" s="98">
        <f>IF(D329="","",D329-TODAY())</f>
        <v/>
      </c>
      <c r="F329" s="63">
        <f>IF(E329="","",IF(E329&lt;0,"OVERDUE",IF(E329&lt;=3,"URGENT",IF(E329&lt;=7,"CONTACT NOW","OK"))))</f>
        <v/>
      </c>
    </row>
    <row r="330" ht="15" customHeight="1" s="64">
      <c r="E330" s="98">
        <f>IF(D330="","",D330-TODAY())</f>
        <v/>
      </c>
      <c r="F330" s="63">
        <f>IF(E330="","",IF(E330&lt;0,"OVERDUE",IF(E330&lt;=3,"URGENT",IF(E330&lt;=7,"CONTACT NOW","OK"))))</f>
        <v/>
      </c>
    </row>
    <row r="331" ht="15" customHeight="1" s="64">
      <c r="E331" s="98">
        <f>IF(D331="","",D331-TODAY())</f>
        <v/>
      </c>
      <c r="F331" s="63">
        <f>IF(E331="","",IF(E331&lt;0,"OVERDUE",IF(E331&lt;=3,"URGENT",IF(E331&lt;=7,"CONTACT NOW","OK"))))</f>
        <v/>
      </c>
    </row>
    <row r="332" ht="15" customHeight="1" s="64">
      <c r="E332" s="98">
        <f>IF(D332="","",D332-TODAY())</f>
        <v/>
      </c>
      <c r="F332" s="63">
        <f>IF(E332="","",IF(E332&lt;0,"OVERDUE",IF(E332&lt;=3,"URGENT",IF(E332&lt;=7,"CONTACT NOW","OK"))))</f>
        <v/>
      </c>
    </row>
    <row r="333" ht="15" customHeight="1" s="64">
      <c r="E333" s="98">
        <f>IF(D333="","",D333-TODAY())</f>
        <v/>
      </c>
      <c r="F333" s="63">
        <f>IF(E333="","",IF(E333&lt;0,"OVERDUE",IF(E333&lt;=3,"URGENT",IF(E333&lt;=7,"CONTACT NOW","OK"))))</f>
        <v/>
      </c>
    </row>
    <row r="334" ht="15" customHeight="1" s="64">
      <c r="E334" s="98">
        <f>IF(D334="","",D334-TODAY())</f>
        <v/>
      </c>
      <c r="F334" s="63">
        <f>IF(E334="","",IF(E334&lt;0,"OVERDUE",IF(E334&lt;=3,"URGENT",IF(E334&lt;=7,"CONTACT NOW","OK"))))</f>
        <v/>
      </c>
    </row>
    <row r="335" ht="15" customHeight="1" s="64">
      <c r="E335" s="98">
        <f>IF(D335="","",D335-TODAY())</f>
        <v/>
      </c>
      <c r="F335" s="63">
        <f>IF(E335="","",IF(E335&lt;0,"OVERDUE",IF(E335&lt;=3,"URGENT",IF(E335&lt;=7,"CONTACT NOW","OK"))))</f>
        <v/>
      </c>
    </row>
    <row r="336" ht="15" customHeight="1" s="64">
      <c r="E336" s="98">
        <f>IF(D336="","",D336-TODAY())</f>
        <v/>
      </c>
      <c r="F336" s="63">
        <f>IF(E336="","",IF(E336&lt;0,"OVERDUE",IF(E336&lt;=3,"URGENT",IF(E336&lt;=7,"CONTACT NOW","OK"))))</f>
        <v/>
      </c>
    </row>
    <row r="337" ht="15" customHeight="1" s="64">
      <c r="E337" s="98">
        <f>IF(D337="","",D337-TODAY())</f>
        <v/>
      </c>
      <c r="F337" s="63">
        <f>IF(E337="","",IF(E337&lt;0,"OVERDUE",IF(E337&lt;=3,"URGENT",IF(E337&lt;=7,"CONTACT NOW","OK"))))</f>
        <v/>
      </c>
    </row>
    <row r="338" ht="15" customHeight="1" s="64">
      <c r="E338" s="98">
        <f>IF(D338="","",D338-TODAY())</f>
        <v/>
      </c>
      <c r="F338" s="63">
        <f>IF(E338="","",IF(E338&lt;0,"OVERDUE",IF(E338&lt;=3,"URGENT",IF(E338&lt;=7,"CONTACT NOW","OK"))))</f>
        <v/>
      </c>
    </row>
    <row r="339" ht="15" customHeight="1" s="64">
      <c r="E339" s="98">
        <f>IF(D339="","",D339-TODAY())</f>
        <v/>
      </c>
      <c r="F339" s="63">
        <f>IF(E339="","",IF(E339&lt;0,"OVERDUE",IF(E339&lt;=3,"URGENT",IF(E339&lt;=7,"CONTACT NOW","OK"))))</f>
        <v/>
      </c>
    </row>
    <row r="340" ht="15" customHeight="1" s="64">
      <c r="E340" s="98">
        <f>IF(D340="","",D340-TODAY())</f>
        <v/>
      </c>
      <c r="F340" s="63">
        <f>IF(E340="","",IF(E340&lt;0,"OVERDUE",IF(E340&lt;=3,"URGENT",IF(E340&lt;=7,"CONTACT NOW","OK"))))</f>
        <v/>
      </c>
    </row>
    <row r="341" ht="15" customHeight="1" s="64">
      <c r="E341" s="98">
        <f>IF(D341="","",D341-TODAY())</f>
        <v/>
      </c>
      <c r="F341" s="63">
        <f>IF(E341="","",IF(E341&lt;0,"OVERDUE",IF(E341&lt;=3,"URGENT",IF(E341&lt;=7,"CONTACT NOW","OK"))))</f>
        <v/>
      </c>
    </row>
    <row r="342" ht="15" customHeight="1" s="64">
      <c r="E342" s="98">
        <f>IF(D342="","",D342-TODAY())</f>
        <v/>
      </c>
      <c r="F342" s="63">
        <f>IF(E342="","",IF(E342&lt;0,"OVERDUE",IF(E342&lt;=3,"URGENT",IF(E342&lt;=7,"CONTACT NOW","OK"))))</f>
        <v/>
      </c>
    </row>
    <row r="343" ht="15" customHeight="1" s="64">
      <c r="E343" s="98">
        <f>IF(D343="","",D343-TODAY())</f>
        <v/>
      </c>
      <c r="F343" s="63">
        <f>IF(E343="","",IF(E343&lt;0,"OVERDUE",IF(E343&lt;=3,"URGENT",IF(E343&lt;=7,"CONTACT NOW","OK"))))</f>
        <v/>
      </c>
    </row>
    <row r="344" ht="15" customHeight="1" s="64">
      <c r="E344" s="98">
        <f>IF(D344="","",D344-TODAY())</f>
        <v/>
      </c>
      <c r="F344" s="63">
        <f>IF(E344="","",IF(E344&lt;0,"OVERDUE",IF(E344&lt;=3,"URGENT",IF(E344&lt;=7,"CONTACT NOW","OK"))))</f>
        <v/>
      </c>
    </row>
    <row r="345" ht="15" customHeight="1" s="64">
      <c r="E345" s="98">
        <f>IF(D345="","",D345-TODAY())</f>
        <v/>
      </c>
      <c r="F345" s="63">
        <f>IF(E345="","",IF(E345&lt;0,"OVERDUE",IF(E345&lt;=3,"URGENT",IF(E345&lt;=7,"CONTACT NOW","OK"))))</f>
        <v/>
      </c>
    </row>
    <row r="346" ht="15" customHeight="1" s="64">
      <c r="E346" s="98">
        <f>IF(D346="","",D346-TODAY())</f>
        <v/>
      </c>
      <c r="F346" s="63">
        <f>IF(E346="","",IF(E346&lt;0,"OVERDUE",IF(E346&lt;=3,"URGENT",IF(E346&lt;=7,"CONTACT NOW","OK"))))</f>
        <v/>
      </c>
    </row>
    <row r="347" ht="15" customHeight="1" s="64">
      <c r="E347" s="98">
        <f>IF(D347="","",D347-TODAY())</f>
        <v/>
      </c>
      <c r="F347" s="63">
        <f>IF(E347="","",IF(E347&lt;0,"OVERDUE",IF(E347&lt;=3,"URGENT",IF(E347&lt;=7,"CONTACT NOW","OK"))))</f>
        <v/>
      </c>
    </row>
    <row r="348" ht="15" customHeight="1" s="64">
      <c r="E348" s="98">
        <f>IF(D348="","",D348-TODAY())</f>
        <v/>
      </c>
      <c r="F348" s="63">
        <f>IF(E348="","",IF(E348&lt;0,"OVERDUE",IF(E348&lt;=3,"URGENT",IF(E348&lt;=7,"CONTACT NOW","OK"))))</f>
        <v/>
      </c>
    </row>
    <row r="349" ht="15" customHeight="1" s="64">
      <c r="E349" s="98">
        <f>IF(D349="","",D349-TODAY())</f>
        <v/>
      </c>
      <c r="F349" s="63">
        <f>IF(E349="","",IF(E349&lt;0,"OVERDUE",IF(E349&lt;=3,"URGENT",IF(E349&lt;=7,"CONTACT NOW","OK"))))</f>
        <v/>
      </c>
    </row>
    <row r="350" ht="15" customHeight="1" s="64">
      <c r="E350" s="98">
        <f>IF(D350="","",D350-TODAY())</f>
        <v/>
      </c>
      <c r="F350" s="63">
        <f>IF(E350="","",IF(E350&lt;0,"OVERDUE",IF(E350&lt;=3,"URGENT",IF(E350&lt;=7,"CONTACT NOW","OK"))))</f>
        <v/>
      </c>
    </row>
    <row r="351" ht="15" customHeight="1" s="64">
      <c r="E351" s="98">
        <f>IF(D351="","",D351-TODAY())</f>
        <v/>
      </c>
      <c r="F351" s="63">
        <f>IF(E351="","",IF(E351&lt;0,"OVERDUE",IF(E351&lt;=3,"URGENT",IF(E351&lt;=7,"CONTACT NOW","OK"))))</f>
        <v/>
      </c>
    </row>
    <row r="352" ht="15" customHeight="1" s="64">
      <c r="E352" s="98">
        <f>IF(D352="","",D352-TODAY())</f>
        <v/>
      </c>
      <c r="F352" s="63">
        <f>IF(E352="","",IF(E352&lt;0,"OVERDUE",IF(E352&lt;=3,"URGENT",IF(E352&lt;=7,"CONTACT NOW","OK"))))</f>
        <v/>
      </c>
    </row>
    <row r="353" ht="15" customHeight="1" s="64">
      <c r="E353" s="98">
        <f>IF(D353="","",D353-TODAY())</f>
        <v/>
      </c>
      <c r="F353" s="63">
        <f>IF(E353="","",IF(E353&lt;0,"OVERDUE",IF(E353&lt;=3,"URGENT",IF(E353&lt;=7,"CONTACT NOW","OK"))))</f>
        <v/>
      </c>
    </row>
    <row r="354" ht="15" customHeight="1" s="64">
      <c r="E354" s="98">
        <f>IF(D354="","",D354-TODAY())</f>
        <v/>
      </c>
      <c r="F354" s="63">
        <f>IF(E354="","",IF(E354&lt;0,"OVERDUE",IF(E354&lt;=3,"URGENT",IF(E354&lt;=7,"CONTACT NOW","OK"))))</f>
        <v/>
      </c>
    </row>
    <row r="355" ht="15" customHeight="1" s="64">
      <c r="E355" s="98">
        <f>IF(D355="","",D355-TODAY())</f>
        <v/>
      </c>
      <c r="F355" s="63">
        <f>IF(E355="","",IF(E355&lt;0,"OVERDUE",IF(E355&lt;=3,"URGENT",IF(E355&lt;=7,"CONTACT NOW","OK"))))</f>
        <v/>
      </c>
    </row>
    <row r="356" ht="15" customHeight="1" s="64">
      <c r="E356" s="98">
        <f>IF(D356="","",D356-TODAY())</f>
        <v/>
      </c>
      <c r="F356" s="63">
        <f>IF(E356="","",IF(E356&lt;0,"OVERDUE",IF(E356&lt;=3,"URGENT",IF(E356&lt;=7,"CONTACT NOW","OK"))))</f>
        <v/>
      </c>
    </row>
    <row r="357" ht="15" customHeight="1" s="64">
      <c r="E357" s="98">
        <f>IF(D357="","",D357-TODAY())</f>
        <v/>
      </c>
      <c r="F357" s="63">
        <f>IF(E357="","",IF(E357&lt;0,"OVERDUE",IF(E357&lt;=3,"URGENT",IF(E357&lt;=7,"CONTACT NOW","OK"))))</f>
        <v/>
      </c>
    </row>
    <row r="358" ht="15" customHeight="1" s="64">
      <c r="E358" s="98">
        <f>IF(D358="","",D358-TODAY())</f>
        <v/>
      </c>
      <c r="F358" s="63">
        <f>IF(E358="","",IF(E358&lt;0,"OVERDUE",IF(E358&lt;=3,"URGENT",IF(E358&lt;=7,"CONTACT NOW","OK"))))</f>
        <v/>
      </c>
    </row>
    <row r="359" ht="15" customHeight="1" s="64">
      <c r="E359" s="98">
        <f>IF(D359="","",D359-TODAY())</f>
        <v/>
      </c>
      <c r="F359" s="63">
        <f>IF(E359="","",IF(E359&lt;0,"OVERDUE",IF(E359&lt;=3,"URGENT",IF(E359&lt;=7,"CONTACT NOW","OK"))))</f>
        <v/>
      </c>
    </row>
    <row r="360" ht="15" customHeight="1" s="64">
      <c r="E360" s="98">
        <f>IF(D360="","",D360-TODAY())</f>
        <v/>
      </c>
      <c r="F360" s="63">
        <f>IF(E360="","",IF(E360&lt;0,"OVERDUE",IF(E360&lt;=3,"URGENT",IF(E360&lt;=7,"CONTACT NOW","OK"))))</f>
        <v/>
      </c>
    </row>
    <row r="361" ht="15" customHeight="1" s="64">
      <c r="E361" s="98">
        <f>IF(D361="","",D361-TODAY())</f>
        <v/>
      </c>
      <c r="F361" s="63">
        <f>IF(E361="","",IF(E361&lt;0,"OVERDUE",IF(E361&lt;=3,"URGENT",IF(E361&lt;=7,"CONTACT NOW","OK"))))</f>
        <v/>
      </c>
    </row>
    <row r="362" ht="15" customHeight="1" s="64">
      <c r="E362" s="98">
        <f>IF(D362="","",D362-TODAY())</f>
        <v/>
      </c>
      <c r="F362" s="63">
        <f>IF(E362="","",IF(E362&lt;0,"OVERDUE",IF(E362&lt;=3,"URGENT",IF(E362&lt;=7,"CONTACT NOW","OK"))))</f>
        <v/>
      </c>
    </row>
    <row r="363" ht="15" customHeight="1" s="64">
      <c r="E363" s="98">
        <f>IF(D363="","",D363-TODAY())</f>
        <v/>
      </c>
      <c r="F363" s="63">
        <f>IF(E363="","",IF(E363&lt;0,"OVERDUE",IF(E363&lt;=3,"URGENT",IF(E363&lt;=7,"CONTACT NOW","OK"))))</f>
        <v/>
      </c>
    </row>
    <row r="364" ht="15" customHeight="1" s="64">
      <c r="E364" s="98">
        <f>IF(D364="","",D364-TODAY())</f>
        <v/>
      </c>
      <c r="F364" s="63">
        <f>IF(E364="","",IF(E364&lt;0,"OVERDUE",IF(E364&lt;=3,"URGENT",IF(E364&lt;=7,"CONTACT NOW","OK"))))</f>
        <v/>
      </c>
    </row>
    <row r="365" ht="15" customHeight="1" s="64">
      <c r="E365" s="98">
        <f>IF(D365="","",D365-TODAY())</f>
        <v/>
      </c>
      <c r="F365" s="63">
        <f>IF(E365="","",IF(E365&lt;0,"OVERDUE",IF(E365&lt;=3,"URGENT",IF(E365&lt;=7,"CONTACT NOW","OK"))))</f>
        <v/>
      </c>
    </row>
    <row r="366" ht="15" customHeight="1" s="64">
      <c r="E366" s="98">
        <f>IF(D366="","",D366-TODAY())</f>
        <v/>
      </c>
      <c r="F366" s="63">
        <f>IF(E366="","",IF(E366&lt;0,"OVERDUE",IF(E366&lt;=3,"URGENT",IF(E366&lt;=7,"CONTACT NOW","OK"))))</f>
        <v/>
      </c>
    </row>
    <row r="367" ht="15" customHeight="1" s="64">
      <c r="E367" s="98">
        <f>IF(D367="","",D367-TODAY())</f>
        <v/>
      </c>
      <c r="F367" s="63">
        <f>IF(E367="","",IF(E367&lt;0,"OVERDUE",IF(E367&lt;=3,"URGENT",IF(E367&lt;=7,"CONTACT NOW","OK"))))</f>
        <v/>
      </c>
    </row>
    <row r="368" ht="15" customHeight="1" s="64">
      <c r="E368" s="98">
        <f>IF(D368="","",D368-TODAY())</f>
        <v/>
      </c>
      <c r="F368" s="63">
        <f>IF(E368="","",IF(E368&lt;0,"OVERDUE",IF(E368&lt;=3,"URGENT",IF(E368&lt;=7,"CONTACT NOW","OK"))))</f>
        <v/>
      </c>
    </row>
    <row r="369" ht="15" customHeight="1" s="64">
      <c r="E369" s="98">
        <f>IF(D369="","",D369-TODAY())</f>
        <v/>
      </c>
      <c r="F369" s="63">
        <f>IF(E369="","",IF(E369&lt;0,"OVERDUE",IF(E369&lt;=3,"URGENT",IF(E369&lt;=7,"CONTACT NOW","OK"))))</f>
        <v/>
      </c>
    </row>
    <row r="370" ht="15" customHeight="1" s="64">
      <c r="E370" s="98">
        <f>IF(D370="","",D370-TODAY())</f>
        <v/>
      </c>
      <c r="F370" s="63">
        <f>IF(E370="","",IF(E370&lt;0,"OVERDUE",IF(E370&lt;=3,"URGENT",IF(E370&lt;=7,"CONTACT NOW","OK"))))</f>
        <v/>
      </c>
    </row>
    <row r="371" ht="15" customHeight="1" s="64">
      <c r="E371" s="98">
        <f>IF(D371="","",D371-TODAY())</f>
        <v/>
      </c>
      <c r="F371" s="63">
        <f>IF(E371="","",IF(E371&lt;0,"OVERDUE",IF(E371&lt;=3,"URGENT",IF(E371&lt;=7,"CONTACT NOW","OK"))))</f>
        <v/>
      </c>
    </row>
    <row r="372" ht="15" customHeight="1" s="64">
      <c r="E372" s="98">
        <f>IF(D372="","",D372-TODAY())</f>
        <v/>
      </c>
      <c r="F372" s="63">
        <f>IF(E372="","",IF(E372&lt;0,"OVERDUE",IF(E372&lt;=3,"URGENT",IF(E372&lt;=7,"CONTACT NOW","OK"))))</f>
        <v/>
      </c>
    </row>
    <row r="373" ht="15" customHeight="1" s="64">
      <c r="E373" s="98">
        <f>IF(D373="","",D373-TODAY())</f>
        <v/>
      </c>
      <c r="F373" s="63">
        <f>IF(E373="","",IF(E373&lt;0,"OVERDUE",IF(E373&lt;=3,"URGENT",IF(E373&lt;=7,"CONTACT NOW","OK"))))</f>
        <v/>
      </c>
    </row>
    <row r="374" ht="15" customHeight="1" s="64">
      <c r="E374" s="98">
        <f>IF(D374="","",D374-TODAY())</f>
        <v/>
      </c>
      <c r="F374" s="63">
        <f>IF(E374="","",IF(E374&lt;0,"OVERDUE",IF(E374&lt;=3,"URGENT",IF(E374&lt;=7,"CONTACT NOW","OK"))))</f>
        <v/>
      </c>
    </row>
    <row r="375" ht="15" customHeight="1" s="64">
      <c r="E375" s="98">
        <f>IF(D375="","",D375-TODAY())</f>
        <v/>
      </c>
      <c r="F375" s="63">
        <f>IF(E375="","",IF(E375&lt;0,"OVERDUE",IF(E375&lt;=3,"URGENT",IF(E375&lt;=7,"CONTACT NOW","OK"))))</f>
        <v/>
      </c>
    </row>
    <row r="376" ht="15" customHeight="1" s="64">
      <c r="E376" s="98">
        <f>IF(D376="","",D376-TODAY())</f>
        <v/>
      </c>
      <c r="F376" s="63">
        <f>IF(E376="","",IF(E376&lt;0,"OVERDUE",IF(E376&lt;=3,"URGENT",IF(E376&lt;=7,"CONTACT NOW","OK"))))</f>
        <v/>
      </c>
    </row>
    <row r="377" ht="15" customHeight="1" s="64">
      <c r="E377" s="98">
        <f>IF(D377="","",D377-TODAY())</f>
        <v/>
      </c>
      <c r="F377" s="63">
        <f>IF(E377="","",IF(E377&lt;0,"OVERDUE",IF(E377&lt;=3,"URGENT",IF(E377&lt;=7,"CONTACT NOW","OK"))))</f>
        <v/>
      </c>
    </row>
    <row r="378" ht="15" customHeight="1" s="64">
      <c r="E378" s="98">
        <f>IF(D378="","",D378-TODAY())</f>
        <v/>
      </c>
      <c r="F378" s="63">
        <f>IF(E378="","",IF(E378&lt;0,"OVERDUE",IF(E378&lt;=3,"URGENT",IF(E378&lt;=7,"CONTACT NOW","OK"))))</f>
        <v/>
      </c>
    </row>
    <row r="379" ht="15" customHeight="1" s="64">
      <c r="E379" s="98">
        <f>IF(D379="","",D379-TODAY())</f>
        <v/>
      </c>
      <c r="F379" s="63">
        <f>IF(E379="","",IF(E379&lt;0,"OVERDUE",IF(E379&lt;=3,"URGENT",IF(E379&lt;=7,"CONTACT NOW","OK"))))</f>
        <v/>
      </c>
    </row>
    <row r="380" ht="15" customHeight="1" s="64">
      <c r="E380" s="98">
        <f>IF(D380="","",D380-TODAY())</f>
        <v/>
      </c>
      <c r="F380" s="63">
        <f>IF(E380="","",IF(E380&lt;0,"OVERDUE",IF(E380&lt;=3,"URGENT",IF(E380&lt;=7,"CONTACT NOW","OK"))))</f>
        <v/>
      </c>
    </row>
    <row r="381" ht="15" customHeight="1" s="64">
      <c r="E381" s="98">
        <f>IF(D381="","",D381-TODAY())</f>
        <v/>
      </c>
      <c r="F381" s="63">
        <f>IF(E381="","",IF(E381&lt;0,"OVERDUE",IF(E381&lt;=3,"URGENT",IF(E381&lt;=7,"CONTACT NOW","OK"))))</f>
        <v/>
      </c>
    </row>
    <row r="382" ht="15" customHeight="1" s="64">
      <c r="E382" s="98">
        <f>IF(D382="","",D382-TODAY())</f>
        <v/>
      </c>
      <c r="F382" s="63">
        <f>IF(E382="","",IF(E382&lt;0,"OVERDUE",IF(E382&lt;=3,"URGENT",IF(E382&lt;=7,"CONTACT NOW","OK"))))</f>
        <v/>
      </c>
    </row>
    <row r="383" ht="15" customHeight="1" s="64">
      <c r="E383" s="98">
        <f>IF(D383="","",D383-TODAY())</f>
        <v/>
      </c>
      <c r="F383" s="63">
        <f>IF(E383="","",IF(E383&lt;0,"OVERDUE",IF(E383&lt;=3,"URGENT",IF(E383&lt;=7,"CONTACT NOW","OK"))))</f>
        <v/>
      </c>
    </row>
    <row r="384" ht="15" customHeight="1" s="64">
      <c r="E384" s="98">
        <f>IF(D384="","",D384-TODAY())</f>
        <v/>
      </c>
      <c r="F384" s="63">
        <f>IF(E384="","",IF(E384&lt;0,"OVERDUE",IF(E384&lt;=3,"URGENT",IF(E384&lt;=7,"CONTACT NOW","OK"))))</f>
        <v/>
      </c>
    </row>
    <row r="385" ht="15" customHeight="1" s="64">
      <c r="E385" s="98">
        <f>IF(D385="","",D385-TODAY())</f>
        <v/>
      </c>
      <c r="F385" s="63">
        <f>IF(E385="","",IF(E385&lt;0,"OVERDUE",IF(E385&lt;=3,"URGENT",IF(E385&lt;=7,"CONTACT NOW","OK"))))</f>
        <v/>
      </c>
    </row>
    <row r="386" ht="15" customHeight="1" s="64">
      <c r="E386" s="98">
        <f>IF(D386="","",D386-TODAY())</f>
        <v/>
      </c>
      <c r="F386" s="63">
        <f>IF(E386="","",IF(E386&lt;0,"OVERDUE",IF(E386&lt;=3,"URGENT",IF(E386&lt;=7,"CONTACT NOW","OK"))))</f>
        <v/>
      </c>
    </row>
    <row r="387" ht="15" customHeight="1" s="64">
      <c r="E387" s="98">
        <f>IF(D387="","",D387-TODAY())</f>
        <v/>
      </c>
      <c r="F387" s="63">
        <f>IF(E387="","",IF(E387&lt;0,"OVERDUE",IF(E387&lt;=3,"URGENT",IF(E387&lt;=7,"CONTACT NOW","OK"))))</f>
        <v/>
      </c>
    </row>
    <row r="388" ht="15" customHeight="1" s="64">
      <c r="E388" s="98">
        <f>IF(D388="","",D388-TODAY())</f>
        <v/>
      </c>
      <c r="F388" s="63">
        <f>IF(E388="","",IF(E388&lt;0,"OVERDUE",IF(E388&lt;=3,"URGENT",IF(E388&lt;=7,"CONTACT NOW","OK"))))</f>
        <v/>
      </c>
    </row>
    <row r="389" ht="15" customHeight="1" s="64">
      <c r="E389" s="98">
        <f>IF(D389="","",D389-TODAY())</f>
        <v/>
      </c>
      <c r="F389" s="63">
        <f>IF(E389="","",IF(E389&lt;0,"OVERDUE",IF(E389&lt;=3,"URGENT",IF(E389&lt;=7,"CONTACT NOW","OK"))))</f>
        <v/>
      </c>
    </row>
    <row r="390" ht="15" customHeight="1" s="64">
      <c r="E390" s="98">
        <f>IF(D390="","",D390-TODAY())</f>
        <v/>
      </c>
      <c r="F390" s="63">
        <f>IF(E390="","",IF(E390&lt;0,"OVERDUE",IF(E390&lt;=3,"URGENT",IF(E390&lt;=7,"CONTACT NOW","OK"))))</f>
        <v/>
      </c>
    </row>
    <row r="391" ht="15" customHeight="1" s="64">
      <c r="E391" s="98">
        <f>IF(D391="","",D391-TODAY())</f>
        <v/>
      </c>
      <c r="F391" s="63">
        <f>IF(E391="","",IF(E391&lt;0,"OVERDUE",IF(E391&lt;=3,"URGENT",IF(E391&lt;=7,"CONTACT NOW","OK"))))</f>
        <v/>
      </c>
    </row>
    <row r="392" ht="15" customHeight="1" s="64">
      <c r="E392" s="98">
        <f>IF(D392="","",D392-TODAY())</f>
        <v/>
      </c>
      <c r="F392" s="63">
        <f>IF(E392="","",IF(E392&lt;0,"OVERDUE",IF(E392&lt;=3,"URGENT",IF(E392&lt;=7,"CONTACT NOW","OK"))))</f>
        <v/>
      </c>
    </row>
    <row r="393" ht="15" customHeight="1" s="64">
      <c r="E393" s="98">
        <f>IF(D393="","",D393-TODAY())</f>
        <v/>
      </c>
      <c r="F393" s="63">
        <f>IF(E393="","",IF(E393&lt;0,"OVERDUE",IF(E393&lt;=3,"URGENT",IF(E393&lt;=7,"CONTACT NOW","OK"))))</f>
        <v/>
      </c>
    </row>
    <row r="394" ht="15" customHeight="1" s="64">
      <c r="E394" s="98">
        <f>IF(D394="","",D394-TODAY())</f>
        <v/>
      </c>
      <c r="F394" s="63">
        <f>IF(E394="","",IF(E394&lt;0,"OVERDUE",IF(E394&lt;=3,"URGENT",IF(E394&lt;=7,"CONTACT NOW","OK"))))</f>
        <v/>
      </c>
    </row>
    <row r="395" ht="15" customHeight="1" s="64">
      <c r="E395" s="98">
        <f>IF(D395="","",D395-TODAY())</f>
        <v/>
      </c>
      <c r="F395" s="63">
        <f>IF(E395="","",IF(E395&lt;0,"OVERDUE",IF(E395&lt;=3,"URGENT",IF(E395&lt;=7,"CONTACT NOW","OK"))))</f>
        <v/>
      </c>
    </row>
    <row r="396" ht="15" customHeight="1" s="64">
      <c r="E396" s="98">
        <f>IF(D396="","",D396-TODAY())</f>
        <v/>
      </c>
      <c r="F396" s="63">
        <f>IF(E396="","",IF(E396&lt;0,"OVERDUE",IF(E396&lt;=3,"URGENT",IF(E396&lt;=7,"CONTACT NOW","OK"))))</f>
        <v/>
      </c>
    </row>
    <row r="397" ht="15" customHeight="1" s="64">
      <c r="E397" s="98">
        <f>IF(D397="","",D397-TODAY())</f>
        <v/>
      </c>
      <c r="F397" s="63">
        <f>IF(E397="","",IF(E397&lt;0,"OVERDUE",IF(E397&lt;=3,"URGENT",IF(E397&lt;=7,"CONTACT NOW","OK"))))</f>
        <v/>
      </c>
    </row>
    <row r="398" ht="15" customHeight="1" s="64">
      <c r="E398" s="98">
        <f>IF(D398="","",D398-TODAY())</f>
        <v/>
      </c>
      <c r="F398" s="63">
        <f>IF(E398="","",IF(E398&lt;0,"OVERDUE",IF(E398&lt;=3,"URGENT",IF(E398&lt;=7,"CONTACT NOW","OK"))))</f>
        <v/>
      </c>
    </row>
    <row r="399" ht="15" customHeight="1" s="64">
      <c r="E399" s="98">
        <f>IF(D399="","",D399-TODAY())</f>
        <v/>
      </c>
      <c r="F399" s="63">
        <f>IF(E399="","",IF(E399&lt;0,"OVERDUE",IF(E399&lt;=3,"URGENT",IF(E399&lt;=7,"CONTACT NOW","OK"))))</f>
        <v/>
      </c>
    </row>
    <row r="400" ht="15" customHeight="1" s="64">
      <c r="E400" s="98">
        <f>IF(D400="","",D400-TODAY())</f>
        <v/>
      </c>
      <c r="F400" s="63">
        <f>IF(E400="","",IF(E400&lt;0,"OVERDUE",IF(E400&lt;=3,"URGENT",IF(E400&lt;=7,"CONTACT NOW","OK"))))</f>
        <v/>
      </c>
    </row>
    <row r="401" ht="15" customHeight="1" s="64">
      <c r="E401" s="98">
        <f>IF(D401="","",D401-TODAY())</f>
        <v/>
      </c>
      <c r="F401" s="63">
        <f>IF(E401="","",IF(E401&lt;0,"OVERDUE",IF(E401&lt;=3,"URGENT",IF(E401&lt;=7,"CONTACT NOW","OK"))))</f>
        <v/>
      </c>
    </row>
    <row r="402" ht="15" customHeight="1" s="64">
      <c r="E402" s="98">
        <f>IF(D402="","",D402-TODAY())</f>
        <v/>
      </c>
      <c r="F402" s="63">
        <f>IF(E402="","",IF(E402&lt;0,"OVERDUE",IF(E402&lt;=3,"URGENT",IF(E402&lt;=7,"CONTACT NOW","OK"))))</f>
        <v/>
      </c>
    </row>
    <row r="403" ht="15" customHeight="1" s="64">
      <c r="E403" s="98">
        <f>IF(D403="","",D403-TODAY())</f>
        <v/>
      </c>
      <c r="F403" s="63">
        <f>IF(E403="","",IF(E403&lt;0,"OVERDUE",IF(E403&lt;=3,"URGENT",IF(E403&lt;=7,"CONTACT NOW","OK"))))</f>
        <v/>
      </c>
    </row>
    <row r="404" ht="15" customHeight="1" s="64">
      <c r="E404" s="98">
        <f>IF(D404="","",D404-TODAY())</f>
        <v/>
      </c>
      <c r="F404" s="63">
        <f>IF(E404="","",IF(E404&lt;0,"OVERDUE",IF(E404&lt;=3,"URGENT",IF(E404&lt;=7,"CONTACT NOW","OK"))))</f>
        <v/>
      </c>
    </row>
    <row r="405" ht="15" customHeight="1" s="64">
      <c r="E405" s="98">
        <f>IF(D405="","",D405-TODAY())</f>
        <v/>
      </c>
      <c r="F405" s="63">
        <f>IF(E405="","",IF(E405&lt;0,"OVERDUE",IF(E405&lt;=3,"URGENT",IF(E405&lt;=7,"CONTACT NOW","OK"))))</f>
        <v/>
      </c>
    </row>
    <row r="406" ht="15" customHeight="1" s="64">
      <c r="E406" s="98">
        <f>IF(D406="","",D406-TODAY())</f>
        <v/>
      </c>
      <c r="F406" s="63">
        <f>IF(E406="","",IF(E406&lt;0,"OVERDUE",IF(E406&lt;=3,"URGENT",IF(E406&lt;=7,"CONTACT NOW","OK"))))</f>
        <v/>
      </c>
    </row>
    <row r="407" ht="15" customHeight="1" s="64">
      <c r="E407" s="98">
        <f>IF(D407="","",D407-TODAY())</f>
        <v/>
      </c>
      <c r="F407" s="63">
        <f>IF(E407="","",IF(E407&lt;0,"OVERDUE",IF(E407&lt;=3,"URGENT",IF(E407&lt;=7,"CONTACT NOW","OK"))))</f>
        <v/>
      </c>
    </row>
    <row r="408" ht="15" customHeight="1" s="64">
      <c r="E408" s="98">
        <f>IF(D408="","",D408-TODAY())</f>
        <v/>
      </c>
      <c r="F408" s="63">
        <f>IF(E408="","",IF(E408&lt;0,"OVERDUE",IF(E408&lt;=3,"URGENT",IF(E408&lt;=7,"CONTACT NOW","OK"))))</f>
        <v/>
      </c>
    </row>
    <row r="409" ht="15" customHeight="1" s="64">
      <c r="E409" s="98">
        <f>IF(D409="","",D409-TODAY())</f>
        <v/>
      </c>
      <c r="F409" s="63">
        <f>IF(E409="","",IF(E409&lt;0,"OVERDUE",IF(E409&lt;=3,"URGENT",IF(E409&lt;=7,"CONTACT NOW","OK"))))</f>
        <v/>
      </c>
    </row>
    <row r="410" ht="15" customHeight="1" s="64">
      <c r="E410" s="98">
        <f>IF(D410="","",D410-TODAY())</f>
        <v/>
      </c>
      <c r="F410" s="63">
        <f>IF(E410="","",IF(E410&lt;0,"OVERDUE",IF(E410&lt;=3,"URGENT",IF(E410&lt;=7,"CONTACT NOW","OK"))))</f>
        <v/>
      </c>
    </row>
    <row r="411" ht="15" customHeight="1" s="64">
      <c r="E411" s="98">
        <f>IF(D411="","",D411-TODAY())</f>
        <v/>
      </c>
      <c r="F411" s="63">
        <f>IF(E411="","",IF(E411&lt;0,"OVERDUE",IF(E411&lt;=3,"URGENT",IF(E411&lt;=7,"CONTACT NOW","OK"))))</f>
        <v/>
      </c>
    </row>
    <row r="412" ht="15" customHeight="1" s="64">
      <c r="E412" s="98">
        <f>IF(D412="","",D412-TODAY())</f>
        <v/>
      </c>
      <c r="F412" s="63">
        <f>IF(E412="","",IF(E412&lt;0,"OVERDUE",IF(E412&lt;=3,"URGENT",IF(E412&lt;=7,"CONTACT NOW","OK"))))</f>
        <v/>
      </c>
    </row>
    <row r="413" ht="15" customHeight="1" s="64">
      <c r="E413" s="98">
        <f>IF(D413="","",D413-TODAY())</f>
        <v/>
      </c>
      <c r="F413" s="63">
        <f>IF(E413="","",IF(E413&lt;0,"OVERDUE",IF(E413&lt;=3,"URGENT",IF(E413&lt;=7,"CONTACT NOW","OK"))))</f>
        <v/>
      </c>
    </row>
    <row r="414" ht="15" customHeight="1" s="64">
      <c r="E414" s="98">
        <f>IF(D414="","",D414-TODAY())</f>
        <v/>
      </c>
      <c r="F414" s="63">
        <f>IF(E414="","",IF(E414&lt;0,"OVERDUE",IF(E414&lt;=3,"URGENT",IF(E414&lt;=7,"CONTACT NOW","OK"))))</f>
        <v/>
      </c>
    </row>
    <row r="415" ht="15" customHeight="1" s="64">
      <c r="E415" s="98">
        <f>IF(D415="","",D415-TODAY())</f>
        <v/>
      </c>
      <c r="F415" s="63">
        <f>IF(E415="","",IF(E415&lt;0,"OVERDUE",IF(E415&lt;=3,"URGENT",IF(E415&lt;=7,"CONTACT NOW","OK"))))</f>
        <v/>
      </c>
    </row>
    <row r="416" ht="15" customHeight="1" s="64">
      <c r="E416" s="98">
        <f>IF(D416="","",D416-TODAY())</f>
        <v/>
      </c>
      <c r="F416" s="63">
        <f>IF(E416="","",IF(E416&lt;0,"OVERDUE",IF(E416&lt;=3,"URGENT",IF(E416&lt;=7,"CONTACT NOW","OK"))))</f>
        <v/>
      </c>
    </row>
    <row r="417" ht="15" customHeight="1" s="64">
      <c r="E417" s="98">
        <f>IF(D417="","",D417-TODAY())</f>
        <v/>
      </c>
      <c r="F417" s="63">
        <f>IF(E417="","",IF(E417&lt;0,"OVERDUE",IF(E417&lt;=3,"URGENT",IF(E417&lt;=7,"CONTACT NOW","OK"))))</f>
        <v/>
      </c>
    </row>
    <row r="418" ht="15" customHeight="1" s="64">
      <c r="E418" s="98">
        <f>IF(D418="","",D418-TODAY())</f>
        <v/>
      </c>
      <c r="F418" s="63">
        <f>IF(E418="","",IF(E418&lt;0,"OVERDUE",IF(E418&lt;=3,"URGENT",IF(E418&lt;=7,"CONTACT NOW","OK"))))</f>
        <v/>
      </c>
    </row>
    <row r="419" ht="15" customHeight="1" s="64">
      <c r="E419" s="98">
        <f>IF(D419="","",D419-TODAY())</f>
        <v/>
      </c>
      <c r="F419" s="63">
        <f>IF(E419="","",IF(E419&lt;0,"OVERDUE",IF(E419&lt;=3,"URGENT",IF(E419&lt;=7,"CONTACT NOW","OK"))))</f>
        <v/>
      </c>
    </row>
    <row r="420" ht="15" customHeight="1" s="64">
      <c r="E420" s="98">
        <f>IF(D420="","",D420-TODAY())</f>
        <v/>
      </c>
      <c r="F420" s="63">
        <f>IF(E420="","",IF(E420&lt;0,"OVERDUE",IF(E420&lt;=3,"URGENT",IF(E420&lt;=7,"CONTACT NOW","OK"))))</f>
        <v/>
      </c>
    </row>
    <row r="421" ht="15" customHeight="1" s="64">
      <c r="E421" s="98">
        <f>IF(D421="","",D421-TODAY())</f>
        <v/>
      </c>
      <c r="F421" s="63">
        <f>IF(E421="","",IF(E421&lt;0,"OVERDUE",IF(E421&lt;=3,"URGENT",IF(E421&lt;=7,"CONTACT NOW","OK"))))</f>
        <v/>
      </c>
    </row>
    <row r="422" ht="15" customHeight="1" s="64">
      <c r="E422" s="98">
        <f>IF(D422="","",D422-TODAY())</f>
        <v/>
      </c>
      <c r="F422" s="63">
        <f>IF(E422="","",IF(E422&lt;0,"OVERDUE",IF(E422&lt;=3,"URGENT",IF(E422&lt;=7,"CONTACT NOW","OK"))))</f>
        <v/>
      </c>
    </row>
    <row r="423" ht="15" customHeight="1" s="64">
      <c r="E423" s="98">
        <f>IF(D423="","",D423-TODAY())</f>
        <v/>
      </c>
      <c r="F423" s="63">
        <f>IF(E423="","",IF(E423&lt;0,"OVERDUE",IF(E423&lt;=3,"URGENT",IF(E423&lt;=7,"CONTACT NOW","OK"))))</f>
        <v/>
      </c>
    </row>
    <row r="424" ht="15" customHeight="1" s="64">
      <c r="E424" s="98">
        <f>IF(D424="","",D424-TODAY())</f>
        <v/>
      </c>
      <c r="F424" s="63">
        <f>IF(E424="","",IF(E424&lt;0,"OVERDUE",IF(E424&lt;=3,"URGENT",IF(E424&lt;=7,"CONTACT NOW","OK"))))</f>
        <v/>
      </c>
    </row>
    <row r="425" ht="15" customHeight="1" s="64">
      <c r="E425" s="98">
        <f>IF(D425="","",D425-TODAY())</f>
        <v/>
      </c>
      <c r="F425" s="63">
        <f>IF(E425="","",IF(E425&lt;0,"OVERDUE",IF(E425&lt;=3,"URGENT",IF(E425&lt;=7,"CONTACT NOW","OK"))))</f>
        <v/>
      </c>
    </row>
    <row r="426" ht="15" customHeight="1" s="64">
      <c r="E426" s="98">
        <f>IF(D426="","",D426-TODAY())</f>
        <v/>
      </c>
      <c r="F426" s="63">
        <f>IF(E426="","",IF(E426&lt;0,"OVERDUE",IF(E426&lt;=3,"URGENT",IF(E426&lt;=7,"CONTACT NOW","OK"))))</f>
        <v/>
      </c>
    </row>
    <row r="427" ht="15" customHeight="1" s="64">
      <c r="E427" s="98">
        <f>IF(D427="","",D427-TODAY())</f>
        <v/>
      </c>
      <c r="F427" s="63">
        <f>IF(E427="","",IF(E427&lt;0,"OVERDUE",IF(E427&lt;=3,"URGENT",IF(E427&lt;=7,"CONTACT NOW","OK"))))</f>
        <v/>
      </c>
    </row>
    <row r="428" ht="15" customHeight="1" s="64">
      <c r="E428" s="98">
        <f>IF(D428="","",D428-TODAY())</f>
        <v/>
      </c>
      <c r="F428" s="63">
        <f>IF(E428="","",IF(E428&lt;0,"OVERDUE",IF(E428&lt;=3,"URGENT",IF(E428&lt;=7,"CONTACT NOW","OK"))))</f>
        <v/>
      </c>
    </row>
    <row r="429" ht="15" customHeight="1" s="64">
      <c r="E429" s="98">
        <f>IF(D429="","",D429-TODAY())</f>
        <v/>
      </c>
      <c r="F429" s="63">
        <f>IF(E429="","",IF(E429&lt;0,"OVERDUE",IF(E429&lt;=3,"URGENT",IF(E429&lt;=7,"CONTACT NOW","OK"))))</f>
        <v/>
      </c>
    </row>
    <row r="430" ht="15" customHeight="1" s="64">
      <c r="E430" s="98">
        <f>IF(D430="","",D430-TODAY())</f>
        <v/>
      </c>
      <c r="F430" s="63">
        <f>IF(E430="","",IF(E430&lt;0,"OVERDUE",IF(E430&lt;=3,"URGENT",IF(E430&lt;=7,"CONTACT NOW","OK"))))</f>
        <v/>
      </c>
    </row>
    <row r="431" ht="15" customHeight="1" s="64">
      <c r="E431" s="98">
        <f>IF(D431="","",D431-TODAY())</f>
        <v/>
      </c>
      <c r="F431" s="63">
        <f>IF(E431="","",IF(E431&lt;0,"OVERDUE",IF(E431&lt;=3,"URGENT",IF(E431&lt;=7,"CONTACT NOW","OK"))))</f>
        <v/>
      </c>
    </row>
    <row r="432" ht="15" customHeight="1" s="64">
      <c r="E432" s="98">
        <f>IF(D432="","",D432-TODAY())</f>
        <v/>
      </c>
      <c r="F432" s="63">
        <f>IF(E432="","",IF(E432&lt;0,"OVERDUE",IF(E432&lt;=3,"URGENT",IF(E432&lt;=7,"CONTACT NOW","OK"))))</f>
        <v/>
      </c>
    </row>
    <row r="433" ht="15" customHeight="1" s="64">
      <c r="E433" s="98">
        <f>IF(D433="","",D433-TODAY())</f>
        <v/>
      </c>
      <c r="F433" s="63">
        <f>IF(E433="","",IF(E433&lt;0,"OVERDUE",IF(E433&lt;=3,"URGENT",IF(E433&lt;=7,"CONTACT NOW","OK"))))</f>
        <v/>
      </c>
    </row>
    <row r="434" ht="15" customHeight="1" s="64">
      <c r="E434" s="98">
        <f>IF(D434="","",D434-TODAY())</f>
        <v/>
      </c>
      <c r="F434" s="63">
        <f>IF(E434="","",IF(E434&lt;0,"OVERDUE",IF(E434&lt;=3,"URGENT",IF(E434&lt;=7,"CONTACT NOW","OK"))))</f>
        <v/>
      </c>
    </row>
    <row r="435" ht="15" customHeight="1" s="64">
      <c r="E435" s="98">
        <f>IF(D435="","",D435-TODAY())</f>
        <v/>
      </c>
      <c r="F435" s="63">
        <f>IF(E435="","",IF(E435&lt;0,"OVERDUE",IF(E435&lt;=3,"URGENT",IF(E435&lt;=7,"CONTACT NOW","OK"))))</f>
        <v/>
      </c>
    </row>
    <row r="436" ht="15" customHeight="1" s="64">
      <c r="E436" s="98">
        <f>IF(D436="","",D436-TODAY())</f>
        <v/>
      </c>
      <c r="F436" s="63">
        <f>IF(E436="","",IF(E436&lt;0,"OVERDUE",IF(E436&lt;=3,"URGENT",IF(E436&lt;=7,"CONTACT NOW","OK"))))</f>
        <v/>
      </c>
    </row>
    <row r="437" ht="15" customHeight="1" s="64">
      <c r="E437" s="98">
        <f>IF(D437="","",D437-TODAY())</f>
        <v/>
      </c>
      <c r="F437" s="63">
        <f>IF(E437="","",IF(E437&lt;0,"OVERDUE",IF(E437&lt;=3,"URGENT",IF(E437&lt;=7,"CONTACT NOW","OK"))))</f>
        <v/>
      </c>
    </row>
    <row r="438" ht="15" customHeight="1" s="64">
      <c r="E438" s="98">
        <f>IF(D438="","",D438-TODAY())</f>
        <v/>
      </c>
      <c r="F438" s="63">
        <f>IF(E438="","",IF(E438&lt;0,"OVERDUE",IF(E438&lt;=3,"URGENT",IF(E438&lt;=7,"CONTACT NOW","OK"))))</f>
        <v/>
      </c>
    </row>
    <row r="439" ht="15" customHeight="1" s="64">
      <c r="E439" s="98">
        <f>IF(D439="","",D439-TODAY())</f>
        <v/>
      </c>
      <c r="F439" s="63">
        <f>IF(E439="","",IF(E439&lt;0,"OVERDUE",IF(E439&lt;=3,"URGENT",IF(E439&lt;=7,"CONTACT NOW","OK"))))</f>
        <v/>
      </c>
    </row>
    <row r="440" ht="15" customHeight="1" s="64">
      <c r="E440" s="98">
        <f>IF(D440="","",D440-TODAY())</f>
        <v/>
      </c>
      <c r="F440" s="63">
        <f>IF(E440="","",IF(E440&lt;0,"OVERDUE",IF(E440&lt;=3,"URGENT",IF(E440&lt;=7,"CONTACT NOW","OK"))))</f>
        <v/>
      </c>
    </row>
    <row r="441" ht="15" customHeight="1" s="64">
      <c r="E441" s="98">
        <f>IF(D441="","",D441-TODAY())</f>
        <v/>
      </c>
      <c r="F441" s="63">
        <f>IF(E441="","",IF(E441&lt;0,"OVERDUE",IF(E441&lt;=3,"URGENT",IF(E441&lt;=7,"CONTACT NOW","OK"))))</f>
        <v/>
      </c>
    </row>
    <row r="442" ht="15" customHeight="1" s="64">
      <c r="E442" s="98">
        <f>IF(D442="","",D442-TODAY())</f>
        <v/>
      </c>
      <c r="F442" s="63">
        <f>IF(E442="","",IF(E442&lt;0,"OVERDUE",IF(E442&lt;=3,"URGENT",IF(E442&lt;=7,"CONTACT NOW","OK"))))</f>
        <v/>
      </c>
    </row>
    <row r="443" ht="15" customHeight="1" s="64">
      <c r="E443" s="98">
        <f>IF(D443="","",D443-TODAY())</f>
        <v/>
      </c>
      <c r="F443" s="63">
        <f>IF(E443="","",IF(E443&lt;0,"OVERDUE",IF(E443&lt;=3,"URGENT",IF(E443&lt;=7,"CONTACT NOW","OK"))))</f>
        <v/>
      </c>
    </row>
    <row r="444" ht="15" customHeight="1" s="64">
      <c r="E444" s="98">
        <f>IF(D444="","",D444-TODAY())</f>
        <v/>
      </c>
      <c r="F444" s="63">
        <f>IF(E444="","",IF(E444&lt;0,"OVERDUE",IF(E444&lt;=3,"URGENT",IF(E444&lt;=7,"CONTACT NOW","OK"))))</f>
        <v/>
      </c>
    </row>
    <row r="445" ht="15" customHeight="1" s="64">
      <c r="E445" s="98">
        <f>IF(D445="","",D445-TODAY())</f>
        <v/>
      </c>
      <c r="F445" s="63">
        <f>IF(E445="","",IF(E445&lt;0,"OVERDUE",IF(E445&lt;=3,"URGENT",IF(E445&lt;=7,"CONTACT NOW","OK"))))</f>
        <v/>
      </c>
    </row>
    <row r="446" ht="15" customHeight="1" s="64">
      <c r="E446" s="98">
        <f>IF(D446="","",D446-TODAY())</f>
        <v/>
      </c>
      <c r="F446" s="63">
        <f>IF(E446="","",IF(E446&lt;0,"OVERDUE",IF(E446&lt;=3,"URGENT",IF(E446&lt;=7,"CONTACT NOW","OK"))))</f>
        <v/>
      </c>
    </row>
    <row r="447" ht="15" customHeight="1" s="64">
      <c r="E447" s="98">
        <f>IF(D447="","",D447-TODAY())</f>
        <v/>
      </c>
      <c r="F447" s="63">
        <f>IF(E447="","",IF(E447&lt;0,"OVERDUE",IF(E447&lt;=3,"URGENT",IF(E447&lt;=7,"CONTACT NOW","OK"))))</f>
        <v/>
      </c>
    </row>
    <row r="448" ht="15" customHeight="1" s="64">
      <c r="E448" s="98">
        <f>IF(D448="","",D448-TODAY())</f>
        <v/>
      </c>
      <c r="F448" s="63">
        <f>IF(E448="","",IF(E448&lt;0,"OVERDUE",IF(E448&lt;=3,"URGENT",IF(E448&lt;=7,"CONTACT NOW","OK"))))</f>
        <v/>
      </c>
    </row>
    <row r="449" ht="15" customHeight="1" s="64">
      <c r="E449" s="98">
        <f>IF(D449="","",D449-TODAY())</f>
        <v/>
      </c>
      <c r="F449" s="63">
        <f>IF(E449="","",IF(E449&lt;0,"OVERDUE",IF(E449&lt;=3,"URGENT",IF(E449&lt;=7,"CONTACT NOW","OK"))))</f>
        <v/>
      </c>
    </row>
    <row r="450" ht="15" customHeight="1" s="64">
      <c r="E450" s="98">
        <f>IF(D450="","",D450-TODAY())</f>
        <v/>
      </c>
      <c r="F450" s="63">
        <f>IF(E450="","",IF(E450&lt;0,"OVERDUE",IF(E450&lt;=3,"URGENT",IF(E450&lt;=7,"CONTACT NOW","OK"))))</f>
        <v/>
      </c>
    </row>
    <row r="451" ht="15" customHeight="1" s="64">
      <c r="E451" s="98">
        <f>IF(D451="","",D451-TODAY())</f>
        <v/>
      </c>
      <c r="F451" s="63">
        <f>IF(E451="","",IF(E451&lt;0,"OVERDUE",IF(E451&lt;=3,"URGENT",IF(E451&lt;=7,"CONTACT NOW","OK"))))</f>
        <v/>
      </c>
    </row>
    <row r="452" ht="15" customHeight="1" s="64">
      <c r="E452" s="98">
        <f>IF(D452="","",D452-TODAY())</f>
        <v/>
      </c>
      <c r="F452" s="63">
        <f>IF(E452="","",IF(E452&lt;0,"OVERDUE",IF(E452&lt;=3,"URGENT",IF(E452&lt;=7,"CONTACT NOW","OK"))))</f>
        <v/>
      </c>
    </row>
    <row r="453" ht="15" customHeight="1" s="64">
      <c r="E453" s="98">
        <f>IF(D453="","",D453-TODAY())</f>
        <v/>
      </c>
      <c r="F453" s="63">
        <f>IF(E453="","",IF(E453&lt;0,"OVERDUE",IF(E453&lt;=3,"URGENT",IF(E453&lt;=7,"CONTACT NOW","OK"))))</f>
        <v/>
      </c>
    </row>
    <row r="454" ht="15" customHeight="1" s="64">
      <c r="E454" s="98">
        <f>IF(D454="","",D454-TODAY())</f>
        <v/>
      </c>
      <c r="F454" s="63">
        <f>IF(E454="","",IF(E454&lt;0,"OVERDUE",IF(E454&lt;=3,"URGENT",IF(E454&lt;=7,"CONTACT NOW","OK"))))</f>
        <v/>
      </c>
    </row>
    <row r="455" ht="15" customHeight="1" s="64">
      <c r="E455" s="98">
        <f>IF(D455="","",D455-TODAY())</f>
        <v/>
      </c>
      <c r="F455" s="63">
        <f>IF(E455="","",IF(E455&lt;0,"OVERDUE",IF(E455&lt;=3,"URGENT",IF(E455&lt;=7,"CONTACT NOW","OK"))))</f>
        <v/>
      </c>
    </row>
    <row r="456" ht="15" customHeight="1" s="64">
      <c r="E456" s="98">
        <f>IF(D456="","",D456-TODAY())</f>
        <v/>
      </c>
      <c r="F456" s="63">
        <f>IF(E456="","",IF(E456&lt;0,"OVERDUE",IF(E456&lt;=3,"URGENT",IF(E456&lt;=7,"CONTACT NOW","OK"))))</f>
        <v/>
      </c>
    </row>
    <row r="457" ht="15" customHeight="1" s="64">
      <c r="E457" s="98">
        <f>IF(D457="","",D457-TODAY())</f>
        <v/>
      </c>
      <c r="F457" s="63">
        <f>IF(E457="","",IF(E457&lt;0,"OVERDUE",IF(E457&lt;=3,"URGENT",IF(E457&lt;=7,"CONTACT NOW","OK"))))</f>
        <v/>
      </c>
    </row>
    <row r="458" ht="15" customHeight="1" s="64">
      <c r="E458" s="98">
        <f>IF(D458="","",D458-TODAY())</f>
        <v/>
      </c>
      <c r="F458" s="63">
        <f>IF(E458="","",IF(E458&lt;0,"OVERDUE",IF(E458&lt;=3,"URGENT",IF(E458&lt;=7,"CONTACT NOW","OK"))))</f>
        <v/>
      </c>
    </row>
    <row r="459" ht="15" customHeight="1" s="64">
      <c r="E459" s="98">
        <f>IF(D459="","",D459-TODAY())</f>
        <v/>
      </c>
      <c r="F459" s="63">
        <f>IF(E459="","",IF(E459&lt;0,"OVERDUE",IF(E459&lt;=3,"URGENT",IF(E459&lt;=7,"CONTACT NOW","OK"))))</f>
        <v/>
      </c>
    </row>
    <row r="460" ht="15" customHeight="1" s="64">
      <c r="E460" s="98">
        <f>IF(D460="","",D460-TODAY())</f>
        <v/>
      </c>
      <c r="F460" s="63">
        <f>IF(E460="","",IF(E460&lt;0,"OVERDUE",IF(E460&lt;=3,"URGENT",IF(E460&lt;=7,"CONTACT NOW","OK"))))</f>
        <v/>
      </c>
    </row>
    <row r="461" ht="15" customHeight="1" s="64">
      <c r="E461" s="98">
        <f>IF(D461="","",D461-TODAY())</f>
        <v/>
      </c>
      <c r="F461" s="63">
        <f>IF(E461="","",IF(E461&lt;0,"OVERDUE",IF(E461&lt;=3,"URGENT",IF(E461&lt;=7,"CONTACT NOW","OK"))))</f>
        <v/>
      </c>
    </row>
    <row r="462" ht="15" customHeight="1" s="64">
      <c r="E462" s="98">
        <f>IF(D462="","",D462-TODAY())</f>
        <v/>
      </c>
      <c r="F462" s="63">
        <f>IF(E462="","",IF(E462&lt;0,"OVERDUE",IF(E462&lt;=3,"URGENT",IF(E462&lt;=7,"CONTACT NOW","OK"))))</f>
        <v/>
      </c>
    </row>
    <row r="463" ht="15" customHeight="1" s="64">
      <c r="E463" s="98">
        <f>IF(D463="","",D463-TODAY())</f>
        <v/>
      </c>
      <c r="F463" s="63">
        <f>IF(E463="","",IF(E463&lt;0,"OVERDUE",IF(E463&lt;=3,"URGENT",IF(E463&lt;=7,"CONTACT NOW","OK"))))</f>
        <v/>
      </c>
    </row>
    <row r="464" ht="15" customHeight="1" s="64">
      <c r="E464" s="98">
        <f>IF(D464="","",D464-TODAY())</f>
        <v/>
      </c>
      <c r="F464" s="63">
        <f>IF(E464="","",IF(E464&lt;0,"OVERDUE",IF(E464&lt;=3,"URGENT",IF(E464&lt;=7,"CONTACT NOW","OK"))))</f>
        <v/>
      </c>
    </row>
    <row r="465" ht="15" customHeight="1" s="64">
      <c r="E465" s="98">
        <f>IF(D465="","",D465-TODAY())</f>
        <v/>
      </c>
      <c r="F465" s="63">
        <f>IF(E465="","",IF(E465&lt;0,"OVERDUE",IF(E465&lt;=3,"URGENT",IF(E465&lt;=7,"CONTACT NOW","OK"))))</f>
        <v/>
      </c>
    </row>
    <row r="466" ht="15" customHeight="1" s="64">
      <c r="E466" s="98">
        <f>IF(D466="","",D466-TODAY())</f>
        <v/>
      </c>
      <c r="F466" s="63">
        <f>IF(E466="","",IF(E466&lt;0,"OVERDUE",IF(E466&lt;=3,"URGENT",IF(E466&lt;=7,"CONTACT NOW","OK"))))</f>
        <v/>
      </c>
    </row>
    <row r="467" ht="15" customHeight="1" s="64">
      <c r="E467" s="98">
        <f>IF(D467="","",D467-TODAY())</f>
        <v/>
      </c>
      <c r="F467" s="63">
        <f>IF(E467="","",IF(E467&lt;0,"OVERDUE",IF(E467&lt;=3,"URGENT",IF(E467&lt;=7,"CONTACT NOW","OK"))))</f>
        <v/>
      </c>
    </row>
    <row r="468" ht="15" customHeight="1" s="64">
      <c r="E468" s="98">
        <f>IF(D468="","",D468-TODAY())</f>
        <v/>
      </c>
      <c r="F468" s="63">
        <f>IF(E468="","",IF(E468&lt;0,"OVERDUE",IF(E468&lt;=3,"URGENT",IF(E468&lt;=7,"CONTACT NOW","OK"))))</f>
        <v/>
      </c>
    </row>
    <row r="469" ht="15" customHeight="1" s="64">
      <c r="E469" s="98">
        <f>IF(D469="","",D469-TODAY())</f>
        <v/>
      </c>
      <c r="F469" s="63">
        <f>IF(E469="","",IF(E469&lt;0,"OVERDUE",IF(E469&lt;=3,"URGENT",IF(E469&lt;=7,"CONTACT NOW","OK"))))</f>
        <v/>
      </c>
    </row>
    <row r="470" ht="15" customHeight="1" s="64">
      <c r="E470" s="98">
        <f>IF(D470="","",D470-TODAY())</f>
        <v/>
      </c>
      <c r="F470" s="63">
        <f>IF(E470="","",IF(E470&lt;0,"OVERDUE",IF(E470&lt;=3,"URGENT",IF(E470&lt;=7,"CONTACT NOW","OK"))))</f>
        <v/>
      </c>
    </row>
    <row r="471" ht="15" customHeight="1" s="64">
      <c r="E471" s="98">
        <f>IF(D471="","",D471-TODAY())</f>
        <v/>
      </c>
      <c r="F471" s="63">
        <f>IF(E471="","",IF(E471&lt;0,"OVERDUE",IF(E471&lt;=3,"URGENT",IF(E471&lt;=7,"CONTACT NOW","OK"))))</f>
        <v/>
      </c>
    </row>
    <row r="472" ht="15" customHeight="1" s="64">
      <c r="E472" s="98">
        <f>IF(D472="","",D472-TODAY())</f>
        <v/>
      </c>
      <c r="F472" s="63">
        <f>IF(E472="","",IF(E472&lt;0,"OVERDUE",IF(E472&lt;=3,"URGENT",IF(E472&lt;=7,"CONTACT NOW","OK"))))</f>
        <v/>
      </c>
    </row>
    <row r="473" ht="15" customHeight="1" s="64">
      <c r="E473" s="98">
        <f>IF(D473="","",D473-TODAY())</f>
        <v/>
      </c>
      <c r="F473" s="63">
        <f>IF(E473="","",IF(E473&lt;0,"OVERDUE",IF(E473&lt;=3,"URGENT",IF(E473&lt;=7,"CONTACT NOW","OK"))))</f>
        <v/>
      </c>
    </row>
    <row r="474" ht="15" customHeight="1" s="64">
      <c r="E474" s="98">
        <f>IF(D474="","",D474-TODAY())</f>
        <v/>
      </c>
      <c r="F474" s="63">
        <f>IF(E474="","",IF(E474&lt;0,"OVERDUE",IF(E474&lt;=3,"URGENT",IF(E474&lt;=7,"CONTACT NOW","OK"))))</f>
        <v/>
      </c>
    </row>
    <row r="475" ht="15" customHeight="1" s="64">
      <c r="E475" s="98">
        <f>IF(D475="","",D475-TODAY())</f>
        <v/>
      </c>
      <c r="F475" s="63">
        <f>IF(E475="","",IF(E475&lt;0,"OVERDUE",IF(E475&lt;=3,"URGENT",IF(E475&lt;=7,"CONTACT NOW","OK"))))</f>
        <v/>
      </c>
    </row>
    <row r="476" ht="15" customHeight="1" s="64">
      <c r="E476" s="98">
        <f>IF(D476="","",D476-TODAY())</f>
        <v/>
      </c>
      <c r="F476" s="63">
        <f>IF(E476="","",IF(E476&lt;0,"OVERDUE",IF(E476&lt;=3,"URGENT",IF(E476&lt;=7,"CONTACT NOW","OK"))))</f>
        <v/>
      </c>
    </row>
    <row r="477" ht="15" customHeight="1" s="64">
      <c r="E477" s="98">
        <f>IF(D477="","",D477-TODAY())</f>
        <v/>
      </c>
      <c r="F477" s="63">
        <f>IF(E477="","",IF(E477&lt;0,"OVERDUE",IF(E477&lt;=3,"URGENT",IF(E477&lt;=7,"CONTACT NOW","OK"))))</f>
        <v/>
      </c>
    </row>
    <row r="478" ht="15" customHeight="1" s="64">
      <c r="E478" s="98">
        <f>IF(D478="","",D478-TODAY())</f>
        <v/>
      </c>
      <c r="F478" s="63">
        <f>IF(E478="","",IF(E478&lt;0,"OVERDUE",IF(E478&lt;=3,"URGENT",IF(E478&lt;=7,"CONTACT NOW","OK"))))</f>
        <v/>
      </c>
    </row>
    <row r="479" ht="15" customHeight="1" s="64">
      <c r="E479" s="98">
        <f>IF(D479="","",D479-TODAY())</f>
        <v/>
      </c>
      <c r="F479" s="63">
        <f>IF(E479="","",IF(E479&lt;0,"OVERDUE",IF(E479&lt;=3,"URGENT",IF(E479&lt;=7,"CONTACT NOW","OK"))))</f>
        <v/>
      </c>
    </row>
    <row r="480" ht="15" customHeight="1" s="64">
      <c r="E480" s="98">
        <f>IF(D480="","",D480-TODAY())</f>
        <v/>
      </c>
      <c r="F480" s="63">
        <f>IF(E480="","",IF(E480&lt;0,"OVERDUE",IF(E480&lt;=3,"URGENT",IF(E480&lt;=7,"CONTACT NOW","OK"))))</f>
        <v/>
      </c>
    </row>
    <row r="481" ht="15" customHeight="1" s="64">
      <c r="E481" s="98">
        <f>IF(D481="","",D481-TODAY())</f>
        <v/>
      </c>
      <c r="F481" s="63">
        <f>IF(E481="","",IF(E481&lt;0,"OVERDUE",IF(E481&lt;=3,"URGENT",IF(E481&lt;=7,"CONTACT NOW","OK"))))</f>
        <v/>
      </c>
    </row>
    <row r="482" ht="15" customHeight="1" s="64">
      <c r="E482" s="98">
        <f>IF(D482="","",D482-TODAY())</f>
        <v/>
      </c>
      <c r="F482" s="63">
        <f>IF(E482="","",IF(E482&lt;0,"OVERDUE",IF(E482&lt;=3,"URGENT",IF(E482&lt;=7,"CONTACT NOW","OK"))))</f>
        <v/>
      </c>
    </row>
    <row r="483" ht="15" customHeight="1" s="64">
      <c r="E483" s="98">
        <f>IF(D483="","",D483-TODAY())</f>
        <v/>
      </c>
      <c r="F483" s="63">
        <f>IF(E483="","",IF(E483&lt;0,"OVERDUE",IF(E483&lt;=3,"URGENT",IF(E483&lt;=7,"CONTACT NOW","OK"))))</f>
        <v/>
      </c>
    </row>
    <row r="484" ht="15" customHeight="1" s="64">
      <c r="E484" s="98">
        <f>IF(D484="","",D484-TODAY())</f>
        <v/>
      </c>
      <c r="F484" s="63">
        <f>IF(E484="","",IF(E484&lt;0,"OVERDUE",IF(E484&lt;=3,"URGENT",IF(E484&lt;=7,"CONTACT NOW","OK"))))</f>
        <v/>
      </c>
    </row>
    <row r="485" ht="15" customHeight="1" s="64">
      <c r="E485" s="98">
        <f>IF(D485="","",D485-TODAY())</f>
        <v/>
      </c>
      <c r="F485" s="63">
        <f>IF(E485="","",IF(E485&lt;0,"OVERDUE",IF(E485&lt;=3,"URGENT",IF(E485&lt;=7,"CONTACT NOW","OK"))))</f>
        <v/>
      </c>
    </row>
    <row r="486" ht="15" customHeight="1" s="64">
      <c r="E486" s="98">
        <f>IF(D486="","",D486-TODAY())</f>
        <v/>
      </c>
      <c r="F486" s="63">
        <f>IF(E486="","",IF(E486&lt;0,"OVERDUE",IF(E486&lt;=3,"URGENT",IF(E486&lt;=7,"CONTACT NOW","OK"))))</f>
        <v/>
      </c>
    </row>
    <row r="487" ht="15" customHeight="1" s="64">
      <c r="E487" s="98">
        <f>IF(D487="","",D487-TODAY())</f>
        <v/>
      </c>
      <c r="F487" s="63">
        <f>IF(E487="","",IF(E487&lt;0,"OVERDUE",IF(E487&lt;=3,"URGENT",IF(E487&lt;=7,"CONTACT NOW","OK"))))</f>
        <v/>
      </c>
    </row>
    <row r="488" ht="15" customHeight="1" s="64">
      <c r="E488" s="98">
        <f>IF(D488="","",D488-TODAY())</f>
        <v/>
      </c>
      <c r="F488" s="63">
        <f>IF(E488="","",IF(E488&lt;0,"OVERDUE",IF(E488&lt;=3,"URGENT",IF(E488&lt;=7,"CONTACT NOW","OK"))))</f>
        <v/>
      </c>
    </row>
    <row r="489" ht="15" customHeight="1" s="64">
      <c r="E489" s="98">
        <f>IF(D489="","",D489-TODAY())</f>
        <v/>
      </c>
      <c r="F489" s="63">
        <f>IF(E489="","",IF(E489&lt;0,"OVERDUE",IF(E489&lt;=3,"URGENT",IF(E489&lt;=7,"CONTACT NOW","OK"))))</f>
        <v/>
      </c>
    </row>
    <row r="490" ht="15" customHeight="1" s="64">
      <c r="E490" s="98">
        <f>IF(D490="","",D490-TODAY())</f>
        <v/>
      </c>
      <c r="F490" s="63">
        <f>IF(E490="","",IF(E490&lt;0,"OVERDUE",IF(E490&lt;=3,"URGENT",IF(E490&lt;=7,"CONTACT NOW","OK"))))</f>
        <v/>
      </c>
    </row>
    <row r="491" ht="15" customHeight="1" s="64">
      <c r="E491" s="98">
        <f>IF(D491="","",D491-TODAY())</f>
        <v/>
      </c>
      <c r="F491" s="63">
        <f>IF(E491="","",IF(E491&lt;0,"OVERDUE",IF(E491&lt;=3,"URGENT",IF(E491&lt;=7,"CONTACT NOW","OK"))))</f>
        <v/>
      </c>
    </row>
    <row r="492" ht="15" customHeight="1" s="64">
      <c r="E492" s="98">
        <f>IF(D492="","",D492-TODAY())</f>
        <v/>
      </c>
      <c r="F492" s="63">
        <f>IF(E492="","",IF(E492&lt;0,"OVERDUE",IF(E492&lt;=3,"URGENT",IF(E492&lt;=7,"CONTACT NOW","OK"))))</f>
        <v/>
      </c>
    </row>
    <row r="493" ht="15" customHeight="1" s="64">
      <c r="E493" s="98">
        <f>IF(D493="","",D493-TODAY())</f>
        <v/>
      </c>
      <c r="F493" s="63">
        <f>IF(E493="","",IF(E493&lt;0,"OVERDUE",IF(E493&lt;=3,"URGENT",IF(E493&lt;=7,"CONTACT NOW","OK"))))</f>
        <v/>
      </c>
    </row>
    <row r="494" ht="15" customHeight="1" s="64">
      <c r="E494" s="98">
        <f>IF(D494="","",D494-TODAY())</f>
        <v/>
      </c>
      <c r="F494" s="63">
        <f>IF(E494="","",IF(E494&lt;0,"OVERDUE",IF(E494&lt;=3,"URGENT",IF(E494&lt;=7,"CONTACT NOW","OK"))))</f>
        <v/>
      </c>
    </row>
    <row r="495" ht="15" customHeight="1" s="64">
      <c r="E495" s="98">
        <f>IF(D495="","",D495-TODAY())</f>
        <v/>
      </c>
      <c r="F495" s="63">
        <f>IF(E495="","",IF(E495&lt;0,"OVERDUE",IF(E495&lt;=3,"URGENT",IF(E495&lt;=7,"CONTACT NOW","OK"))))</f>
        <v/>
      </c>
    </row>
    <row r="496" ht="15" customHeight="1" s="64">
      <c r="E496" s="98">
        <f>IF(D496="","",D496-TODAY())</f>
        <v/>
      </c>
      <c r="F496" s="63">
        <f>IF(E496="","",IF(E496&lt;0,"OVERDUE",IF(E496&lt;=3,"URGENT",IF(E496&lt;=7,"CONTACT NOW","OK"))))</f>
        <v/>
      </c>
    </row>
    <row r="497" ht="15" customHeight="1" s="64">
      <c r="E497" s="98">
        <f>IF(D497="","",D497-TODAY())</f>
        <v/>
      </c>
      <c r="F497" s="63">
        <f>IF(E497="","",IF(E497&lt;0,"OVERDUE",IF(E497&lt;=3,"URGENT",IF(E497&lt;=7,"CONTACT NOW","OK"))))</f>
        <v/>
      </c>
    </row>
    <row r="498" ht="15" customHeight="1" s="64">
      <c r="E498" s="98">
        <f>IF(D498="","",D498-TODAY())</f>
        <v/>
      </c>
      <c r="F498" s="63">
        <f>IF(E498="","",IF(E498&lt;0,"OVERDUE",IF(E498&lt;=3,"URGENT",IF(E498&lt;=7,"CONTACT NOW","OK"))))</f>
        <v/>
      </c>
    </row>
    <row r="499" ht="15" customHeight="1" s="64">
      <c r="E499" s="98">
        <f>IF(D499="","",D499-TODAY())</f>
        <v/>
      </c>
      <c r="F499" s="63">
        <f>IF(E499="","",IF(E499&lt;0,"OVERDUE",IF(E499&lt;=3,"URGENT",IF(E499&lt;=7,"CONTACT NOW","OK"))))</f>
        <v/>
      </c>
    </row>
    <row r="500" ht="15" customHeight="1" s="64">
      <c r="E500" s="98">
        <f>IF(D500="","",D500-TODAY())</f>
        <v/>
      </c>
      <c r="F500" s="63">
        <f>IF(E500="","",IF(E500&lt;0,"OVERDUE",IF(E500&lt;=3,"URGENT",IF(E500&lt;=7,"CONTACT NOW","OK"))))</f>
        <v/>
      </c>
    </row>
    <row r="501" ht="15" customHeight="1" s="64">
      <c r="E501" s="98">
        <f>IF(D501="","",D501-TODAY())</f>
        <v/>
      </c>
      <c r="F501" s="63">
        <f>IF(E501="","",IF(E501&lt;0,"OVERDUE",IF(E501&lt;=3,"URGENT",IF(E501&lt;=7,"CONTACT NOW","OK"))))</f>
        <v/>
      </c>
    </row>
    <row r="502" ht="15" customHeight="1" s="64">
      <c r="E502" s="98">
        <f>IF(D502="","",D502-TODAY())</f>
        <v/>
      </c>
      <c r="F502" s="63">
        <f>IF(E502="","",IF(E502&lt;0,"OVERDUE",IF(E502&lt;=3,"URGENT",IF(E502&lt;=7,"CONTACT NOW","OK"))))</f>
        <v/>
      </c>
    </row>
    <row r="503" ht="15" customHeight="1" s="64">
      <c r="E503" s="98">
        <f>IF(D503="","",D503-TODAY())</f>
        <v/>
      </c>
      <c r="F503" s="63">
        <f>IF(E503="","",IF(E503&lt;0,"OVERDUE",IF(E503&lt;=3,"URGENT",IF(E503&lt;=7,"CONTACT NOW","OK"))))</f>
        <v/>
      </c>
    </row>
    <row r="504" ht="15" customHeight="1" s="64">
      <c r="E504" s="98">
        <f>IF(D504="","",D504-TODAY())</f>
        <v/>
      </c>
      <c r="F504" s="63">
        <f>IF(E504="","",IF(E504&lt;0,"OVERDUE",IF(E504&lt;=3,"URGENT",IF(E504&lt;=7,"CONTACT NOW","OK"))))</f>
        <v/>
      </c>
    </row>
  </sheetData>
  <mergeCells count="3">
    <mergeCell ref="A1:P1"/>
    <mergeCell ref="A3:P3"/>
    <mergeCell ref="A2:P2"/>
  </mergeCells>
  <conditionalFormatting sqref="E5:E505">
    <cfRule type="cellIs" rank="0" priority="2" equalAverage="0" operator="lessThan" aboveAverage="0" dxfId="5" text="" percent="0" bottom="0">
      <formula>0</formula>
    </cfRule>
    <cfRule type="cellIs" rank="0" priority="3" equalAverage="0" operator="between" aboveAverage="0" dxfId="6" text="" percent="0" bottom="0">
      <formula>0</formula>
      <formula>7</formula>
    </cfRule>
  </conditionalFormatting>
  <conditionalFormatting sqref="F5:F505">
    <cfRule type="cellIs" rank="0" priority="4" equalAverage="0" operator="equal" aboveAverage="0" dxfId="4" text="" percent="0" bottom="0">
      <formula>"OVERDUE"</formula>
    </cfRule>
    <cfRule type="cellIs" rank="0" priority="5" equalAverage="0" operator="equal" aboveAverage="0" dxfId="6" text="" percent="0" bottom="0">
      <formula>"URGENT"</formula>
    </cfRule>
    <cfRule type="cellIs" rank="0" priority="6" equalAverage="0" operator="equal" aboveAverage="0" dxfId="2" text="" percent="0" bottom="0">
      <formula>"CONTACT NOW"</formula>
    </cfRule>
  </conditionalFormatting>
  <dataValidations count="3">
    <dataValidation sqref="H5:H504" showDropDown="0" showInputMessage="0" showErrorMessage="0" allowBlank="1" type="list" errorStyle="stop" operator="between">
      <formula1>"WhatsApp,Phone Call,In-Person,Email,SMS"</formula1>
      <formula2>0</formula2>
    </dataValidation>
    <dataValidation sqref="K5:K504" showDropDown="0" showInputMessage="0" showErrorMessage="0" allowBlank="1" type="list" errorStyle="stop" operator="between">
      <formula1>"Renewed — Same Plan,Renewed — Upgraded,Renewed — Downgraded,Churned,Paused,Pending"</formula1>
      <formula2>0</formula2>
    </dataValidation>
    <dataValidation sqref="N5:N504" showDropDown="0" showInputMessage="0" showErrorMessage="0" allowBlank="1" type="list" errorStyle="stop" operator="between">
      <formula1>"Too Expensive,Not Using Enough,Moved Away,Quality/Service Issue,Found Alternative,Personal Reasons,Business Closed,Temporary Break,Other"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9B59B6"/>
    <outlinePr summaryBelow="1" summaryRight="1"/>
    <pageSetUpPr fitToPage="0"/>
  </sheetPr>
  <dimension ref="A1:Q5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3" min="1" max="3"/>
    <col width="13" customWidth="1" style="63" min="4" max="6"/>
    <col width="10" customWidth="1" style="63" min="7" max="7"/>
    <col width="14" customWidth="1" style="63" min="8" max="12"/>
    <col width="12" customWidth="1" style="63" min="13" max="13"/>
    <col width="14" customWidth="1" style="63" min="14" max="14"/>
    <col width="13" customWidth="1" style="63" min="15" max="15"/>
    <col width="14" customWidth="1" style="63" min="16" max="17"/>
  </cols>
  <sheetData>
    <row r="1" ht="17.15" customHeight="1" s="64">
      <c r="A1" s="99" t="inlineStr">
        <is>
          <t>CONVERSION FUNNEL  |  قمع التحويل: من زائر إلى عضو  |  KAY-OPS-MMS-001 Tab 6</t>
        </is>
      </c>
    </row>
    <row r="2" ht="15" customHeight="1" s="64">
      <c r="A2" s="100" t="inlineStr">
        <is>
          <t>Every day pass buyer is tracked here. Target: 15% conversion rate (day pass → paid membership) by M6. If 100 day passes &amp; 0 conversions = VALUE PROPOSITION PROBLEM.</t>
        </is>
      </c>
    </row>
    <row r="3" ht="15" customHeight="1" s="64">
      <c r="A3" s="68" t="inlineStr">
        <is>
          <t>Stage Flow: Day Pass Visit → Return Visit → Considering (asked about plans) → Flex Trial → Unlimited/Dedicated. Track the BARRIERS — that's where we improve.</t>
        </is>
      </c>
    </row>
    <row r="4" ht="50.7" customHeight="1" s="64">
      <c r="A4" s="101" t="inlineStr">
        <is>
          <t>Visitor Name
اسم الزائر</t>
        </is>
      </c>
      <c r="B4" s="101" t="inlineStr">
        <is>
          <t>Phone
الهاتف</t>
        </is>
      </c>
      <c r="C4" s="101" t="inlineStr">
        <is>
          <t>Source
المصدر</t>
        </is>
      </c>
      <c r="D4" s="101" t="inlineStr">
        <is>
          <t>1st Visit Date
تاريخ الزيارة الأولى</t>
        </is>
      </c>
      <c r="E4" s="101" t="inlineStr">
        <is>
          <t>2nd Visit Date
الزيارة الثانية</t>
        </is>
      </c>
      <c r="F4" s="101" t="inlineStr">
        <is>
          <t>3rd Visit Date
الزيارة الثالثة</t>
        </is>
      </c>
      <c r="G4" s="101" t="inlineStr">
        <is>
          <t>Total Visits
إجمالي الزيارات</t>
        </is>
      </c>
      <c r="H4" s="101" t="inlineStr">
        <is>
          <t>Current Stage
المرحلة الحالية</t>
        </is>
      </c>
      <c r="I4" s="101" t="inlineStr">
        <is>
          <t>Plan Interested In
الخطة المهتم بها</t>
        </is>
      </c>
      <c r="J4" s="101" t="inlineStr">
        <is>
          <t>Barrier to Conversion
عائق التحويل</t>
        </is>
      </c>
      <c r="K4" s="101" t="inlineStr">
        <is>
          <t>Follow-up Date
تاريخ المتابعة</t>
        </is>
      </c>
      <c r="L4" s="101" t="inlineStr">
        <is>
          <t>Follow-up Action
إجراء المتابعة</t>
        </is>
      </c>
      <c r="M4" s="101" t="inlineStr">
        <is>
          <t>Converted?
هل تحوّل؟</t>
        </is>
      </c>
      <c r="N4" s="101" t="inlineStr">
        <is>
          <t>Converted to Plan
تحوّل إلى خطة</t>
        </is>
      </c>
      <c r="O4" s="101" t="inlineStr">
        <is>
          <t>Conversion Date
تاريخ التحويل</t>
        </is>
      </c>
      <c r="P4" s="101" t="inlineStr">
        <is>
          <t>Days to Convert
أيام للتحويل</t>
        </is>
      </c>
      <c r="Q4" s="101" t="inlineStr">
        <is>
          <t>Assigned To
مسؤول المتابعة</t>
        </is>
      </c>
    </row>
    <row r="5" ht="15" customHeight="1" s="64">
      <c r="A5" s="85" t="n"/>
      <c r="B5" s="85" t="n"/>
      <c r="C5" s="85" t="n"/>
      <c r="D5" s="85" t="n"/>
      <c r="E5" s="85" t="n"/>
      <c r="F5" s="85" t="n"/>
      <c r="G5" s="85">
        <f>COUNTA(D5:F5)</f>
        <v/>
      </c>
      <c r="H5" s="85" t="n"/>
      <c r="I5" s="85" t="n"/>
      <c r="J5" s="85" t="n"/>
      <c r="K5" s="85" t="n"/>
      <c r="L5" s="85" t="n"/>
      <c r="M5" s="85" t="n"/>
      <c r="N5" s="85" t="n"/>
      <c r="O5" s="85" t="n"/>
      <c r="P5" s="85">
        <f>IF(AND(O5&lt;&gt;"",D5&lt;&gt;""),O5-D5,"")</f>
        <v/>
      </c>
      <c r="Q5" s="85" t="n"/>
    </row>
    <row r="6" ht="15" customHeight="1" s="64">
      <c r="A6" s="81" t="n"/>
      <c r="B6" s="81" t="n"/>
      <c r="C6" s="81" t="n"/>
      <c r="D6" s="81" t="n"/>
      <c r="E6" s="81" t="n"/>
      <c r="F6" s="81" t="n"/>
      <c r="G6" s="81">
        <f>COUNTA(D6:F6)</f>
        <v/>
      </c>
      <c r="H6" s="81" t="n"/>
      <c r="I6" s="81" t="n"/>
      <c r="J6" s="81" t="n"/>
      <c r="K6" s="81" t="n"/>
      <c r="L6" s="81" t="n"/>
      <c r="M6" s="81" t="n"/>
      <c r="N6" s="81" t="n"/>
      <c r="O6" s="81" t="n"/>
      <c r="P6" s="81">
        <f>IF(AND(O6&lt;&gt;"",D6&lt;&gt;""),O6-D6,"")</f>
        <v/>
      </c>
      <c r="Q6" s="81" t="n"/>
    </row>
    <row r="7" ht="15" customHeight="1" s="64">
      <c r="A7" s="85" t="n"/>
      <c r="B7" s="85" t="n"/>
      <c r="C7" s="85" t="n"/>
      <c r="D7" s="85" t="n"/>
      <c r="E7" s="85" t="n"/>
      <c r="F7" s="85" t="n"/>
      <c r="G7" s="85">
        <f>COUNTA(D7:F7)</f>
        <v/>
      </c>
      <c r="H7" s="85" t="n"/>
      <c r="I7" s="85" t="n"/>
      <c r="J7" s="85" t="n"/>
      <c r="K7" s="85" t="n"/>
      <c r="L7" s="85" t="n"/>
      <c r="M7" s="85" t="n"/>
      <c r="N7" s="85" t="n"/>
      <c r="O7" s="85" t="n"/>
      <c r="P7" s="85">
        <f>IF(AND(O7&lt;&gt;"",D7&lt;&gt;""),O7-D7,"")</f>
        <v/>
      </c>
      <c r="Q7" s="85" t="n"/>
    </row>
    <row r="8" ht="15" customHeight="1" s="64">
      <c r="A8" s="81" t="n"/>
      <c r="B8" s="81" t="n"/>
      <c r="C8" s="81" t="n"/>
      <c r="D8" s="81" t="n"/>
      <c r="E8" s="81" t="n"/>
      <c r="F8" s="81" t="n"/>
      <c r="G8" s="81">
        <f>COUNTA(D8:F8)</f>
        <v/>
      </c>
      <c r="H8" s="81" t="n"/>
      <c r="I8" s="81" t="n"/>
      <c r="J8" s="81" t="n"/>
      <c r="K8" s="81" t="n"/>
      <c r="L8" s="81" t="n"/>
      <c r="M8" s="81" t="n"/>
      <c r="N8" s="81" t="n"/>
      <c r="O8" s="81" t="n"/>
      <c r="P8" s="81">
        <f>IF(AND(O8&lt;&gt;"",D8&lt;&gt;""),O8-D8,"")</f>
        <v/>
      </c>
      <c r="Q8" s="81" t="n"/>
    </row>
    <row r="9" ht="15" customHeight="1" s="64">
      <c r="A9" s="85" t="n"/>
      <c r="B9" s="85" t="n"/>
      <c r="C9" s="85" t="n"/>
      <c r="D9" s="85" t="n"/>
      <c r="E9" s="85" t="n"/>
      <c r="F9" s="85" t="n"/>
      <c r="G9" s="85">
        <f>COUNTA(D9:F9)</f>
        <v/>
      </c>
      <c r="H9" s="85" t="n"/>
      <c r="I9" s="85" t="n"/>
      <c r="J9" s="85" t="n"/>
      <c r="K9" s="85" t="n"/>
      <c r="L9" s="85" t="n"/>
      <c r="M9" s="85" t="n"/>
      <c r="N9" s="85" t="n"/>
      <c r="O9" s="85" t="n"/>
      <c r="P9" s="85">
        <f>IF(AND(O9&lt;&gt;"",D9&lt;&gt;""),O9-D9,"")</f>
        <v/>
      </c>
      <c r="Q9" s="85" t="n"/>
    </row>
    <row r="10" ht="15" customHeight="1" s="64">
      <c r="A10" s="81" t="n"/>
      <c r="B10" s="81" t="n"/>
      <c r="C10" s="81" t="n"/>
      <c r="D10" s="81" t="n"/>
      <c r="E10" s="81" t="n"/>
      <c r="F10" s="81" t="n"/>
      <c r="G10" s="81">
        <f>COUNTA(D10:F10)</f>
        <v/>
      </c>
      <c r="H10" s="81" t="n"/>
      <c r="I10" s="81" t="n"/>
      <c r="J10" s="81" t="n"/>
      <c r="K10" s="81" t="n"/>
      <c r="L10" s="81" t="n"/>
      <c r="M10" s="81" t="n"/>
      <c r="N10" s="81" t="n"/>
      <c r="O10" s="81" t="n"/>
      <c r="P10" s="81">
        <f>IF(AND(O10&lt;&gt;"",D10&lt;&gt;""),O10-D10,"")</f>
        <v/>
      </c>
      <c r="Q10" s="81" t="n"/>
    </row>
    <row r="11" ht="15" customHeight="1" s="64">
      <c r="A11" s="85" t="n"/>
      <c r="B11" s="85" t="n"/>
      <c r="C11" s="85" t="n"/>
      <c r="D11" s="85" t="n"/>
      <c r="E11" s="85" t="n"/>
      <c r="F11" s="85" t="n"/>
      <c r="G11" s="85">
        <f>COUNTA(D11:F11)</f>
        <v/>
      </c>
      <c r="H11" s="85" t="n"/>
      <c r="I11" s="85" t="n"/>
      <c r="J11" s="85" t="n"/>
      <c r="K11" s="85" t="n"/>
      <c r="L11" s="85" t="n"/>
      <c r="M11" s="85" t="n"/>
      <c r="N11" s="85" t="n"/>
      <c r="O11" s="85" t="n"/>
      <c r="P11" s="85">
        <f>IF(AND(O11&lt;&gt;"",D11&lt;&gt;""),O11-D11,"")</f>
        <v/>
      </c>
      <c r="Q11" s="85" t="n"/>
    </row>
    <row r="12" ht="15" customHeight="1" s="64">
      <c r="A12" s="81" t="n"/>
      <c r="B12" s="81" t="n"/>
      <c r="C12" s="81" t="n"/>
      <c r="D12" s="81" t="n"/>
      <c r="E12" s="81" t="n"/>
      <c r="F12" s="81" t="n"/>
      <c r="G12" s="81">
        <f>COUNTA(D12:F12)</f>
        <v/>
      </c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>
        <f>IF(AND(O12&lt;&gt;"",D12&lt;&gt;""),O12-D12,"")</f>
        <v/>
      </c>
      <c r="Q12" s="81" t="n"/>
    </row>
    <row r="13" ht="15" customHeight="1" s="64">
      <c r="A13" s="85" t="n"/>
      <c r="B13" s="85" t="n"/>
      <c r="C13" s="85" t="n"/>
      <c r="D13" s="85" t="n"/>
      <c r="E13" s="85" t="n"/>
      <c r="F13" s="85" t="n"/>
      <c r="G13" s="85">
        <f>COUNTA(D13:F13)</f>
        <v/>
      </c>
      <c r="H13" s="85" t="n"/>
      <c r="I13" s="85" t="n"/>
      <c r="J13" s="85" t="n"/>
      <c r="K13" s="85" t="n"/>
      <c r="L13" s="85" t="n"/>
      <c r="M13" s="85" t="n"/>
      <c r="N13" s="85" t="n"/>
      <c r="O13" s="85" t="n"/>
      <c r="P13" s="85">
        <f>IF(AND(O13&lt;&gt;"",D13&lt;&gt;""),O13-D13,"")</f>
        <v/>
      </c>
      <c r="Q13" s="85" t="n"/>
    </row>
    <row r="14" ht="15" customHeight="1" s="64">
      <c r="A14" s="81" t="n"/>
      <c r="B14" s="81" t="n"/>
      <c r="C14" s="81" t="n"/>
      <c r="D14" s="81" t="n"/>
      <c r="E14" s="81" t="n"/>
      <c r="F14" s="81" t="n"/>
      <c r="G14" s="81">
        <f>COUNTA(D14:F14)</f>
        <v/>
      </c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>
        <f>IF(AND(O14&lt;&gt;"",D14&lt;&gt;""),O14-D14,"")</f>
        <v/>
      </c>
      <c r="Q14" s="81" t="n"/>
    </row>
    <row r="15" ht="15" customHeight="1" s="64">
      <c r="A15" s="85" t="n"/>
      <c r="B15" s="85" t="n"/>
      <c r="C15" s="85" t="n"/>
      <c r="D15" s="85" t="n"/>
      <c r="E15" s="85" t="n"/>
      <c r="F15" s="85" t="n"/>
      <c r="G15" s="85">
        <f>COUNTA(D15:F15)</f>
        <v/>
      </c>
      <c r="H15" s="85" t="n"/>
      <c r="I15" s="85" t="n"/>
      <c r="J15" s="85" t="n"/>
      <c r="K15" s="85" t="n"/>
      <c r="L15" s="85" t="n"/>
      <c r="M15" s="85" t="n"/>
      <c r="N15" s="85" t="n"/>
      <c r="O15" s="85" t="n"/>
      <c r="P15" s="85">
        <f>IF(AND(O15&lt;&gt;"",D15&lt;&gt;""),O15-D15,"")</f>
        <v/>
      </c>
      <c r="Q15" s="85" t="n"/>
    </row>
    <row r="16" ht="15" customHeight="1" s="64">
      <c r="A16" s="81" t="n"/>
      <c r="B16" s="81" t="n"/>
      <c r="C16" s="81" t="n"/>
      <c r="D16" s="81" t="n"/>
      <c r="E16" s="81" t="n"/>
      <c r="F16" s="81" t="n"/>
      <c r="G16" s="81">
        <f>COUNTA(D16:F16)</f>
        <v/>
      </c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>
        <f>IF(AND(O16&lt;&gt;"",D16&lt;&gt;""),O16-D16,"")</f>
        <v/>
      </c>
      <c r="Q16" s="81" t="n"/>
    </row>
    <row r="17" ht="15" customHeight="1" s="64">
      <c r="A17" s="85" t="n"/>
      <c r="B17" s="85" t="n"/>
      <c r="C17" s="85" t="n"/>
      <c r="D17" s="85" t="n"/>
      <c r="E17" s="85" t="n"/>
      <c r="F17" s="85" t="n"/>
      <c r="G17" s="85">
        <f>COUNTA(D17:F17)</f>
        <v/>
      </c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>
        <f>IF(AND(O17&lt;&gt;"",D17&lt;&gt;""),O17-D17,"")</f>
        <v/>
      </c>
      <c r="Q17" s="85" t="n"/>
    </row>
    <row r="18" ht="15" customHeight="1" s="64">
      <c r="A18" s="81" t="n"/>
      <c r="B18" s="81" t="n"/>
      <c r="C18" s="81" t="n"/>
      <c r="D18" s="81" t="n"/>
      <c r="E18" s="81" t="n"/>
      <c r="F18" s="81" t="n"/>
      <c r="G18" s="81">
        <f>COUNTA(D18:F18)</f>
        <v/>
      </c>
      <c r="H18" s="81" t="n"/>
      <c r="I18" s="81" t="n"/>
      <c r="J18" s="81" t="n"/>
      <c r="K18" s="81" t="n"/>
      <c r="L18" s="81" t="n"/>
      <c r="M18" s="81" t="n"/>
      <c r="N18" s="81" t="n"/>
      <c r="O18" s="81" t="n"/>
      <c r="P18" s="81">
        <f>IF(AND(O18&lt;&gt;"",D18&lt;&gt;""),O18-D18,"")</f>
        <v/>
      </c>
      <c r="Q18" s="81" t="n"/>
    </row>
    <row r="19" ht="15" customHeight="1" s="64">
      <c r="A19" s="85" t="n"/>
      <c r="B19" s="85" t="n"/>
      <c r="C19" s="85" t="n"/>
      <c r="D19" s="85" t="n"/>
      <c r="E19" s="85" t="n"/>
      <c r="F19" s="85" t="n"/>
      <c r="G19" s="85">
        <f>COUNTA(D19:F19)</f>
        <v/>
      </c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>
        <f>IF(AND(O19&lt;&gt;"",D19&lt;&gt;""),O19-D19,"")</f>
        <v/>
      </c>
      <c r="Q19" s="85" t="n"/>
    </row>
    <row r="20" ht="15" customHeight="1" s="64">
      <c r="A20" s="81" t="n"/>
      <c r="B20" s="81" t="n"/>
      <c r="C20" s="81" t="n"/>
      <c r="D20" s="81" t="n"/>
      <c r="E20" s="81" t="n"/>
      <c r="F20" s="81" t="n"/>
      <c r="G20" s="81">
        <f>COUNTA(D20:F20)</f>
        <v/>
      </c>
      <c r="H20" s="81" t="n"/>
      <c r="I20" s="81" t="n"/>
      <c r="J20" s="81" t="n"/>
      <c r="K20" s="81" t="n"/>
      <c r="L20" s="81" t="n"/>
      <c r="M20" s="81" t="n"/>
      <c r="N20" s="81" t="n"/>
      <c r="O20" s="81" t="n"/>
      <c r="P20" s="81">
        <f>IF(AND(O20&lt;&gt;"",D20&lt;&gt;""),O20-D20,"")</f>
        <v/>
      </c>
      <c r="Q20" s="81" t="n"/>
    </row>
    <row r="21" ht="15" customHeight="1" s="64">
      <c r="A21" s="85" t="n"/>
      <c r="B21" s="85" t="n"/>
      <c r="C21" s="85" t="n"/>
      <c r="D21" s="85" t="n"/>
      <c r="E21" s="85" t="n"/>
      <c r="F21" s="85" t="n"/>
      <c r="G21" s="85">
        <f>COUNTA(D21:F21)</f>
        <v/>
      </c>
      <c r="H21" s="85" t="n"/>
      <c r="I21" s="85" t="n"/>
      <c r="J21" s="85" t="n"/>
      <c r="K21" s="85" t="n"/>
      <c r="L21" s="85" t="n"/>
      <c r="M21" s="85" t="n"/>
      <c r="N21" s="85" t="n"/>
      <c r="O21" s="85" t="n"/>
      <c r="P21" s="85">
        <f>IF(AND(O21&lt;&gt;"",D21&lt;&gt;""),O21-D21,"")</f>
        <v/>
      </c>
      <c r="Q21" s="85" t="n"/>
    </row>
    <row r="22" ht="15" customHeight="1" s="64">
      <c r="A22" s="81" t="n"/>
      <c r="B22" s="81" t="n"/>
      <c r="C22" s="81" t="n"/>
      <c r="D22" s="81" t="n"/>
      <c r="E22" s="81" t="n"/>
      <c r="F22" s="81" t="n"/>
      <c r="G22" s="81">
        <f>COUNTA(D22:F22)</f>
        <v/>
      </c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>
        <f>IF(AND(O22&lt;&gt;"",D22&lt;&gt;""),O22-D22,"")</f>
        <v/>
      </c>
      <c r="Q22" s="81" t="n"/>
    </row>
    <row r="23" ht="15" customHeight="1" s="64">
      <c r="A23" s="85" t="n"/>
      <c r="B23" s="85" t="n"/>
      <c r="C23" s="85" t="n"/>
      <c r="D23" s="85" t="n"/>
      <c r="E23" s="85" t="n"/>
      <c r="F23" s="85" t="n"/>
      <c r="G23" s="85">
        <f>COUNTA(D23:F23)</f>
        <v/>
      </c>
      <c r="H23" s="85" t="n"/>
      <c r="I23" s="85" t="n"/>
      <c r="J23" s="85" t="n"/>
      <c r="K23" s="85" t="n"/>
      <c r="L23" s="85" t="n"/>
      <c r="M23" s="85" t="n"/>
      <c r="N23" s="85" t="n"/>
      <c r="O23" s="85" t="n"/>
      <c r="P23" s="85">
        <f>IF(AND(O23&lt;&gt;"",D23&lt;&gt;""),O23-D23,"")</f>
        <v/>
      </c>
      <c r="Q23" s="85" t="n"/>
    </row>
    <row r="24" ht="15" customHeight="1" s="64">
      <c r="A24" s="81" t="n"/>
      <c r="B24" s="81" t="n"/>
      <c r="C24" s="81" t="n"/>
      <c r="D24" s="81" t="n"/>
      <c r="E24" s="81" t="n"/>
      <c r="F24" s="81" t="n"/>
      <c r="G24" s="81">
        <f>COUNTA(D24:F24)</f>
        <v/>
      </c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>
        <f>IF(AND(O24&lt;&gt;"",D24&lt;&gt;""),O24-D24,"")</f>
        <v/>
      </c>
      <c r="Q24" s="81" t="n"/>
    </row>
    <row r="25" ht="15" customHeight="1" s="64">
      <c r="A25" s="85" t="n"/>
      <c r="B25" s="85" t="n"/>
      <c r="C25" s="85" t="n"/>
      <c r="D25" s="85" t="n"/>
      <c r="E25" s="85" t="n"/>
      <c r="F25" s="85" t="n"/>
      <c r="G25" s="85">
        <f>COUNTA(D25:F25)</f>
        <v/>
      </c>
      <c r="H25" s="85" t="n"/>
      <c r="I25" s="85" t="n"/>
      <c r="J25" s="85" t="n"/>
      <c r="K25" s="85" t="n"/>
      <c r="L25" s="85" t="n"/>
      <c r="M25" s="85" t="n"/>
      <c r="N25" s="85" t="n"/>
      <c r="O25" s="85" t="n"/>
      <c r="P25" s="85">
        <f>IF(AND(O25&lt;&gt;"",D25&lt;&gt;""),O25-D25,"")</f>
        <v/>
      </c>
      <c r="Q25" s="85" t="n"/>
    </row>
    <row r="26" ht="15" customHeight="1" s="64">
      <c r="A26" s="81" t="n"/>
      <c r="B26" s="81" t="n"/>
      <c r="C26" s="81" t="n"/>
      <c r="D26" s="81" t="n"/>
      <c r="E26" s="81" t="n"/>
      <c r="F26" s="81" t="n"/>
      <c r="G26" s="81">
        <f>COUNTA(D26:F26)</f>
        <v/>
      </c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>
        <f>IF(AND(O26&lt;&gt;"",D26&lt;&gt;""),O26-D26,"")</f>
        <v/>
      </c>
      <c r="Q26" s="81" t="n"/>
    </row>
    <row r="27" ht="15" customHeight="1" s="64">
      <c r="A27" s="85" t="n"/>
      <c r="B27" s="85" t="n"/>
      <c r="C27" s="85" t="n"/>
      <c r="D27" s="85" t="n"/>
      <c r="E27" s="85" t="n"/>
      <c r="F27" s="85" t="n"/>
      <c r="G27" s="85">
        <f>COUNTA(D27:F27)</f>
        <v/>
      </c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>
        <f>IF(AND(O27&lt;&gt;"",D27&lt;&gt;""),O27-D27,"")</f>
        <v/>
      </c>
      <c r="Q27" s="85" t="n"/>
    </row>
    <row r="28" ht="15" customHeight="1" s="64">
      <c r="A28" s="81" t="n"/>
      <c r="B28" s="81" t="n"/>
      <c r="C28" s="81" t="n"/>
      <c r="D28" s="81" t="n"/>
      <c r="E28" s="81" t="n"/>
      <c r="F28" s="81" t="n"/>
      <c r="G28" s="81">
        <f>COUNTA(D28:F28)</f>
        <v/>
      </c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>
        <f>IF(AND(O28&lt;&gt;"",D28&lt;&gt;""),O28-D28,"")</f>
        <v/>
      </c>
      <c r="Q28" s="81" t="n"/>
    </row>
    <row r="29" ht="15" customHeight="1" s="64">
      <c r="A29" s="85" t="n"/>
      <c r="B29" s="85" t="n"/>
      <c r="C29" s="85" t="n"/>
      <c r="D29" s="85" t="n"/>
      <c r="E29" s="85" t="n"/>
      <c r="F29" s="85" t="n"/>
      <c r="G29" s="85">
        <f>COUNTA(D29:F29)</f>
        <v/>
      </c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>
        <f>IF(AND(O29&lt;&gt;"",D29&lt;&gt;""),O29-D29,"")</f>
        <v/>
      </c>
      <c r="Q29" s="85" t="n"/>
    </row>
    <row r="30" ht="15" customHeight="1" s="64">
      <c r="A30" s="81" t="n"/>
      <c r="B30" s="81" t="n"/>
      <c r="C30" s="81" t="n"/>
      <c r="D30" s="81" t="n"/>
      <c r="E30" s="81" t="n"/>
      <c r="F30" s="81" t="n"/>
      <c r="G30" s="81">
        <f>COUNTA(D30:F30)</f>
        <v/>
      </c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>
        <f>IF(AND(O30&lt;&gt;"",D30&lt;&gt;""),O30-D30,"")</f>
        <v/>
      </c>
      <c r="Q30" s="81" t="n"/>
    </row>
    <row r="31" ht="15" customHeight="1" s="64">
      <c r="A31" s="85" t="n"/>
      <c r="B31" s="85" t="n"/>
      <c r="C31" s="85" t="n"/>
      <c r="D31" s="85" t="n"/>
      <c r="E31" s="85" t="n"/>
      <c r="F31" s="85" t="n"/>
      <c r="G31" s="85">
        <f>COUNTA(D31:F31)</f>
        <v/>
      </c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>
        <f>IF(AND(O31&lt;&gt;"",D31&lt;&gt;""),O31-D31,"")</f>
        <v/>
      </c>
      <c r="Q31" s="85" t="n"/>
    </row>
    <row r="32" ht="15" customHeight="1" s="64">
      <c r="A32" s="81" t="n"/>
      <c r="B32" s="81" t="n"/>
      <c r="C32" s="81" t="n"/>
      <c r="D32" s="81" t="n"/>
      <c r="E32" s="81" t="n"/>
      <c r="F32" s="81" t="n"/>
      <c r="G32" s="81">
        <f>COUNTA(D32:F32)</f>
        <v/>
      </c>
      <c r="H32" s="81" t="n"/>
      <c r="I32" s="81" t="n"/>
      <c r="J32" s="81" t="n"/>
      <c r="K32" s="81" t="n"/>
      <c r="L32" s="81" t="n"/>
      <c r="M32" s="81" t="n"/>
      <c r="N32" s="81" t="n"/>
      <c r="O32" s="81" t="n"/>
      <c r="P32" s="81">
        <f>IF(AND(O32&lt;&gt;"",D32&lt;&gt;""),O32-D32,"")</f>
        <v/>
      </c>
      <c r="Q32" s="81" t="n"/>
    </row>
    <row r="33" ht="15" customHeight="1" s="64">
      <c r="A33" s="85" t="n"/>
      <c r="B33" s="85" t="n"/>
      <c r="C33" s="85" t="n"/>
      <c r="D33" s="85" t="n"/>
      <c r="E33" s="85" t="n"/>
      <c r="F33" s="85" t="n"/>
      <c r="G33" s="85">
        <f>COUNTA(D33:F33)</f>
        <v/>
      </c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>
        <f>IF(AND(O33&lt;&gt;"",D33&lt;&gt;""),O33-D33,"")</f>
        <v/>
      </c>
      <c r="Q33" s="85" t="n"/>
    </row>
    <row r="34" ht="15" customHeight="1" s="64">
      <c r="A34" s="81" t="n"/>
      <c r="B34" s="81" t="n"/>
      <c r="C34" s="81" t="n"/>
      <c r="D34" s="81" t="n"/>
      <c r="E34" s="81" t="n"/>
      <c r="F34" s="81" t="n"/>
      <c r="G34" s="81">
        <f>COUNTA(D34:F34)</f>
        <v/>
      </c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>
        <f>IF(AND(O34&lt;&gt;"",D34&lt;&gt;""),O34-D34,"")</f>
        <v/>
      </c>
      <c r="Q34" s="81" t="n"/>
    </row>
    <row r="35" ht="15" customHeight="1" s="64">
      <c r="A35" s="85" t="n"/>
      <c r="B35" s="85" t="n"/>
      <c r="C35" s="85" t="n"/>
      <c r="D35" s="85" t="n"/>
      <c r="E35" s="85" t="n"/>
      <c r="F35" s="85" t="n"/>
      <c r="G35" s="85">
        <f>COUNTA(D35:F35)</f>
        <v/>
      </c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>
        <f>IF(AND(O35&lt;&gt;"",D35&lt;&gt;""),O35-D35,"")</f>
        <v/>
      </c>
      <c r="Q35" s="85" t="n"/>
    </row>
    <row r="36" ht="15" customHeight="1" s="64">
      <c r="A36" s="81" t="n"/>
      <c r="B36" s="81" t="n"/>
      <c r="C36" s="81" t="n"/>
      <c r="D36" s="81" t="n"/>
      <c r="E36" s="81" t="n"/>
      <c r="F36" s="81" t="n"/>
      <c r="G36" s="81">
        <f>COUNTA(D36:F36)</f>
        <v/>
      </c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>
        <f>IF(AND(O36&lt;&gt;"",D36&lt;&gt;""),O36-D36,"")</f>
        <v/>
      </c>
      <c r="Q36" s="81" t="n"/>
    </row>
    <row r="37" ht="15" customHeight="1" s="64">
      <c r="A37" s="85" t="n"/>
      <c r="B37" s="85" t="n"/>
      <c r="C37" s="85" t="n"/>
      <c r="D37" s="85" t="n"/>
      <c r="E37" s="85" t="n"/>
      <c r="F37" s="85" t="n"/>
      <c r="G37" s="85">
        <f>COUNTA(D37:F37)</f>
        <v/>
      </c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>
        <f>IF(AND(O37&lt;&gt;"",D37&lt;&gt;""),O37-D37,"")</f>
        <v/>
      </c>
      <c r="Q37" s="85" t="n"/>
    </row>
    <row r="38" ht="15" customHeight="1" s="64">
      <c r="A38" s="81" t="n"/>
      <c r="B38" s="81" t="n"/>
      <c r="C38" s="81" t="n"/>
      <c r="D38" s="81" t="n"/>
      <c r="E38" s="81" t="n"/>
      <c r="F38" s="81" t="n"/>
      <c r="G38" s="81">
        <f>COUNTA(D38:F38)</f>
        <v/>
      </c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>
        <f>IF(AND(O38&lt;&gt;"",D38&lt;&gt;""),O38-D38,"")</f>
        <v/>
      </c>
      <c r="Q38" s="81" t="n"/>
    </row>
    <row r="39" ht="15" customHeight="1" s="64">
      <c r="A39" s="85" t="n"/>
      <c r="B39" s="85" t="n"/>
      <c r="C39" s="85" t="n"/>
      <c r="D39" s="85" t="n"/>
      <c r="E39" s="85" t="n"/>
      <c r="F39" s="85" t="n"/>
      <c r="G39" s="85">
        <f>COUNTA(D39:F39)</f>
        <v/>
      </c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>
        <f>IF(AND(O39&lt;&gt;"",D39&lt;&gt;""),O39-D39,"")</f>
        <v/>
      </c>
      <c r="Q39" s="85" t="n"/>
    </row>
    <row r="40" ht="15" customHeight="1" s="64">
      <c r="A40" s="81" t="n"/>
      <c r="B40" s="81" t="n"/>
      <c r="C40" s="81" t="n"/>
      <c r="D40" s="81" t="n"/>
      <c r="E40" s="81" t="n"/>
      <c r="F40" s="81" t="n"/>
      <c r="G40" s="81">
        <f>COUNTA(D40:F40)</f>
        <v/>
      </c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>
        <f>IF(AND(O40&lt;&gt;"",D40&lt;&gt;""),O40-D40,"")</f>
        <v/>
      </c>
      <c r="Q40" s="81" t="n"/>
    </row>
    <row r="41" ht="15" customHeight="1" s="64">
      <c r="A41" s="85" t="n"/>
      <c r="B41" s="85" t="n"/>
      <c r="C41" s="85" t="n"/>
      <c r="D41" s="85" t="n"/>
      <c r="E41" s="85" t="n"/>
      <c r="F41" s="85" t="n"/>
      <c r="G41" s="85">
        <f>COUNTA(D41:F41)</f>
        <v/>
      </c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>
        <f>IF(AND(O41&lt;&gt;"",D41&lt;&gt;""),O41-D41,"")</f>
        <v/>
      </c>
      <c r="Q41" s="85" t="n"/>
    </row>
    <row r="42" ht="15" customHeight="1" s="64">
      <c r="A42" s="81" t="n"/>
      <c r="B42" s="81" t="n"/>
      <c r="C42" s="81" t="n"/>
      <c r="D42" s="81" t="n"/>
      <c r="E42" s="81" t="n"/>
      <c r="F42" s="81" t="n"/>
      <c r="G42" s="81">
        <f>COUNTA(D42:F42)</f>
        <v/>
      </c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>
        <f>IF(AND(O42&lt;&gt;"",D42&lt;&gt;""),O42-D42,"")</f>
        <v/>
      </c>
      <c r="Q42" s="81" t="n"/>
    </row>
    <row r="43" ht="15" customHeight="1" s="64">
      <c r="A43" s="85" t="n"/>
      <c r="B43" s="85" t="n"/>
      <c r="C43" s="85" t="n"/>
      <c r="D43" s="85" t="n"/>
      <c r="E43" s="85" t="n"/>
      <c r="F43" s="85" t="n"/>
      <c r="G43" s="85">
        <f>COUNTA(D43:F43)</f>
        <v/>
      </c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>
        <f>IF(AND(O43&lt;&gt;"",D43&lt;&gt;""),O43-D43,"")</f>
        <v/>
      </c>
      <c r="Q43" s="85" t="n"/>
    </row>
    <row r="44" ht="15" customHeight="1" s="64">
      <c r="A44" s="81" t="n"/>
      <c r="B44" s="81" t="n"/>
      <c r="C44" s="81" t="n"/>
      <c r="D44" s="81" t="n"/>
      <c r="E44" s="81" t="n"/>
      <c r="F44" s="81" t="n"/>
      <c r="G44" s="81">
        <f>COUNTA(D44:F44)</f>
        <v/>
      </c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>
        <f>IF(AND(O44&lt;&gt;"",D44&lt;&gt;""),O44-D44,"")</f>
        <v/>
      </c>
      <c r="Q44" s="81" t="n"/>
    </row>
    <row r="45" ht="15" customHeight="1" s="64">
      <c r="A45" s="85" t="n"/>
      <c r="B45" s="85" t="n"/>
      <c r="C45" s="85" t="n"/>
      <c r="D45" s="85" t="n"/>
      <c r="E45" s="85" t="n"/>
      <c r="F45" s="85" t="n"/>
      <c r="G45" s="85">
        <f>COUNTA(D45:F45)</f>
        <v/>
      </c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>
        <f>IF(AND(O45&lt;&gt;"",D45&lt;&gt;""),O45-D45,"")</f>
        <v/>
      </c>
      <c r="Q45" s="85" t="n"/>
    </row>
    <row r="46" ht="15" customHeight="1" s="64">
      <c r="A46" s="81" t="n"/>
      <c r="B46" s="81" t="n"/>
      <c r="C46" s="81" t="n"/>
      <c r="D46" s="81" t="n"/>
      <c r="E46" s="81" t="n"/>
      <c r="F46" s="81" t="n"/>
      <c r="G46" s="81">
        <f>COUNTA(D46:F46)</f>
        <v/>
      </c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>
        <f>IF(AND(O46&lt;&gt;"",D46&lt;&gt;""),O46-D46,"")</f>
        <v/>
      </c>
      <c r="Q46" s="81" t="n"/>
    </row>
    <row r="47" ht="15" customHeight="1" s="64">
      <c r="A47" s="85" t="n"/>
      <c r="B47" s="85" t="n"/>
      <c r="C47" s="85" t="n"/>
      <c r="D47" s="85" t="n"/>
      <c r="E47" s="85" t="n"/>
      <c r="F47" s="85" t="n"/>
      <c r="G47" s="85">
        <f>COUNTA(D47:F47)</f>
        <v/>
      </c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>
        <f>IF(AND(O47&lt;&gt;"",D47&lt;&gt;""),O47-D47,"")</f>
        <v/>
      </c>
      <c r="Q47" s="85" t="n"/>
    </row>
    <row r="48" ht="15" customHeight="1" s="64">
      <c r="A48" s="81" t="n"/>
      <c r="B48" s="81" t="n"/>
      <c r="C48" s="81" t="n"/>
      <c r="D48" s="81" t="n"/>
      <c r="E48" s="81" t="n"/>
      <c r="F48" s="81" t="n"/>
      <c r="G48" s="81">
        <f>COUNTA(D48:F48)</f>
        <v/>
      </c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>
        <f>IF(AND(O48&lt;&gt;"",D48&lt;&gt;""),O48-D48,"")</f>
        <v/>
      </c>
      <c r="Q48" s="81" t="n"/>
    </row>
    <row r="49" ht="15" customHeight="1" s="64">
      <c r="A49" s="85" t="n"/>
      <c r="B49" s="85" t="n"/>
      <c r="C49" s="85" t="n"/>
      <c r="D49" s="85" t="n"/>
      <c r="E49" s="85" t="n"/>
      <c r="F49" s="85" t="n"/>
      <c r="G49" s="85">
        <f>COUNTA(D49:F49)</f>
        <v/>
      </c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>
        <f>IF(AND(O49&lt;&gt;"",D49&lt;&gt;""),O49-D49,"")</f>
        <v/>
      </c>
      <c r="Q49" s="85" t="n"/>
    </row>
    <row r="50" ht="15" customHeight="1" s="64">
      <c r="A50" s="81" t="n"/>
      <c r="B50" s="81" t="n"/>
      <c r="C50" s="81" t="n"/>
      <c r="D50" s="81" t="n"/>
      <c r="E50" s="81" t="n"/>
      <c r="F50" s="81" t="n"/>
      <c r="G50" s="81">
        <f>COUNTA(D50:F50)</f>
        <v/>
      </c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>
        <f>IF(AND(O50&lt;&gt;"",D50&lt;&gt;""),O50-D50,"")</f>
        <v/>
      </c>
      <c r="Q50" s="81" t="n"/>
    </row>
    <row r="51" ht="15" customHeight="1" s="64">
      <c r="A51" s="85" t="n"/>
      <c r="B51" s="85" t="n"/>
      <c r="C51" s="85" t="n"/>
      <c r="D51" s="85" t="n"/>
      <c r="E51" s="85" t="n"/>
      <c r="F51" s="85" t="n"/>
      <c r="G51" s="85">
        <f>COUNTA(D51:F51)</f>
        <v/>
      </c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>
        <f>IF(AND(O51&lt;&gt;"",D51&lt;&gt;""),O51-D51,"")</f>
        <v/>
      </c>
      <c r="Q51" s="85" t="n"/>
    </row>
    <row r="52" ht="15" customHeight="1" s="64">
      <c r="A52" s="81" t="n"/>
      <c r="B52" s="81" t="n"/>
      <c r="C52" s="81" t="n"/>
      <c r="D52" s="81" t="n"/>
      <c r="E52" s="81" t="n"/>
      <c r="F52" s="81" t="n"/>
      <c r="G52" s="81">
        <f>COUNTA(D52:F52)</f>
        <v/>
      </c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>
        <f>IF(AND(O52&lt;&gt;"",D52&lt;&gt;""),O52-D52,"")</f>
        <v/>
      </c>
      <c r="Q52" s="81" t="n"/>
    </row>
    <row r="53" ht="15" customHeight="1" s="64">
      <c r="A53" s="85" t="n"/>
      <c r="B53" s="85" t="n"/>
      <c r="C53" s="85" t="n"/>
      <c r="D53" s="85" t="n"/>
      <c r="E53" s="85" t="n"/>
      <c r="F53" s="85" t="n"/>
      <c r="G53" s="85">
        <f>COUNTA(D53:F53)</f>
        <v/>
      </c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>
        <f>IF(AND(O53&lt;&gt;"",D53&lt;&gt;""),O53-D53,"")</f>
        <v/>
      </c>
      <c r="Q53" s="85" t="n"/>
    </row>
    <row r="54" ht="15" customHeight="1" s="64">
      <c r="A54" s="81" t="n"/>
      <c r="B54" s="81" t="n"/>
      <c r="C54" s="81" t="n"/>
      <c r="D54" s="81" t="n"/>
      <c r="E54" s="81" t="n"/>
      <c r="F54" s="81" t="n"/>
      <c r="G54" s="81">
        <f>COUNTA(D54:F54)</f>
        <v/>
      </c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>
        <f>IF(AND(O54&lt;&gt;"",D54&lt;&gt;""),O54-D54,"")</f>
        <v/>
      </c>
      <c r="Q54" s="81" t="n"/>
    </row>
    <row r="55" ht="15" customHeight="1" s="64">
      <c r="G55" s="63">
        <f>COUNTA(D55:F55)</f>
        <v/>
      </c>
      <c r="P55" s="63">
        <f>IF(AND(O55&lt;&gt;"",D55&lt;&gt;""),O55-D55,"")</f>
        <v/>
      </c>
    </row>
    <row r="56" ht="15" customHeight="1" s="64">
      <c r="G56" s="63">
        <f>COUNTA(D56:F56)</f>
        <v/>
      </c>
      <c r="P56" s="63">
        <f>IF(AND(O56&lt;&gt;"",D56&lt;&gt;""),O56-D56,"")</f>
        <v/>
      </c>
    </row>
    <row r="57" ht="15" customHeight="1" s="64">
      <c r="G57" s="63">
        <f>COUNTA(D57:F57)</f>
        <v/>
      </c>
      <c r="P57" s="63">
        <f>IF(AND(O57&lt;&gt;"",D57&lt;&gt;""),O57-D57,"")</f>
        <v/>
      </c>
    </row>
    <row r="58" ht="15" customHeight="1" s="64">
      <c r="G58" s="63">
        <f>COUNTA(D58:F58)</f>
        <v/>
      </c>
      <c r="P58" s="63">
        <f>IF(AND(O58&lt;&gt;"",D58&lt;&gt;""),O58-D58,"")</f>
        <v/>
      </c>
    </row>
    <row r="59" ht="15" customHeight="1" s="64">
      <c r="G59" s="63">
        <f>COUNTA(D59:F59)</f>
        <v/>
      </c>
      <c r="P59" s="63">
        <f>IF(AND(O59&lt;&gt;"",D59&lt;&gt;""),O59-D59,"")</f>
        <v/>
      </c>
    </row>
    <row r="60" ht="15" customHeight="1" s="64">
      <c r="G60" s="63">
        <f>COUNTA(D60:F60)</f>
        <v/>
      </c>
      <c r="P60" s="63">
        <f>IF(AND(O60&lt;&gt;"",D60&lt;&gt;""),O60-D60,"")</f>
        <v/>
      </c>
    </row>
    <row r="61" ht="15" customHeight="1" s="64">
      <c r="G61" s="63">
        <f>COUNTA(D61:F61)</f>
        <v/>
      </c>
      <c r="P61" s="63">
        <f>IF(AND(O61&lt;&gt;"",D61&lt;&gt;""),O61-D61,"")</f>
        <v/>
      </c>
    </row>
    <row r="62" ht="15" customHeight="1" s="64">
      <c r="G62" s="63">
        <f>COUNTA(D62:F62)</f>
        <v/>
      </c>
      <c r="P62" s="63">
        <f>IF(AND(O62&lt;&gt;"",D62&lt;&gt;""),O62-D62,"")</f>
        <v/>
      </c>
    </row>
    <row r="63" ht="15" customHeight="1" s="64">
      <c r="G63" s="63">
        <f>COUNTA(D63:F63)</f>
        <v/>
      </c>
      <c r="P63" s="63">
        <f>IF(AND(O63&lt;&gt;"",D63&lt;&gt;""),O63-D63,"")</f>
        <v/>
      </c>
    </row>
    <row r="64" ht="15" customHeight="1" s="64">
      <c r="G64" s="63">
        <f>COUNTA(D64:F64)</f>
        <v/>
      </c>
      <c r="P64" s="63">
        <f>IF(AND(O64&lt;&gt;"",D64&lt;&gt;""),O64-D64,"")</f>
        <v/>
      </c>
    </row>
    <row r="65" ht="15" customHeight="1" s="64">
      <c r="G65" s="63">
        <f>COUNTA(D65:F65)</f>
        <v/>
      </c>
      <c r="P65" s="63">
        <f>IF(AND(O65&lt;&gt;"",D65&lt;&gt;""),O65-D65,"")</f>
        <v/>
      </c>
    </row>
    <row r="66" ht="15" customHeight="1" s="64">
      <c r="G66" s="63">
        <f>COUNTA(D66:F66)</f>
        <v/>
      </c>
      <c r="P66" s="63">
        <f>IF(AND(O66&lt;&gt;"",D66&lt;&gt;""),O66-D66,"")</f>
        <v/>
      </c>
    </row>
    <row r="67" ht="15" customHeight="1" s="64">
      <c r="G67" s="63">
        <f>COUNTA(D67:F67)</f>
        <v/>
      </c>
      <c r="P67" s="63">
        <f>IF(AND(O67&lt;&gt;"",D67&lt;&gt;""),O67-D67,"")</f>
        <v/>
      </c>
    </row>
    <row r="68" ht="15" customHeight="1" s="64">
      <c r="G68" s="63">
        <f>COUNTA(D68:F68)</f>
        <v/>
      </c>
      <c r="P68" s="63">
        <f>IF(AND(O68&lt;&gt;"",D68&lt;&gt;""),O68-D68,"")</f>
        <v/>
      </c>
    </row>
    <row r="69" ht="15" customHeight="1" s="64">
      <c r="G69" s="63">
        <f>COUNTA(D69:F69)</f>
        <v/>
      </c>
      <c r="P69" s="63">
        <f>IF(AND(O69&lt;&gt;"",D69&lt;&gt;""),O69-D69,"")</f>
        <v/>
      </c>
    </row>
    <row r="70" ht="15" customHeight="1" s="64">
      <c r="G70" s="63">
        <f>COUNTA(D70:F70)</f>
        <v/>
      </c>
      <c r="P70" s="63">
        <f>IF(AND(O70&lt;&gt;"",D70&lt;&gt;""),O70-D70,"")</f>
        <v/>
      </c>
    </row>
    <row r="71" ht="15" customHeight="1" s="64">
      <c r="G71" s="63">
        <f>COUNTA(D71:F71)</f>
        <v/>
      </c>
      <c r="P71" s="63">
        <f>IF(AND(O71&lt;&gt;"",D71&lt;&gt;""),O71-D71,"")</f>
        <v/>
      </c>
    </row>
    <row r="72" ht="15" customHeight="1" s="64">
      <c r="G72" s="63">
        <f>COUNTA(D72:F72)</f>
        <v/>
      </c>
      <c r="P72" s="63">
        <f>IF(AND(O72&lt;&gt;"",D72&lt;&gt;""),O72-D72,"")</f>
        <v/>
      </c>
    </row>
    <row r="73" ht="15" customHeight="1" s="64">
      <c r="G73" s="63">
        <f>COUNTA(D73:F73)</f>
        <v/>
      </c>
      <c r="P73" s="63">
        <f>IF(AND(O73&lt;&gt;"",D73&lt;&gt;""),O73-D73,"")</f>
        <v/>
      </c>
    </row>
    <row r="74" ht="15" customHeight="1" s="64">
      <c r="G74" s="63">
        <f>COUNTA(D74:F74)</f>
        <v/>
      </c>
      <c r="P74" s="63">
        <f>IF(AND(O74&lt;&gt;"",D74&lt;&gt;""),O74-D74,"")</f>
        <v/>
      </c>
    </row>
    <row r="75" ht="15" customHeight="1" s="64">
      <c r="G75" s="63">
        <f>COUNTA(D75:F75)</f>
        <v/>
      </c>
      <c r="P75" s="63">
        <f>IF(AND(O75&lt;&gt;"",D75&lt;&gt;""),O75-D75,"")</f>
        <v/>
      </c>
    </row>
    <row r="76" ht="15" customHeight="1" s="64">
      <c r="G76" s="63">
        <f>COUNTA(D76:F76)</f>
        <v/>
      </c>
      <c r="P76" s="63">
        <f>IF(AND(O76&lt;&gt;"",D76&lt;&gt;""),O76-D76,"")</f>
        <v/>
      </c>
    </row>
    <row r="77" ht="15" customHeight="1" s="64">
      <c r="G77" s="63">
        <f>COUNTA(D77:F77)</f>
        <v/>
      </c>
      <c r="P77" s="63">
        <f>IF(AND(O77&lt;&gt;"",D77&lt;&gt;""),O77-D77,"")</f>
        <v/>
      </c>
    </row>
    <row r="78" ht="15" customHeight="1" s="64">
      <c r="G78" s="63">
        <f>COUNTA(D78:F78)</f>
        <v/>
      </c>
      <c r="P78" s="63">
        <f>IF(AND(O78&lt;&gt;"",D78&lt;&gt;""),O78-D78,"")</f>
        <v/>
      </c>
    </row>
    <row r="79" ht="15" customHeight="1" s="64">
      <c r="G79" s="63">
        <f>COUNTA(D79:F79)</f>
        <v/>
      </c>
      <c r="P79" s="63">
        <f>IF(AND(O79&lt;&gt;"",D79&lt;&gt;""),O79-D79,"")</f>
        <v/>
      </c>
    </row>
    <row r="80" ht="15" customHeight="1" s="64">
      <c r="G80" s="63">
        <f>COUNTA(D80:F80)</f>
        <v/>
      </c>
      <c r="P80" s="63">
        <f>IF(AND(O80&lt;&gt;"",D80&lt;&gt;""),O80-D80,"")</f>
        <v/>
      </c>
    </row>
    <row r="81" ht="15" customHeight="1" s="64">
      <c r="G81" s="63">
        <f>COUNTA(D81:F81)</f>
        <v/>
      </c>
      <c r="P81" s="63">
        <f>IF(AND(O81&lt;&gt;"",D81&lt;&gt;""),O81-D81,"")</f>
        <v/>
      </c>
    </row>
    <row r="82" ht="15" customHeight="1" s="64">
      <c r="G82" s="63">
        <f>COUNTA(D82:F82)</f>
        <v/>
      </c>
      <c r="P82" s="63">
        <f>IF(AND(O82&lt;&gt;"",D82&lt;&gt;""),O82-D82,"")</f>
        <v/>
      </c>
    </row>
    <row r="83" ht="15" customHeight="1" s="64">
      <c r="G83" s="63">
        <f>COUNTA(D83:F83)</f>
        <v/>
      </c>
      <c r="P83" s="63">
        <f>IF(AND(O83&lt;&gt;"",D83&lt;&gt;""),O83-D83,"")</f>
        <v/>
      </c>
    </row>
    <row r="84" ht="15" customHeight="1" s="64">
      <c r="G84" s="63">
        <f>COUNTA(D84:F84)</f>
        <v/>
      </c>
      <c r="P84" s="63">
        <f>IF(AND(O84&lt;&gt;"",D84&lt;&gt;""),O84-D84,"")</f>
        <v/>
      </c>
    </row>
    <row r="85" ht="15" customHeight="1" s="64">
      <c r="G85" s="63">
        <f>COUNTA(D85:F85)</f>
        <v/>
      </c>
      <c r="P85" s="63">
        <f>IF(AND(O85&lt;&gt;"",D85&lt;&gt;""),O85-D85,"")</f>
        <v/>
      </c>
    </row>
    <row r="86" ht="15" customHeight="1" s="64">
      <c r="G86" s="63">
        <f>COUNTA(D86:F86)</f>
        <v/>
      </c>
      <c r="P86" s="63">
        <f>IF(AND(O86&lt;&gt;"",D86&lt;&gt;""),O86-D86,"")</f>
        <v/>
      </c>
    </row>
    <row r="87" ht="15" customHeight="1" s="64">
      <c r="G87" s="63">
        <f>COUNTA(D87:F87)</f>
        <v/>
      </c>
      <c r="P87" s="63">
        <f>IF(AND(O87&lt;&gt;"",D87&lt;&gt;""),O87-D87,"")</f>
        <v/>
      </c>
    </row>
    <row r="88" ht="15" customHeight="1" s="64">
      <c r="G88" s="63">
        <f>COUNTA(D88:F88)</f>
        <v/>
      </c>
      <c r="P88" s="63">
        <f>IF(AND(O88&lt;&gt;"",D88&lt;&gt;""),O88-D88,"")</f>
        <v/>
      </c>
    </row>
    <row r="89" ht="15" customHeight="1" s="64">
      <c r="G89" s="63">
        <f>COUNTA(D89:F89)</f>
        <v/>
      </c>
      <c r="P89" s="63">
        <f>IF(AND(O89&lt;&gt;"",D89&lt;&gt;""),O89-D89,"")</f>
        <v/>
      </c>
    </row>
    <row r="90" ht="15" customHeight="1" s="64">
      <c r="G90" s="63">
        <f>COUNTA(D90:F90)</f>
        <v/>
      </c>
      <c r="P90" s="63">
        <f>IF(AND(O90&lt;&gt;"",D90&lt;&gt;""),O90-D90,"")</f>
        <v/>
      </c>
    </row>
    <row r="91" ht="15" customHeight="1" s="64">
      <c r="G91" s="63">
        <f>COUNTA(D91:F91)</f>
        <v/>
      </c>
      <c r="P91" s="63">
        <f>IF(AND(O91&lt;&gt;"",D91&lt;&gt;""),O91-D91,"")</f>
        <v/>
      </c>
    </row>
    <row r="92" ht="15" customHeight="1" s="64">
      <c r="G92" s="63">
        <f>COUNTA(D92:F92)</f>
        <v/>
      </c>
      <c r="P92" s="63">
        <f>IF(AND(O92&lt;&gt;"",D92&lt;&gt;""),O92-D92,"")</f>
        <v/>
      </c>
    </row>
    <row r="93" ht="15" customHeight="1" s="64">
      <c r="G93" s="63">
        <f>COUNTA(D93:F93)</f>
        <v/>
      </c>
      <c r="P93" s="63">
        <f>IF(AND(O93&lt;&gt;"",D93&lt;&gt;""),O93-D93,"")</f>
        <v/>
      </c>
    </row>
    <row r="94" ht="15" customHeight="1" s="64">
      <c r="G94" s="63">
        <f>COUNTA(D94:F94)</f>
        <v/>
      </c>
      <c r="P94" s="63">
        <f>IF(AND(O94&lt;&gt;"",D94&lt;&gt;""),O94-D94,"")</f>
        <v/>
      </c>
    </row>
    <row r="95" ht="15" customHeight="1" s="64">
      <c r="G95" s="63">
        <f>COUNTA(D95:F95)</f>
        <v/>
      </c>
      <c r="P95" s="63">
        <f>IF(AND(O95&lt;&gt;"",D95&lt;&gt;""),O95-D95,"")</f>
        <v/>
      </c>
    </row>
    <row r="96" ht="15" customHeight="1" s="64">
      <c r="G96" s="63">
        <f>COUNTA(D96:F96)</f>
        <v/>
      </c>
      <c r="P96" s="63">
        <f>IF(AND(O96&lt;&gt;"",D96&lt;&gt;""),O96-D96,"")</f>
        <v/>
      </c>
    </row>
    <row r="97" ht="15" customHeight="1" s="64">
      <c r="G97" s="63">
        <f>COUNTA(D97:F97)</f>
        <v/>
      </c>
      <c r="P97" s="63">
        <f>IF(AND(O97&lt;&gt;"",D97&lt;&gt;""),O97-D97,"")</f>
        <v/>
      </c>
    </row>
    <row r="98" ht="15" customHeight="1" s="64">
      <c r="G98" s="63">
        <f>COUNTA(D98:F98)</f>
        <v/>
      </c>
      <c r="P98" s="63">
        <f>IF(AND(O98&lt;&gt;"",D98&lt;&gt;""),O98-D98,"")</f>
        <v/>
      </c>
    </row>
    <row r="99" ht="15" customHeight="1" s="64">
      <c r="G99" s="63">
        <f>COUNTA(D99:F99)</f>
        <v/>
      </c>
      <c r="P99" s="63">
        <f>IF(AND(O99&lt;&gt;"",D99&lt;&gt;""),O99-D99,"")</f>
        <v/>
      </c>
    </row>
    <row r="100" ht="15" customHeight="1" s="64">
      <c r="G100" s="63">
        <f>COUNTA(D100:F100)</f>
        <v/>
      </c>
      <c r="P100" s="63">
        <f>IF(AND(O100&lt;&gt;"",D100&lt;&gt;""),O100-D100,"")</f>
        <v/>
      </c>
    </row>
    <row r="101" ht="15" customHeight="1" s="64">
      <c r="G101" s="63">
        <f>COUNTA(D101:F101)</f>
        <v/>
      </c>
      <c r="P101" s="63">
        <f>IF(AND(O101&lt;&gt;"",D101&lt;&gt;""),O101-D101,"")</f>
        <v/>
      </c>
    </row>
    <row r="102" ht="15" customHeight="1" s="64">
      <c r="G102" s="63">
        <f>COUNTA(D102:F102)</f>
        <v/>
      </c>
      <c r="P102" s="63">
        <f>IF(AND(O102&lt;&gt;"",D102&lt;&gt;""),O102-D102,"")</f>
        <v/>
      </c>
    </row>
    <row r="103" ht="15" customHeight="1" s="64">
      <c r="G103" s="63">
        <f>COUNTA(D103:F103)</f>
        <v/>
      </c>
      <c r="P103" s="63">
        <f>IF(AND(O103&lt;&gt;"",D103&lt;&gt;""),O103-D103,"")</f>
        <v/>
      </c>
    </row>
    <row r="104" ht="15" customHeight="1" s="64">
      <c r="G104" s="63">
        <f>COUNTA(D104:F104)</f>
        <v/>
      </c>
      <c r="P104" s="63">
        <f>IF(AND(O104&lt;&gt;"",D104&lt;&gt;""),O104-D104,"")</f>
        <v/>
      </c>
    </row>
    <row r="105" ht="15" customHeight="1" s="64">
      <c r="G105" s="63">
        <f>COUNTA(D105:F105)</f>
        <v/>
      </c>
      <c r="P105" s="63">
        <f>IF(AND(O105&lt;&gt;"",D105&lt;&gt;""),O105-D105,"")</f>
        <v/>
      </c>
    </row>
    <row r="106" ht="15" customHeight="1" s="64">
      <c r="G106" s="63">
        <f>COUNTA(D106:F106)</f>
        <v/>
      </c>
      <c r="P106" s="63">
        <f>IF(AND(O106&lt;&gt;"",D106&lt;&gt;""),O106-D106,"")</f>
        <v/>
      </c>
    </row>
    <row r="107" ht="15" customHeight="1" s="64">
      <c r="G107" s="63">
        <f>COUNTA(D107:F107)</f>
        <v/>
      </c>
      <c r="P107" s="63">
        <f>IF(AND(O107&lt;&gt;"",D107&lt;&gt;""),O107-D107,"")</f>
        <v/>
      </c>
    </row>
    <row r="108" ht="15" customHeight="1" s="64">
      <c r="G108" s="63">
        <f>COUNTA(D108:F108)</f>
        <v/>
      </c>
      <c r="P108" s="63">
        <f>IF(AND(O108&lt;&gt;"",D108&lt;&gt;""),O108-D108,"")</f>
        <v/>
      </c>
    </row>
    <row r="109" ht="15" customHeight="1" s="64">
      <c r="G109" s="63">
        <f>COUNTA(D109:F109)</f>
        <v/>
      </c>
      <c r="P109" s="63">
        <f>IF(AND(O109&lt;&gt;"",D109&lt;&gt;""),O109-D109,"")</f>
        <v/>
      </c>
    </row>
    <row r="110" ht="15" customHeight="1" s="64">
      <c r="G110" s="63">
        <f>COUNTA(D110:F110)</f>
        <v/>
      </c>
      <c r="P110" s="63">
        <f>IF(AND(O110&lt;&gt;"",D110&lt;&gt;""),O110-D110,"")</f>
        <v/>
      </c>
    </row>
    <row r="111" ht="15" customHeight="1" s="64">
      <c r="G111" s="63">
        <f>COUNTA(D111:F111)</f>
        <v/>
      </c>
      <c r="P111" s="63">
        <f>IF(AND(O111&lt;&gt;"",D111&lt;&gt;""),O111-D111,"")</f>
        <v/>
      </c>
    </row>
    <row r="112" ht="15" customHeight="1" s="64">
      <c r="G112" s="63">
        <f>COUNTA(D112:F112)</f>
        <v/>
      </c>
      <c r="P112" s="63">
        <f>IF(AND(O112&lt;&gt;"",D112&lt;&gt;""),O112-D112,"")</f>
        <v/>
      </c>
    </row>
    <row r="113" ht="15" customHeight="1" s="64">
      <c r="G113" s="63">
        <f>COUNTA(D113:F113)</f>
        <v/>
      </c>
      <c r="P113" s="63">
        <f>IF(AND(O113&lt;&gt;"",D113&lt;&gt;""),O113-D113,"")</f>
        <v/>
      </c>
    </row>
    <row r="114" ht="15" customHeight="1" s="64">
      <c r="G114" s="63">
        <f>COUNTA(D114:F114)</f>
        <v/>
      </c>
      <c r="P114" s="63">
        <f>IF(AND(O114&lt;&gt;"",D114&lt;&gt;""),O114-D114,"")</f>
        <v/>
      </c>
    </row>
    <row r="115" ht="15" customHeight="1" s="64">
      <c r="G115" s="63">
        <f>COUNTA(D115:F115)</f>
        <v/>
      </c>
      <c r="P115" s="63">
        <f>IF(AND(O115&lt;&gt;"",D115&lt;&gt;""),O115-D115,"")</f>
        <v/>
      </c>
    </row>
    <row r="116" ht="15" customHeight="1" s="64">
      <c r="G116" s="63">
        <f>COUNTA(D116:F116)</f>
        <v/>
      </c>
      <c r="P116" s="63">
        <f>IF(AND(O116&lt;&gt;"",D116&lt;&gt;""),O116-D116,"")</f>
        <v/>
      </c>
    </row>
    <row r="117" ht="15" customHeight="1" s="64">
      <c r="G117" s="63">
        <f>COUNTA(D117:F117)</f>
        <v/>
      </c>
      <c r="P117" s="63">
        <f>IF(AND(O117&lt;&gt;"",D117&lt;&gt;""),O117-D117,"")</f>
        <v/>
      </c>
    </row>
    <row r="118" ht="15" customHeight="1" s="64">
      <c r="G118" s="63">
        <f>COUNTA(D118:F118)</f>
        <v/>
      </c>
      <c r="P118" s="63">
        <f>IF(AND(O118&lt;&gt;"",D118&lt;&gt;""),O118-D118,"")</f>
        <v/>
      </c>
    </row>
    <row r="119" ht="15" customHeight="1" s="64">
      <c r="G119" s="63">
        <f>COUNTA(D119:F119)</f>
        <v/>
      </c>
      <c r="P119" s="63">
        <f>IF(AND(O119&lt;&gt;"",D119&lt;&gt;""),O119-D119,"")</f>
        <v/>
      </c>
    </row>
    <row r="120" ht="15" customHeight="1" s="64">
      <c r="G120" s="63">
        <f>COUNTA(D120:F120)</f>
        <v/>
      </c>
      <c r="P120" s="63">
        <f>IF(AND(O120&lt;&gt;"",D120&lt;&gt;""),O120-D120,"")</f>
        <v/>
      </c>
    </row>
    <row r="121" ht="15" customHeight="1" s="64">
      <c r="G121" s="63">
        <f>COUNTA(D121:F121)</f>
        <v/>
      </c>
      <c r="P121" s="63">
        <f>IF(AND(O121&lt;&gt;"",D121&lt;&gt;""),O121-D121,"")</f>
        <v/>
      </c>
    </row>
    <row r="122" ht="15" customHeight="1" s="64">
      <c r="G122" s="63">
        <f>COUNTA(D122:F122)</f>
        <v/>
      </c>
      <c r="P122" s="63">
        <f>IF(AND(O122&lt;&gt;"",D122&lt;&gt;""),O122-D122,"")</f>
        <v/>
      </c>
    </row>
    <row r="123" ht="15" customHeight="1" s="64">
      <c r="G123" s="63">
        <f>COUNTA(D123:F123)</f>
        <v/>
      </c>
      <c r="P123" s="63">
        <f>IF(AND(O123&lt;&gt;"",D123&lt;&gt;""),O123-D123,"")</f>
        <v/>
      </c>
    </row>
    <row r="124" ht="15" customHeight="1" s="64">
      <c r="G124" s="63">
        <f>COUNTA(D124:F124)</f>
        <v/>
      </c>
      <c r="P124" s="63">
        <f>IF(AND(O124&lt;&gt;"",D124&lt;&gt;""),O124-D124,"")</f>
        <v/>
      </c>
    </row>
    <row r="125" ht="15" customHeight="1" s="64">
      <c r="G125" s="63">
        <f>COUNTA(D125:F125)</f>
        <v/>
      </c>
      <c r="P125" s="63">
        <f>IF(AND(O125&lt;&gt;"",D125&lt;&gt;""),O125-D125,"")</f>
        <v/>
      </c>
    </row>
    <row r="126" ht="15" customHeight="1" s="64">
      <c r="G126" s="63">
        <f>COUNTA(D126:F126)</f>
        <v/>
      </c>
      <c r="P126" s="63">
        <f>IF(AND(O126&lt;&gt;"",D126&lt;&gt;""),O126-D126,"")</f>
        <v/>
      </c>
    </row>
    <row r="127" ht="15" customHeight="1" s="64">
      <c r="G127" s="63">
        <f>COUNTA(D127:F127)</f>
        <v/>
      </c>
      <c r="P127" s="63">
        <f>IF(AND(O127&lt;&gt;"",D127&lt;&gt;""),O127-D127,"")</f>
        <v/>
      </c>
    </row>
    <row r="128" ht="15" customHeight="1" s="64">
      <c r="G128" s="63">
        <f>COUNTA(D128:F128)</f>
        <v/>
      </c>
      <c r="P128" s="63">
        <f>IF(AND(O128&lt;&gt;"",D128&lt;&gt;""),O128-D128,"")</f>
        <v/>
      </c>
    </row>
    <row r="129" ht="15" customHeight="1" s="64">
      <c r="G129" s="63">
        <f>COUNTA(D129:F129)</f>
        <v/>
      </c>
      <c r="P129" s="63">
        <f>IF(AND(O129&lt;&gt;"",D129&lt;&gt;""),O129-D129,"")</f>
        <v/>
      </c>
    </row>
    <row r="130" ht="15" customHeight="1" s="64">
      <c r="G130" s="63">
        <f>COUNTA(D130:F130)</f>
        <v/>
      </c>
      <c r="P130" s="63">
        <f>IF(AND(O130&lt;&gt;"",D130&lt;&gt;""),O130-D130,"")</f>
        <v/>
      </c>
    </row>
    <row r="131" ht="15" customHeight="1" s="64">
      <c r="G131" s="63">
        <f>COUNTA(D131:F131)</f>
        <v/>
      </c>
      <c r="P131" s="63">
        <f>IF(AND(O131&lt;&gt;"",D131&lt;&gt;""),O131-D131,"")</f>
        <v/>
      </c>
    </row>
    <row r="132" ht="15" customHeight="1" s="64">
      <c r="G132" s="63">
        <f>COUNTA(D132:F132)</f>
        <v/>
      </c>
      <c r="P132" s="63">
        <f>IF(AND(O132&lt;&gt;"",D132&lt;&gt;""),O132-D132,"")</f>
        <v/>
      </c>
    </row>
    <row r="133" ht="15" customHeight="1" s="64">
      <c r="G133" s="63">
        <f>COUNTA(D133:F133)</f>
        <v/>
      </c>
      <c r="P133" s="63">
        <f>IF(AND(O133&lt;&gt;"",D133&lt;&gt;""),O133-D133,"")</f>
        <v/>
      </c>
    </row>
    <row r="134" ht="15" customHeight="1" s="64">
      <c r="G134" s="63">
        <f>COUNTA(D134:F134)</f>
        <v/>
      </c>
      <c r="P134" s="63">
        <f>IF(AND(O134&lt;&gt;"",D134&lt;&gt;""),O134-D134,"")</f>
        <v/>
      </c>
    </row>
    <row r="135" ht="15" customHeight="1" s="64">
      <c r="G135" s="63">
        <f>COUNTA(D135:F135)</f>
        <v/>
      </c>
      <c r="P135" s="63">
        <f>IF(AND(O135&lt;&gt;"",D135&lt;&gt;""),O135-D135,"")</f>
        <v/>
      </c>
    </row>
    <row r="136" ht="15" customHeight="1" s="64">
      <c r="G136" s="63">
        <f>COUNTA(D136:F136)</f>
        <v/>
      </c>
      <c r="P136" s="63">
        <f>IF(AND(O136&lt;&gt;"",D136&lt;&gt;""),O136-D136,"")</f>
        <v/>
      </c>
    </row>
    <row r="137" ht="15" customHeight="1" s="64">
      <c r="G137" s="63">
        <f>COUNTA(D137:F137)</f>
        <v/>
      </c>
      <c r="P137" s="63">
        <f>IF(AND(O137&lt;&gt;"",D137&lt;&gt;""),O137-D137,"")</f>
        <v/>
      </c>
    </row>
    <row r="138" ht="15" customHeight="1" s="64">
      <c r="G138" s="63">
        <f>COUNTA(D138:F138)</f>
        <v/>
      </c>
      <c r="P138" s="63">
        <f>IF(AND(O138&lt;&gt;"",D138&lt;&gt;""),O138-D138,"")</f>
        <v/>
      </c>
    </row>
    <row r="139" ht="15" customHeight="1" s="64">
      <c r="G139" s="63">
        <f>COUNTA(D139:F139)</f>
        <v/>
      </c>
      <c r="P139" s="63">
        <f>IF(AND(O139&lt;&gt;"",D139&lt;&gt;""),O139-D139,"")</f>
        <v/>
      </c>
    </row>
    <row r="140" ht="15" customHeight="1" s="64">
      <c r="G140" s="63">
        <f>COUNTA(D140:F140)</f>
        <v/>
      </c>
      <c r="P140" s="63">
        <f>IF(AND(O140&lt;&gt;"",D140&lt;&gt;""),O140-D140,"")</f>
        <v/>
      </c>
    </row>
    <row r="141" ht="15" customHeight="1" s="64">
      <c r="G141" s="63">
        <f>COUNTA(D141:F141)</f>
        <v/>
      </c>
      <c r="P141" s="63">
        <f>IF(AND(O141&lt;&gt;"",D141&lt;&gt;""),O141-D141,"")</f>
        <v/>
      </c>
    </row>
    <row r="142" ht="15" customHeight="1" s="64">
      <c r="G142" s="63">
        <f>COUNTA(D142:F142)</f>
        <v/>
      </c>
      <c r="P142" s="63">
        <f>IF(AND(O142&lt;&gt;"",D142&lt;&gt;""),O142-D142,"")</f>
        <v/>
      </c>
    </row>
    <row r="143" ht="15" customHeight="1" s="64">
      <c r="G143" s="63">
        <f>COUNTA(D143:F143)</f>
        <v/>
      </c>
      <c r="P143" s="63">
        <f>IF(AND(O143&lt;&gt;"",D143&lt;&gt;""),O143-D143,"")</f>
        <v/>
      </c>
    </row>
    <row r="144" ht="15" customHeight="1" s="64">
      <c r="G144" s="63">
        <f>COUNTA(D144:F144)</f>
        <v/>
      </c>
      <c r="P144" s="63">
        <f>IF(AND(O144&lt;&gt;"",D144&lt;&gt;""),O144-D144,"")</f>
        <v/>
      </c>
    </row>
    <row r="145" ht="15" customHeight="1" s="64">
      <c r="G145" s="63">
        <f>COUNTA(D145:F145)</f>
        <v/>
      </c>
      <c r="P145" s="63">
        <f>IF(AND(O145&lt;&gt;"",D145&lt;&gt;""),O145-D145,"")</f>
        <v/>
      </c>
    </row>
    <row r="146" ht="15" customHeight="1" s="64">
      <c r="G146" s="63">
        <f>COUNTA(D146:F146)</f>
        <v/>
      </c>
      <c r="P146" s="63">
        <f>IF(AND(O146&lt;&gt;"",D146&lt;&gt;""),O146-D146,"")</f>
        <v/>
      </c>
    </row>
    <row r="147" ht="15" customHeight="1" s="64">
      <c r="G147" s="63">
        <f>COUNTA(D147:F147)</f>
        <v/>
      </c>
      <c r="P147" s="63">
        <f>IF(AND(O147&lt;&gt;"",D147&lt;&gt;""),O147-D147,"")</f>
        <v/>
      </c>
    </row>
    <row r="148" ht="15" customHeight="1" s="64">
      <c r="G148" s="63">
        <f>COUNTA(D148:F148)</f>
        <v/>
      </c>
      <c r="P148" s="63">
        <f>IF(AND(O148&lt;&gt;"",D148&lt;&gt;""),O148-D148,"")</f>
        <v/>
      </c>
    </row>
    <row r="149" ht="15" customHeight="1" s="64">
      <c r="G149" s="63">
        <f>COUNTA(D149:F149)</f>
        <v/>
      </c>
      <c r="P149" s="63">
        <f>IF(AND(O149&lt;&gt;"",D149&lt;&gt;""),O149-D149,"")</f>
        <v/>
      </c>
    </row>
    <row r="150" ht="15" customHeight="1" s="64">
      <c r="G150" s="63">
        <f>COUNTA(D150:F150)</f>
        <v/>
      </c>
      <c r="P150" s="63">
        <f>IF(AND(O150&lt;&gt;"",D150&lt;&gt;""),O150-D150,"")</f>
        <v/>
      </c>
    </row>
    <row r="151" ht="15" customHeight="1" s="64">
      <c r="G151" s="63">
        <f>COUNTA(D151:F151)</f>
        <v/>
      </c>
      <c r="P151" s="63">
        <f>IF(AND(O151&lt;&gt;"",D151&lt;&gt;""),O151-D151,"")</f>
        <v/>
      </c>
    </row>
    <row r="152" ht="15" customHeight="1" s="64">
      <c r="G152" s="63">
        <f>COUNTA(D152:F152)</f>
        <v/>
      </c>
      <c r="P152" s="63">
        <f>IF(AND(O152&lt;&gt;"",D152&lt;&gt;""),O152-D152,"")</f>
        <v/>
      </c>
    </row>
    <row r="153" ht="15" customHeight="1" s="64">
      <c r="G153" s="63">
        <f>COUNTA(D153:F153)</f>
        <v/>
      </c>
      <c r="P153" s="63">
        <f>IF(AND(O153&lt;&gt;"",D153&lt;&gt;""),O153-D153,"")</f>
        <v/>
      </c>
    </row>
    <row r="154" ht="15" customHeight="1" s="64">
      <c r="G154" s="63">
        <f>COUNTA(D154:F154)</f>
        <v/>
      </c>
      <c r="P154" s="63">
        <f>IF(AND(O154&lt;&gt;"",D154&lt;&gt;""),O154-D154,"")</f>
        <v/>
      </c>
    </row>
    <row r="155" ht="15" customHeight="1" s="64">
      <c r="G155" s="63">
        <f>COUNTA(D155:F155)</f>
        <v/>
      </c>
      <c r="P155" s="63">
        <f>IF(AND(O155&lt;&gt;"",D155&lt;&gt;""),O155-D155,"")</f>
        <v/>
      </c>
    </row>
    <row r="156" ht="15" customHeight="1" s="64">
      <c r="G156" s="63">
        <f>COUNTA(D156:F156)</f>
        <v/>
      </c>
      <c r="P156" s="63">
        <f>IF(AND(O156&lt;&gt;"",D156&lt;&gt;""),O156-D156,"")</f>
        <v/>
      </c>
    </row>
    <row r="157" ht="15" customHeight="1" s="64">
      <c r="G157" s="63">
        <f>COUNTA(D157:F157)</f>
        <v/>
      </c>
      <c r="P157" s="63">
        <f>IF(AND(O157&lt;&gt;"",D157&lt;&gt;""),O157-D157,"")</f>
        <v/>
      </c>
    </row>
    <row r="158" ht="15" customHeight="1" s="64">
      <c r="G158" s="63">
        <f>COUNTA(D158:F158)</f>
        <v/>
      </c>
      <c r="P158" s="63">
        <f>IF(AND(O158&lt;&gt;"",D158&lt;&gt;""),O158-D158,"")</f>
        <v/>
      </c>
    </row>
    <row r="159" ht="15" customHeight="1" s="64">
      <c r="G159" s="63">
        <f>COUNTA(D159:F159)</f>
        <v/>
      </c>
      <c r="P159" s="63">
        <f>IF(AND(O159&lt;&gt;"",D159&lt;&gt;""),O159-D159,"")</f>
        <v/>
      </c>
    </row>
    <row r="160" ht="15" customHeight="1" s="64">
      <c r="G160" s="63">
        <f>COUNTA(D160:F160)</f>
        <v/>
      </c>
      <c r="P160" s="63">
        <f>IF(AND(O160&lt;&gt;"",D160&lt;&gt;""),O160-D160,"")</f>
        <v/>
      </c>
    </row>
    <row r="161" ht="15" customHeight="1" s="64">
      <c r="G161" s="63">
        <f>COUNTA(D161:F161)</f>
        <v/>
      </c>
      <c r="P161" s="63">
        <f>IF(AND(O161&lt;&gt;"",D161&lt;&gt;""),O161-D161,"")</f>
        <v/>
      </c>
    </row>
    <row r="162" ht="15" customHeight="1" s="64">
      <c r="G162" s="63">
        <f>COUNTA(D162:F162)</f>
        <v/>
      </c>
      <c r="P162" s="63">
        <f>IF(AND(O162&lt;&gt;"",D162&lt;&gt;""),O162-D162,"")</f>
        <v/>
      </c>
    </row>
    <row r="163" ht="15" customHeight="1" s="64">
      <c r="G163" s="63">
        <f>COUNTA(D163:F163)</f>
        <v/>
      </c>
      <c r="P163" s="63">
        <f>IF(AND(O163&lt;&gt;"",D163&lt;&gt;""),O163-D163,"")</f>
        <v/>
      </c>
    </row>
    <row r="164" ht="15" customHeight="1" s="64">
      <c r="G164" s="63">
        <f>COUNTA(D164:F164)</f>
        <v/>
      </c>
      <c r="P164" s="63">
        <f>IF(AND(O164&lt;&gt;"",D164&lt;&gt;""),O164-D164,"")</f>
        <v/>
      </c>
    </row>
    <row r="165" ht="15" customHeight="1" s="64">
      <c r="G165" s="63">
        <f>COUNTA(D165:F165)</f>
        <v/>
      </c>
      <c r="P165" s="63">
        <f>IF(AND(O165&lt;&gt;"",D165&lt;&gt;""),O165-D165,"")</f>
        <v/>
      </c>
    </row>
    <row r="166" ht="15" customHeight="1" s="64">
      <c r="G166" s="63">
        <f>COUNTA(D166:F166)</f>
        <v/>
      </c>
      <c r="P166" s="63">
        <f>IF(AND(O166&lt;&gt;"",D166&lt;&gt;""),O166-D166,"")</f>
        <v/>
      </c>
    </row>
    <row r="167" ht="15" customHeight="1" s="64">
      <c r="G167" s="63">
        <f>COUNTA(D167:F167)</f>
        <v/>
      </c>
      <c r="P167" s="63">
        <f>IF(AND(O167&lt;&gt;"",D167&lt;&gt;""),O167-D167,"")</f>
        <v/>
      </c>
    </row>
    <row r="168" ht="15" customHeight="1" s="64">
      <c r="G168" s="63">
        <f>COUNTA(D168:F168)</f>
        <v/>
      </c>
      <c r="P168" s="63">
        <f>IF(AND(O168&lt;&gt;"",D168&lt;&gt;""),O168-D168,"")</f>
        <v/>
      </c>
    </row>
    <row r="169" ht="15" customHeight="1" s="64">
      <c r="G169" s="63">
        <f>COUNTA(D169:F169)</f>
        <v/>
      </c>
      <c r="P169" s="63">
        <f>IF(AND(O169&lt;&gt;"",D169&lt;&gt;""),O169-D169,"")</f>
        <v/>
      </c>
    </row>
    <row r="170" ht="15" customHeight="1" s="64">
      <c r="G170" s="63">
        <f>COUNTA(D170:F170)</f>
        <v/>
      </c>
      <c r="P170" s="63">
        <f>IF(AND(O170&lt;&gt;"",D170&lt;&gt;""),O170-D170,"")</f>
        <v/>
      </c>
    </row>
    <row r="171" ht="15" customHeight="1" s="64">
      <c r="G171" s="63">
        <f>COUNTA(D171:F171)</f>
        <v/>
      </c>
      <c r="P171" s="63">
        <f>IF(AND(O171&lt;&gt;"",D171&lt;&gt;""),O171-D171,"")</f>
        <v/>
      </c>
    </row>
    <row r="172" ht="15" customHeight="1" s="64">
      <c r="G172" s="63">
        <f>COUNTA(D172:F172)</f>
        <v/>
      </c>
      <c r="P172" s="63">
        <f>IF(AND(O172&lt;&gt;"",D172&lt;&gt;""),O172-D172,"")</f>
        <v/>
      </c>
    </row>
    <row r="173" ht="15" customHeight="1" s="64">
      <c r="G173" s="63">
        <f>COUNTA(D173:F173)</f>
        <v/>
      </c>
      <c r="P173" s="63">
        <f>IF(AND(O173&lt;&gt;"",D173&lt;&gt;""),O173-D173,"")</f>
        <v/>
      </c>
    </row>
    <row r="174" ht="15" customHeight="1" s="64">
      <c r="G174" s="63">
        <f>COUNTA(D174:F174)</f>
        <v/>
      </c>
      <c r="P174" s="63">
        <f>IF(AND(O174&lt;&gt;"",D174&lt;&gt;""),O174-D174,"")</f>
        <v/>
      </c>
    </row>
    <row r="175" ht="15" customHeight="1" s="64">
      <c r="G175" s="63">
        <f>COUNTA(D175:F175)</f>
        <v/>
      </c>
      <c r="P175" s="63">
        <f>IF(AND(O175&lt;&gt;"",D175&lt;&gt;""),O175-D175,"")</f>
        <v/>
      </c>
    </row>
    <row r="176" ht="15" customHeight="1" s="64">
      <c r="G176" s="63">
        <f>COUNTA(D176:F176)</f>
        <v/>
      </c>
      <c r="P176" s="63">
        <f>IF(AND(O176&lt;&gt;"",D176&lt;&gt;""),O176-D176,"")</f>
        <v/>
      </c>
    </row>
    <row r="177" ht="15" customHeight="1" s="64">
      <c r="G177" s="63">
        <f>COUNTA(D177:F177)</f>
        <v/>
      </c>
      <c r="P177" s="63">
        <f>IF(AND(O177&lt;&gt;"",D177&lt;&gt;""),O177-D177,"")</f>
        <v/>
      </c>
    </row>
    <row r="178" ht="15" customHeight="1" s="64">
      <c r="G178" s="63">
        <f>COUNTA(D178:F178)</f>
        <v/>
      </c>
      <c r="P178" s="63">
        <f>IF(AND(O178&lt;&gt;"",D178&lt;&gt;""),O178-D178,"")</f>
        <v/>
      </c>
    </row>
    <row r="179" ht="15" customHeight="1" s="64">
      <c r="G179" s="63">
        <f>COUNTA(D179:F179)</f>
        <v/>
      </c>
      <c r="P179" s="63">
        <f>IF(AND(O179&lt;&gt;"",D179&lt;&gt;""),O179-D179,"")</f>
        <v/>
      </c>
    </row>
    <row r="180" ht="15" customHeight="1" s="64">
      <c r="G180" s="63">
        <f>COUNTA(D180:F180)</f>
        <v/>
      </c>
      <c r="P180" s="63">
        <f>IF(AND(O180&lt;&gt;"",D180&lt;&gt;""),O180-D180,"")</f>
        <v/>
      </c>
    </row>
    <row r="181" ht="15" customHeight="1" s="64">
      <c r="G181" s="63">
        <f>COUNTA(D181:F181)</f>
        <v/>
      </c>
      <c r="P181" s="63">
        <f>IF(AND(O181&lt;&gt;"",D181&lt;&gt;""),O181-D181,"")</f>
        <v/>
      </c>
    </row>
    <row r="182" ht="15" customHeight="1" s="64">
      <c r="G182" s="63">
        <f>COUNTA(D182:F182)</f>
        <v/>
      </c>
      <c r="P182" s="63">
        <f>IF(AND(O182&lt;&gt;"",D182&lt;&gt;""),O182-D182,"")</f>
        <v/>
      </c>
    </row>
    <row r="183" ht="15" customHeight="1" s="64">
      <c r="G183" s="63">
        <f>COUNTA(D183:F183)</f>
        <v/>
      </c>
      <c r="P183" s="63">
        <f>IF(AND(O183&lt;&gt;"",D183&lt;&gt;""),O183-D183,"")</f>
        <v/>
      </c>
    </row>
    <row r="184" ht="15" customHeight="1" s="64">
      <c r="G184" s="63">
        <f>COUNTA(D184:F184)</f>
        <v/>
      </c>
      <c r="P184" s="63">
        <f>IF(AND(O184&lt;&gt;"",D184&lt;&gt;""),O184-D184,"")</f>
        <v/>
      </c>
    </row>
    <row r="185" ht="15" customHeight="1" s="64">
      <c r="G185" s="63">
        <f>COUNTA(D185:F185)</f>
        <v/>
      </c>
      <c r="P185" s="63">
        <f>IF(AND(O185&lt;&gt;"",D185&lt;&gt;""),O185-D185,"")</f>
        <v/>
      </c>
    </row>
    <row r="186" ht="15" customHeight="1" s="64">
      <c r="G186" s="63">
        <f>COUNTA(D186:F186)</f>
        <v/>
      </c>
      <c r="P186" s="63">
        <f>IF(AND(O186&lt;&gt;"",D186&lt;&gt;""),O186-D186,"")</f>
        <v/>
      </c>
    </row>
    <row r="187" ht="15" customHeight="1" s="64">
      <c r="G187" s="63">
        <f>COUNTA(D187:F187)</f>
        <v/>
      </c>
      <c r="P187" s="63">
        <f>IF(AND(O187&lt;&gt;"",D187&lt;&gt;""),O187-D187,"")</f>
        <v/>
      </c>
    </row>
    <row r="188" ht="15" customHeight="1" s="64">
      <c r="G188" s="63">
        <f>COUNTA(D188:F188)</f>
        <v/>
      </c>
      <c r="P188" s="63">
        <f>IF(AND(O188&lt;&gt;"",D188&lt;&gt;""),O188-D188,"")</f>
        <v/>
      </c>
    </row>
    <row r="189" ht="15" customHeight="1" s="64">
      <c r="G189" s="63">
        <f>COUNTA(D189:F189)</f>
        <v/>
      </c>
      <c r="P189" s="63">
        <f>IF(AND(O189&lt;&gt;"",D189&lt;&gt;""),O189-D189,"")</f>
        <v/>
      </c>
    </row>
    <row r="190" ht="15" customHeight="1" s="64">
      <c r="G190" s="63">
        <f>COUNTA(D190:F190)</f>
        <v/>
      </c>
      <c r="P190" s="63">
        <f>IF(AND(O190&lt;&gt;"",D190&lt;&gt;""),O190-D190,"")</f>
        <v/>
      </c>
    </row>
    <row r="191" ht="15" customHeight="1" s="64">
      <c r="G191" s="63">
        <f>COUNTA(D191:F191)</f>
        <v/>
      </c>
      <c r="P191" s="63">
        <f>IF(AND(O191&lt;&gt;"",D191&lt;&gt;""),O191-D191,"")</f>
        <v/>
      </c>
    </row>
    <row r="192" ht="15" customHeight="1" s="64">
      <c r="G192" s="63">
        <f>COUNTA(D192:F192)</f>
        <v/>
      </c>
      <c r="P192" s="63">
        <f>IF(AND(O192&lt;&gt;"",D192&lt;&gt;""),O192-D192,"")</f>
        <v/>
      </c>
    </row>
    <row r="193" ht="15" customHeight="1" s="64">
      <c r="G193" s="63">
        <f>COUNTA(D193:F193)</f>
        <v/>
      </c>
      <c r="P193" s="63">
        <f>IF(AND(O193&lt;&gt;"",D193&lt;&gt;""),O193-D193,"")</f>
        <v/>
      </c>
    </row>
    <row r="194" ht="15" customHeight="1" s="64">
      <c r="G194" s="63">
        <f>COUNTA(D194:F194)</f>
        <v/>
      </c>
      <c r="P194" s="63">
        <f>IF(AND(O194&lt;&gt;"",D194&lt;&gt;""),O194-D194,"")</f>
        <v/>
      </c>
    </row>
    <row r="195" ht="15" customHeight="1" s="64">
      <c r="G195" s="63">
        <f>COUNTA(D195:F195)</f>
        <v/>
      </c>
      <c r="P195" s="63">
        <f>IF(AND(O195&lt;&gt;"",D195&lt;&gt;""),O195-D195,"")</f>
        <v/>
      </c>
    </row>
    <row r="196" ht="15" customHeight="1" s="64">
      <c r="G196" s="63">
        <f>COUNTA(D196:F196)</f>
        <v/>
      </c>
      <c r="P196" s="63">
        <f>IF(AND(O196&lt;&gt;"",D196&lt;&gt;""),O196-D196,"")</f>
        <v/>
      </c>
    </row>
    <row r="197" ht="15" customHeight="1" s="64">
      <c r="G197" s="63">
        <f>COUNTA(D197:F197)</f>
        <v/>
      </c>
      <c r="P197" s="63">
        <f>IF(AND(O197&lt;&gt;"",D197&lt;&gt;""),O197-D197,"")</f>
        <v/>
      </c>
    </row>
    <row r="198" ht="15" customHeight="1" s="64">
      <c r="G198" s="63">
        <f>COUNTA(D198:F198)</f>
        <v/>
      </c>
      <c r="P198" s="63">
        <f>IF(AND(O198&lt;&gt;"",D198&lt;&gt;""),O198-D198,"")</f>
        <v/>
      </c>
    </row>
    <row r="199" ht="15" customHeight="1" s="64">
      <c r="G199" s="63">
        <f>COUNTA(D199:F199)</f>
        <v/>
      </c>
      <c r="P199" s="63">
        <f>IF(AND(O199&lt;&gt;"",D199&lt;&gt;""),O199-D199,"")</f>
        <v/>
      </c>
    </row>
    <row r="200" ht="15" customHeight="1" s="64">
      <c r="G200" s="63">
        <f>COUNTA(D200:F200)</f>
        <v/>
      </c>
      <c r="P200" s="63">
        <f>IF(AND(O200&lt;&gt;"",D200&lt;&gt;""),O200-D200,"")</f>
        <v/>
      </c>
    </row>
    <row r="201" ht="15" customHeight="1" s="64">
      <c r="G201" s="63">
        <f>COUNTA(D201:F201)</f>
        <v/>
      </c>
      <c r="P201" s="63">
        <f>IF(AND(O201&lt;&gt;"",D201&lt;&gt;""),O201-D201,"")</f>
        <v/>
      </c>
    </row>
    <row r="202" ht="15" customHeight="1" s="64">
      <c r="G202" s="63">
        <f>COUNTA(D202:F202)</f>
        <v/>
      </c>
      <c r="P202" s="63">
        <f>IF(AND(O202&lt;&gt;"",D202&lt;&gt;""),O202-D202,"")</f>
        <v/>
      </c>
    </row>
    <row r="203" ht="15" customHeight="1" s="64">
      <c r="G203" s="63">
        <f>COUNTA(D203:F203)</f>
        <v/>
      </c>
      <c r="P203" s="63">
        <f>IF(AND(O203&lt;&gt;"",D203&lt;&gt;""),O203-D203,"")</f>
        <v/>
      </c>
    </row>
    <row r="204" ht="15" customHeight="1" s="64">
      <c r="G204" s="63">
        <f>COUNTA(D204:F204)</f>
        <v/>
      </c>
      <c r="P204" s="63">
        <f>IF(AND(O204&lt;&gt;"",D204&lt;&gt;""),O204-D204,"")</f>
        <v/>
      </c>
    </row>
    <row r="205" ht="15" customHeight="1" s="64">
      <c r="G205" s="63">
        <f>COUNTA(D205:F205)</f>
        <v/>
      </c>
      <c r="P205" s="63">
        <f>IF(AND(O205&lt;&gt;"",D205&lt;&gt;""),O205-D205,"")</f>
        <v/>
      </c>
    </row>
    <row r="206" ht="15" customHeight="1" s="64">
      <c r="G206" s="63">
        <f>COUNTA(D206:F206)</f>
        <v/>
      </c>
      <c r="P206" s="63">
        <f>IF(AND(O206&lt;&gt;"",D206&lt;&gt;""),O206-D206,"")</f>
        <v/>
      </c>
    </row>
    <row r="207" ht="15" customHeight="1" s="64">
      <c r="G207" s="63">
        <f>COUNTA(D207:F207)</f>
        <v/>
      </c>
      <c r="P207" s="63">
        <f>IF(AND(O207&lt;&gt;"",D207&lt;&gt;""),O207-D207,"")</f>
        <v/>
      </c>
    </row>
    <row r="208" ht="15" customHeight="1" s="64">
      <c r="G208" s="63">
        <f>COUNTA(D208:F208)</f>
        <v/>
      </c>
      <c r="P208" s="63">
        <f>IF(AND(O208&lt;&gt;"",D208&lt;&gt;""),O208-D208,"")</f>
        <v/>
      </c>
    </row>
    <row r="209" ht="15" customHeight="1" s="64">
      <c r="G209" s="63">
        <f>COUNTA(D209:F209)</f>
        <v/>
      </c>
      <c r="P209" s="63">
        <f>IF(AND(O209&lt;&gt;"",D209&lt;&gt;""),O209-D209,"")</f>
        <v/>
      </c>
    </row>
    <row r="210" ht="15" customHeight="1" s="64">
      <c r="G210" s="63">
        <f>COUNTA(D210:F210)</f>
        <v/>
      </c>
      <c r="P210" s="63">
        <f>IF(AND(O210&lt;&gt;"",D210&lt;&gt;""),O210-D210,"")</f>
        <v/>
      </c>
    </row>
    <row r="211" ht="15" customHeight="1" s="64">
      <c r="G211" s="63">
        <f>COUNTA(D211:F211)</f>
        <v/>
      </c>
      <c r="P211" s="63">
        <f>IF(AND(O211&lt;&gt;"",D211&lt;&gt;""),O211-D211,"")</f>
        <v/>
      </c>
    </row>
    <row r="212" ht="15" customHeight="1" s="64">
      <c r="G212" s="63">
        <f>COUNTA(D212:F212)</f>
        <v/>
      </c>
      <c r="P212" s="63">
        <f>IF(AND(O212&lt;&gt;"",D212&lt;&gt;""),O212-D212,"")</f>
        <v/>
      </c>
    </row>
    <row r="213" ht="15" customHeight="1" s="64">
      <c r="G213" s="63">
        <f>COUNTA(D213:F213)</f>
        <v/>
      </c>
      <c r="P213" s="63">
        <f>IF(AND(O213&lt;&gt;"",D213&lt;&gt;""),O213-D213,"")</f>
        <v/>
      </c>
    </row>
    <row r="214" ht="15" customHeight="1" s="64">
      <c r="G214" s="63">
        <f>COUNTA(D214:F214)</f>
        <v/>
      </c>
      <c r="P214" s="63">
        <f>IF(AND(O214&lt;&gt;"",D214&lt;&gt;""),O214-D214,"")</f>
        <v/>
      </c>
    </row>
    <row r="215" ht="15" customHeight="1" s="64">
      <c r="G215" s="63">
        <f>COUNTA(D215:F215)</f>
        <v/>
      </c>
      <c r="P215" s="63">
        <f>IF(AND(O215&lt;&gt;"",D215&lt;&gt;""),O215-D215,"")</f>
        <v/>
      </c>
    </row>
    <row r="216" ht="15" customHeight="1" s="64">
      <c r="G216" s="63">
        <f>COUNTA(D216:F216)</f>
        <v/>
      </c>
      <c r="P216" s="63">
        <f>IF(AND(O216&lt;&gt;"",D216&lt;&gt;""),O216-D216,"")</f>
        <v/>
      </c>
    </row>
    <row r="217" ht="15" customHeight="1" s="64">
      <c r="G217" s="63">
        <f>COUNTA(D217:F217)</f>
        <v/>
      </c>
      <c r="P217" s="63">
        <f>IF(AND(O217&lt;&gt;"",D217&lt;&gt;""),O217-D217,"")</f>
        <v/>
      </c>
    </row>
    <row r="218" ht="15" customHeight="1" s="64">
      <c r="G218" s="63">
        <f>COUNTA(D218:F218)</f>
        <v/>
      </c>
      <c r="P218" s="63">
        <f>IF(AND(O218&lt;&gt;"",D218&lt;&gt;""),O218-D218,"")</f>
        <v/>
      </c>
    </row>
    <row r="219" ht="15" customHeight="1" s="64">
      <c r="G219" s="63">
        <f>COUNTA(D219:F219)</f>
        <v/>
      </c>
      <c r="P219" s="63">
        <f>IF(AND(O219&lt;&gt;"",D219&lt;&gt;""),O219-D219,"")</f>
        <v/>
      </c>
    </row>
    <row r="220" ht="15" customHeight="1" s="64">
      <c r="G220" s="63">
        <f>COUNTA(D220:F220)</f>
        <v/>
      </c>
      <c r="P220" s="63">
        <f>IF(AND(O220&lt;&gt;"",D220&lt;&gt;""),O220-D220,"")</f>
        <v/>
      </c>
    </row>
    <row r="221" ht="15" customHeight="1" s="64">
      <c r="G221" s="63">
        <f>COUNTA(D221:F221)</f>
        <v/>
      </c>
      <c r="P221" s="63">
        <f>IF(AND(O221&lt;&gt;"",D221&lt;&gt;""),O221-D221,"")</f>
        <v/>
      </c>
    </row>
    <row r="222" ht="15" customHeight="1" s="64">
      <c r="G222" s="63">
        <f>COUNTA(D222:F222)</f>
        <v/>
      </c>
      <c r="P222" s="63">
        <f>IF(AND(O222&lt;&gt;"",D222&lt;&gt;""),O222-D222,"")</f>
        <v/>
      </c>
    </row>
    <row r="223" ht="15" customHeight="1" s="64">
      <c r="G223" s="63">
        <f>COUNTA(D223:F223)</f>
        <v/>
      </c>
      <c r="P223" s="63">
        <f>IF(AND(O223&lt;&gt;"",D223&lt;&gt;""),O223-D223,"")</f>
        <v/>
      </c>
    </row>
    <row r="224" ht="15" customHeight="1" s="64">
      <c r="G224" s="63">
        <f>COUNTA(D224:F224)</f>
        <v/>
      </c>
      <c r="P224" s="63">
        <f>IF(AND(O224&lt;&gt;"",D224&lt;&gt;""),O224-D224,"")</f>
        <v/>
      </c>
    </row>
    <row r="225" ht="15" customHeight="1" s="64">
      <c r="G225" s="63">
        <f>COUNTA(D225:F225)</f>
        <v/>
      </c>
      <c r="P225" s="63">
        <f>IF(AND(O225&lt;&gt;"",D225&lt;&gt;""),O225-D225,"")</f>
        <v/>
      </c>
    </row>
    <row r="226" ht="15" customHeight="1" s="64">
      <c r="G226" s="63">
        <f>COUNTA(D226:F226)</f>
        <v/>
      </c>
      <c r="P226" s="63">
        <f>IF(AND(O226&lt;&gt;"",D226&lt;&gt;""),O226-D226,"")</f>
        <v/>
      </c>
    </row>
    <row r="227" ht="15" customHeight="1" s="64">
      <c r="G227" s="63">
        <f>COUNTA(D227:F227)</f>
        <v/>
      </c>
      <c r="P227" s="63">
        <f>IF(AND(O227&lt;&gt;"",D227&lt;&gt;""),O227-D227,"")</f>
        <v/>
      </c>
    </row>
    <row r="228" ht="15" customHeight="1" s="64">
      <c r="G228" s="63">
        <f>COUNTA(D228:F228)</f>
        <v/>
      </c>
      <c r="P228" s="63">
        <f>IF(AND(O228&lt;&gt;"",D228&lt;&gt;""),O228-D228,"")</f>
        <v/>
      </c>
    </row>
    <row r="229" ht="15" customHeight="1" s="64">
      <c r="G229" s="63">
        <f>COUNTA(D229:F229)</f>
        <v/>
      </c>
      <c r="P229" s="63">
        <f>IF(AND(O229&lt;&gt;"",D229&lt;&gt;""),O229-D229,"")</f>
        <v/>
      </c>
    </row>
    <row r="230" ht="15" customHeight="1" s="64">
      <c r="G230" s="63">
        <f>COUNTA(D230:F230)</f>
        <v/>
      </c>
      <c r="P230" s="63">
        <f>IF(AND(O230&lt;&gt;"",D230&lt;&gt;""),O230-D230,"")</f>
        <v/>
      </c>
    </row>
    <row r="231" ht="15" customHeight="1" s="64">
      <c r="G231" s="63">
        <f>COUNTA(D231:F231)</f>
        <v/>
      </c>
      <c r="P231" s="63">
        <f>IF(AND(O231&lt;&gt;"",D231&lt;&gt;""),O231-D231,"")</f>
        <v/>
      </c>
    </row>
    <row r="232" ht="15" customHeight="1" s="64">
      <c r="G232" s="63">
        <f>COUNTA(D232:F232)</f>
        <v/>
      </c>
      <c r="P232" s="63">
        <f>IF(AND(O232&lt;&gt;"",D232&lt;&gt;""),O232-D232,"")</f>
        <v/>
      </c>
    </row>
    <row r="233" ht="15" customHeight="1" s="64">
      <c r="G233" s="63">
        <f>COUNTA(D233:F233)</f>
        <v/>
      </c>
      <c r="P233" s="63">
        <f>IF(AND(O233&lt;&gt;"",D233&lt;&gt;""),O233-D233,"")</f>
        <v/>
      </c>
    </row>
    <row r="234" ht="15" customHeight="1" s="64">
      <c r="G234" s="63">
        <f>COUNTA(D234:F234)</f>
        <v/>
      </c>
      <c r="P234" s="63">
        <f>IF(AND(O234&lt;&gt;"",D234&lt;&gt;""),O234-D234,"")</f>
        <v/>
      </c>
    </row>
    <row r="235" ht="15" customHeight="1" s="64">
      <c r="G235" s="63">
        <f>COUNTA(D235:F235)</f>
        <v/>
      </c>
      <c r="P235" s="63">
        <f>IF(AND(O235&lt;&gt;"",D235&lt;&gt;""),O235-D235,"")</f>
        <v/>
      </c>
    </row>
    <row r="236" ht="15" customHeight="1" s="64">
      <c r="G236" s="63">
        <f>COUNTA(D236:F236)</f>
        <v/>
      </c>
      <c r="P236" s="63">
        <f>IF(AND(O236&lt;&gt;"",D236&lt;&gt;""),O236-D236,"")</f>
        <v/>
      </c>
    </row>
    <row r="237" ht="15" customHeight="1" s="64">
      <c r="G237" s="63">
        <f>COUNTA(D237:F237)</f>
        <v/>
      </c>
      <c r="P237" s="63">
        <f>IF(AND(O237&lt;&gt;"",D237&lt;&gt;""),O237-D237,"")</f>
        <v/>
      </c>
    </row>
    <row r="238" ht="15" customHeight="1" s="64">
      <c r="G238" s="63">
        <f>COUNTA(D238:F238)</f>
        <v/>
      </c>
      <c r="P238" s="63">
        <f>IF(AND(O238&lt;&gt;"",D238&lt;&gt;""),O238-D238,"")</f>
        <v/>
      </c>
    </row>
    <row r="239" ht="15" customHeight="1" s="64">
      <c r="G239" s="63">
        <f>COUNTA(D239:F239)</f>
        <v/>
      </c>
      <c r="P239" s="63">
        <f>IF(AND(O239&lt;&gt;"",D239&lt;&gt;""),O239-D239,"")</f>
        <v/>
      </c>
    </row>
    <row r="240" ht="15" customHeight="1" s="64">
      <c r="G240" s="63">
        <f>COUNTA(D240:F240)</f>
        <v/>
      </c>
      <c r="P240" s="63">
        <f>IF(AND(O240&lt;&gt;"",D240&lt;&gt;""),O240-D240,"")</f>
        <v/>
      </c>
    </row>
    <row r="241" ht="15" customHeight="1" s="64">
      <c r="G241" s="63">
        <f>COUNTA(D241:F241)</f>
        <v/>
      </c>
      <c r="P241" s="63">
        <f>IF(AND(O241&lt;&gt;"",D241&lt;&gt;""),O241-D241,"")</f>
        <v/>
      </c>
    </row>
    <row r="242" ht="15" customHeight="1" s="64">
      <c r="G242" s="63">
        <f>COUNTA(D242:F242)</f>
        <v/>
      </c>
      <c r="P242" s="63">
        <f>IF(AND(O242&lt;&gt;"",D242&lt;&gt;""),O242-D242,"")</f>
        <v/>
      </c>
    </row>
    <row r="243" ht="15" customHeight="1" s="64">
      <c r="G243" s="63">
        <f>COUNTA(D243:F243)</f>
        <v/>
      </c>
      <c r="P243" s="63">
        <f>IF(AND(O243&lt;&gt;"",D243&lt;&gt;""),O243-D243,"")</f>
        <v/>
      </c>
    </row>
    <row r="244" ht="15" customHeight="1" s="64">
      <c r="G244" s="63">
        <f>COUNTA(D244:F244)</f>
        <v/>
      </c>
      <c r="P244" s="63">
        <f>IF(AND(O244&lt;&gt;"",D244&lt;&gt;""),O244-D244,"")</f>
        <v/>
      </c>
    </row>
    <row r="245" ht="15" customHeight="1" s="64">
      <c r="G245" s="63">
        <f>COUNTA(D245:F245)</f>
        <v/>
      </c>
      <c r="P245" s="63">
        <f>IF(AND(O245&lt;&gt;"",D245&lt;&gt;""),O245-D245,"")</f>
        <v/>
      </c>
    </row>
    <row r="246" ht="15" customHeight="1" s="64">
      <c r="G246" s="63">
        <f>COUNTA(D246:F246)</f>
        <v/>
      </c>
      <c r="P246" s="63">
        <f>IF(AND(O246&lt;&gt;"",D246&lt;&gt;""),O246-D246,"")</f>
        <v/>
      </c>
    </row>
    <row r="247" ht="15" customHeight="1" s="64">
      <c r="G247" s="63">
        <f>COUNTA(D247:F247)</f>
        <v/>
      </c>
      <c r="P247" s="63">
        <f>IF(AND(O247&lt;&gt;"",D247&lt;&gt;""),O247-D247,"")</f>
        <v/>
      </c>
    </row>
    <row r="248" ht="15" customHeight="1" s="64">
      <c r="G248" s="63">
        <f>COUNTA(D248:F248)</f>
        <v/>
      </c>
      <c r="P248" s="63">
        <f>IF(AND(O248&lt;&gt;"",D248&lt;&gt;""),O248-D248,"")</f>
        <v/>
      </c>
    </row>
    <row r="249" ht="15" customHeight="1" s="64">
      <c r="G249" s="63">
        <f>COUNTA(D249:F249)</f>
        <v/>
      </c>
      <c r="P249" s="63">
        <f>IF(AND(O249&lt;&gt;"",D249&lt;&gt;""),O249-D249,"")</f>
        <v/>
      </c>
    </row>
    <row r="250" ht="15" customHeight="1" s="64">
      <c r="G250" s="63">
        <f>COUNTA(D250:F250)</f>
        <v/>
      </c>
      <c r="P250" s="63">
        <f>IF(AND(O250&lt;&gt;"",D250&lt;&gt;""),O250-D250,"")</f>
        <v/>
      </c>
    </row>
    <row r="251" ht="15" customHeight="1" s="64">
      <c r="G251" s="63">
        <f>COUNTA(D251:F251)</f>
        <v/>
      </c>
      <c r="P251" s="63">
        <f>IF(AND(O251&lt;&gt;"",D251&lt;&gt;""),O251-D251,"")</f>
        <v/>
      </c>
    </row>
    <row r="252" ht="15" customHeight="1" s="64">
      <c r="G252" s="63">
        <f>COUNTA(D252:F252)</f>
        <v/>
      </c>
      <c r="P252" s="63">
        <f>IF(AND(O252&lt;&gt;"",D252&lt;&gt;""),O252-D252,"")</f>
        <v/>
      </c>
    </row>
    <row r="253" ht="15" customHeight="1" s="64">
      <c r="G253" s="63">
        <f>COUNTA(D253:F253)</f>
        <v/>
      </c>
      <c r="P253" s="63">
        <f>IF(AND(O253&lt;&gt;"",D253&lt;&gt;""),O253-D253,"")</f>
        <v/>
      </c>
    </row>
    <row r="254" ht="15" customHeight="1" s="64">
      <c r="G254" s="63">
        <f>COUNTA(D254:F254)</f>
        <v/>
      </c>
      <c r="P254" s="63">
        <f>IF(AND(O254&lt;&gt;"",D254&lt;&gt;""),O254-D254,"")</f>
        <v/>
      </c>
    </row>
    <row r="255" ht="15" customHeight="1" s="64">
      <c r="G255" s="63">
        <f>COUNTA(D255:F255)</f>
        <v/>
      </c>
      <c r="P255" s="63">
        <f>IF(AND(O255&lt;&gt;"",D255&lt;&gt;""),O255-D255,"")</f>
        <v/>
      </c>
    </row>
    <row r="256" ht="15" customHeight="1" s="64">
      <c r="G256" s="63">
        <f>COUNTA(D256:F256)</f>
        <v/>
      </c>
      <c r="P256" s="63">
        <f>IF(AND(O256&lt;&gt;"",D256&lt;&gt;""),O256-D256,"")</f>
        <v/>
      </c>
    </row>
    <row r="257" ht="15" customHeight="1" s="64">
      <c r="G257" s="63">
        <f>COUNTA(D257:F257)</f>
        <v/>
      </c>
      <c r="P257" s="63">
        <f>IF(AND(O257&lt;&gt;"",D257&lt;&gt;""),O257-D257,"")</f>
        <v/>
      </c>
    </row>
    <row r="258" ht="15" customHeight="1" s="64">
      <c r="G258" s="63">
        <f>COUNTA(D258:F258)</f>
        <v/>
      </c>
      <c r="P258" s="63">
        <f>IF(AND(O258&lt;&gt;"",D258&lt;&gt;""),O258-D258,"")</f>
        <v/>
      </c>
    </row>
    <row r="259" ht="15" customHeight="1" s="64">
      <c r="G259" s="63">
        <f>COUNTA(D259:F259)</f>
        <v/>
      </c>
      <c r="P259" s="63">
        <f>IF(AND(O259&lt;&gt;"",D259&lt;&gt;""),O259-D259,"")</f>
        <v/>
      </c>
    </row>
    <row r="260" ht="15" customHeight="1" s="64">
      <c r="G260" s="63">
        <f>COUNTA(D260:F260)</f>
        <v/>
      </c>
      <c r="P260" s="63">
        <f>IF(AND(O260&lt;&gt;"",D260&lt;&gt;""),O260-D260,"")</f>
        <v/>
      </c>
    </row>
    <row r="261" ht="15" customHeight="1" s="64">
      <c r="G261" s="63">
        <f>COUNTA(D261:F261)</f>
        <v/>
      </c>
      <c r="P261" s="63">
        <f>IF(AND(O261&lt;&gt;"",D261&lt;&gt;""),O261-D261,"")</f>
        <v/>
      </c>
    </row>
    <row r="262" ht="15" customHeight="1" s="64">
      <c r="G262" s="63">
        <f>COUNTA(D262:F262)</f>
        <v/>
      </c>
      <c r="P262" s="63">
        <f>IF(AND(O262&lt;&gt;"",D262&lt;&gt;""),O262-D262,"")</f>
        <v/>
      </c>
    </row>
    <row r="263" ht="15" customHeight="1" s="64">
      <c r="G263" s="63">
        <f>COUNTA(D263:F263)</f>
        <v/>
      </c>
      <c r="P263" s="63">
        <f>IF(AND(O263&lt;&gt;"",D263&lt;&gt;""),O263-D263,"")</f>
        <v/>
      </c>
    </row>
    <row r="264" ht="15" customHeight="1" s="64">
      <c r="G264" s="63">
        <f>COUNTA(D264:F264)</f>
        <v/>
      </c>
      <c r="P264" s="63">
        <f>IF(AND(O264&lt;&gt;"",D264&lt;&gt;""),O264-D264,"")</f>
        <v/>
      </c>
    </row>
    <row r="265" ht="15" customHeight="1" s="64">
      <c r="G265" s="63">
        <f>COUNTA(D265:F265)</f>
        <v/>
      </c>
      <c r="P265" s="63">
        <f>IF(AND(O265&lt;&gt;"",D265&lt;&gt;""),O265-D265,"")</f>
        <v/>
      </c>
    </row>
    <row r="266" ht="15" customHeight="1" s="64">
      <c r="G266" s="63">
        <f>COUNTA(D266:F266)</f>
        <v/>
      </c>
      <c r="P266" s="63">
        <f>IF(AND(O266&lt;&gt;"",D266&lt;&gt;""),O266-D266,"")</f>
        <v/>
      </c>
    </row>
    <row r="267" ht="15" customHeight="1" s="64">
      <c r="G267" s="63">
        <f>COUNTA(D267:F267)</f>
        <v/>
      </c>
      <c r="P267" s="63">
        <f>IF(AND(O267&lt;&gt;"",D267&lt;&gt;""),O267-D267,"")</f>
        <v/>
      </c>
    </row>
    <row r="268" ht="15" customHeight="1" s="64">
      <c r="G268" s="63">
        <f>COUNTA(D268:F268)</f>
        <v/>
      </c>
      <c r="P268" s="63">
        <f>IF(AND(O268&lt;&gt;"",D268&lt;&gt;""),O268-D268,"")</f>
        <v/>
      </c>
    </row>
    <row r="269" ht="15" customHeight="1" s="64">
      <c r="G269" s="63">
        <f>COUNTA(D269:F269)</f>
        <v/>
      </c>
      <c r="P269" s="63">
        <f>IF(AND(O269&lt;&gt;"",D269&lt;&gt;""),O269-D269,"")</f>
        <v/>
      </c>
    </row>
    <row r="270" ht="15" customHeight="1" s="64">
      <c r="G270" s="63">
        <f>COUNTA(D270:F270)</f>
        <v/>
      </c>
      <c r="P270" s="63">
        <f>IF(AND(O270&lt;&gt;"",D270&lt;&gt;""),O270-D270,"")</f>
        <v/>
      </c>
    </row>
    <row r="271" ht="15" customHeight="1" s="64">
      <c r="G271" s="63">
        <f>COUNTA(D271:F271)</f>
        <v/>
      </c>
      <c r="P271" s="63">
        <f>IF(AND(O271&lt;&gt;"",D271&lt;&gt;""),O271-D271,"")</f>
        <v/>
      </c>
    </row>
    <row r="272" ht="15" customHeight="1" s="64">
      <c r="G272" s="63">
        <f>COUNTA(D272:F272)</f>
        <v/>
      </c>
      <c r="P272" s="63">
        <f>IF(AND(O272&lt;&gt;"",D272&lt;&gt;""),O272-D272,"")</f>
        <v/>
      </c>
    </row>
    <row r="273" ht="15" customHeight="1" s="64">
      <c r="G273" s="63">
        <f>COUNTA(D273:F273)</f>
        <v/>
      </c>
      <c r="P273" s="63">
        <f>IF(AND(O273&lt;&gt;"",D273&lt;&gt;""),O273-D273,"")</f>
        <v/>
      </c>
    </row>
    <row r="274" ht="15" customHeight="1" s="64">
      <c r="G274" s="63">
        <f>COUNTA(D274:F274)</f>
        <v/>
      </c>
      <c r="P274" s="63">
        <f>IF(AND(O274&lt;&gt;"",D274&lt;&gt;""),O274-D274,"")</f>
        <v/>
      </c>
    </row>
    <row r="275" ht="15" customHeight="1" s="64">
      <c r="G275" s="63">
        <f>COUNTA(D275:F275)</f>
        <v/>
      </c>
      <c r="P275" s="63">
        <f>IF(AND(O275&lt;&gt;"",D275&lt;&gt;""),O275-D275,"")</f>
        <v/>
      </c>
    </row>
    <row r="276" ht="15" customHeight="1" s="64">
      <c r="G276" s="63">
        <f>COUNTA(D276:F276)</f>
        <v/>
      </c>
      <c r="P276" s="63">
        <f>IF(AND(O276&lt;&gt;"",D276&lt;&gt;""),O276-D276,"")</f>
        <v/>
      </c>
    </row>
    <row r="277" ht="15" customHeight="1" s="64">
      <c r="G277" s="63">
        <f>COUNTA(D277:F277)</f>
        <v/>
      </c>
      <c r="P277" s="63">
        <f>IF(AND(O277&lt;&gt;"",D277&lt;&gt;""),O277-D277,"")</f>
        <v/>
      </c>
    </row>
    <row r="278" ht="15" customHeight="1" s="64">
      <c r="G278" s="63">
        <f>COUNTA(D278:F278)</f>
        <v/>
      </c>
      <c r="P278" s="63">
        <f>IF(AND(O278&lt;&gt;"",D278&lt;&gt;""),O278-D278,"")</f>
        <v/>
      </c>
    </row>
    <row r="279" ht="15" customHeight="1" s="64">
      <c r="G279" s="63">
        <f>COUNTA(D279:F279)</f>
        <v/>
      </c>
      <c r="P279" s="63">
        <f>IF(AND(O279&lt;&gt;"",D279&lt;&gt;""),O279-D279,"")</f>
        <v/>
      </c>
    </row>
    <row r="280" ht="15" customHeight="1" s="64">
      <c r="G280" s="63">
        <f>COUNTA(D280:F280)</f>
        <v/>
      </c>
      <c r="P280" s="63">
        <f>IF(AND(O280&lt;&gt;"",D280&lt;&gt;""),O280-D280,"")</f>
        <v/>
      </c>
    </row>
    <row r="281" ht="15" customHeight="1" s="64">
      <c r="G281" s="63">
        <f>COUNTA(D281:F281)</f>
        <v/>
      </c>
      <c r="P281" s="63">
        <f>IF(AND(O281&lt;&gt;"",D281&lt;&gt;""),O281-D281,"")</f>
        <v/>
      </c>
    </row>
    <row r="282" ht="15" customHeight="1" s="64">
      <c r="G282" s="63">
        <f>COUNTA(D282:F282)</f>
        <v/>
      </c>
      <c r="P282" s="63">
        <f>IF(AND(O282&lt;&gt;"",D282&lt;&gt;""),O282-D282,"")</f>
        <v/>
      </c>
    </row>
    <row r="283" ht="15" customHeight="1" s="64">
      <c r="G283" s="63">
        <f>COUNTA(D283:F283)</f>
        <v/>
      </c>
      <c r="P283" s="63">
        <f>IF(AND(O283&lt;&gt;"",D283&lt;&gt;""),O283-D283,"")</f>
        <v/>
      </c>
    </row>
    <row r="284" ht="15" customHeight="1" s="64">
      <c r="G284" s="63">
        <f>COUNTA(D284:F284)</f>
        <v/>
      </c>
      <c r="P284" s="63">
        <f>IF(AND(O284&lt;&gt;"",D284&lt;&gt;""),O284-D284,"")</f>
        <v/>
      </c>
    </row>
    <row r="285" ht="15" customHeight="1" s="64">
      <c r="G285" s="63">
        <f>COUNTA(D285:F285)</f>
        <v/>
      </c>
      <c r="P285" s="63">
        <f>IF(AND(O285&lt;&gt;"",D285&lt;&gt;""),O285-D285,"")</f>
        <v/>
      </c>
    </row>
    <row r="286" ht="15" customHeight="1" s="64">
      <c r="G286" s="63">
        <f>COUNTA(D286:F286)</f>
        <v/>
      </c>
      <c r="P286" s="63">
        <f>IF(AND(O286&lt;&gt;"",D286&lt;&gt;""),O286-D286,"")</f>
        <v/>
      </c>
    </row>
    <row r="287" ht="15" customHeight="1" s="64">
      <c r="G287" s="63">
        <f>COUNTA(D287:F287)</f>
        <v/>
      </c>
      <c r="P287" s="63">
        <f>IF(AND(O287&lt;&gt;"",D287&lt;&gt;""),O287-D287,"")</f>
        <v/>
      </c>
    </row>
    <row r="288" ht="15" customHeight="1" s="64">
      <c r="G288" s="63">
        <f>COUNTA(D288:F288)</f>
        <v/>
      </c>
      <c r="P288" s="63">
        <f>IF(AND(O288&lt;&gt;"",D288&lt;&gt;""),O288-D288,"")</f>
        <v/>
      </c>
    </row>
    <row r="289" ht="15" customHeight="1" s="64">
      <c r="G289" s="63">
        <f>COUNTA(D289:F289)</f>
        <v/>
      </c>
      <c r="P289" s="63">
        <f>IF(AND(O289&lt;&gt;"",D289&lt;&gt;""),O289-D289,"")</f>
        <v/>
      </c>
    </row>
    <row r="290" ht="15" customHeight="1" s="64">
      <c r="G290" s="63">
        <f>COUNTA(D290:F290)</f>
        <v/>
      </c>
      <c r="P290" s="63">
        <f>IF(AND(O290&lt;&gt;"",D290&lt;&gt;""),O290-D290,"")</f>
        <v/>
      </c>
    </row>
    <row r="291" ht="15" customHeight="1" s="64">
      <c r="G291" s="63">
        <f>COUNTA(D291:F291)</f>
        <v/>
      </c>
      <c r="P291" s="63">
        <f>IF(AND(O291&lt;&gt;"",D291&lt;&gt;""),O291-D291,"")</f>
        <v/>
      </c>
    </row>
    <row r="292" ht="15" customHeight="1" s="64">
      <c r="G292" s="63">
        <f>COUNTA(D292:F292)</f>
        <v/>
      </c>
      <c r="P292" s="63">
        <f>IF(AND(O292&lt;&gt;"",D292&lt;&gt;""),O292-D292,"")</f>
        <v/>
      </c>
    </row>
    <row r="293" ht="15" customHeight="1" s="64">
      <c r="G293" s="63">
        <f>COUNTA(D293:F293)</f>
        <v/>
      </c>
      <c r="P293" s="63">
        <f>IF(AND(O293&lt;&gt;"",D293&lt;&gt;""),O293-D293,"")</f>
        <v/>
      </c>
    </row>
    <row r="294" ht="15" customHeight="1" s="64">
      <c r="G294" s="63">
        <f>COUNTA(D294:F294)</f>
        <v/>
      </c>
      <c r="P294" s="63">
        <f>IF(AND(O294&lt;&gt;"",D294&lt;&gt;""),O294-D294,"")</f>
        <v/>
      </c>
    </row>
    <row r="295" ht="15" customHeight="1" s="64">
      <c r="G295" s="63">
        <f>COUNTA(D295:F295)</f>
        <v/>
      </c>
      <c r="P295" s="63">
        <f>IF(AND(O295&lt;&gt;"",D295&lt;&gt;""),O295-D295,"")</f>
        <v/>
      </c>
    </row>
    <row r="296" ht="15" customHeight="1" s="64">
      <c r="G296" s="63">
        <f>COUNTA(D296:F296)</f>
        <v/>
      </c>
      <c r="P296" s="63">
        <f>IF(AND(O296&lt;&gt;"",D296&lt;&gt;""),O296-D296,"")</f>
        <v/>
      </c>
    </row>
    <row r="297" ht="15" customHeight="1" s="64">
      <c r="G297" s="63">
        <f>COUNTA(D297:F297)</f>
        <v/>
      </c>
      <c r="P297" s="63">
        <f>IF(AND(O297&lt;&gt;"",D297&lt;&gt;""),O297-D297,"")</f>
        <v/>
      </c>
    </row>
    <row r="298" ht="15" customHeight="1" s="64">
      <c r="G298" s="63">
        <f>COUNTA(D298:F298)</f>
        <v/>
      </c>
      <c r="P298" s="63">
        <f>IF(AND(O298&lt;&gt;"",D298&lt;&gt;""),O298-D298,"")</f>
        <v/>
      </c>
    </row>
    <row r="299" ht="15" customHeight="1" s="64">
      <c r="G299" s="63">
        <f>COUNTA(D299:F299)</f>
        <v/>
      </c>
      <c r="P299" s="63">
        <f>IF(AND(O299&lt;&gt;"",D299&lt;&gt;""),O299-D299,"")</f>
        <v/>
      </c>
    </row>
    <row r="300" ht="15" customHeight="1" s="64">
      <c r="G300" s="63">
        <f>COUNTA(D300:F300)</f>
        <v/>
      </c>
      <c r="P300" s="63">
        <f>IF(AND(O300&lt;&gt;"",D300&lt;&gt;""),O300-D300,"")</f>
        <v/>
      </c>
    </row>
    <row r="301" ht="15" customHeight="1" s="64">
      <c r="G301" s="63">
        <f>COUNTA(D301:F301)</f>
        <v/>
      </c>
      <c r="P301" s="63">
        <f>IF(AND(O301&lt;&gt;"",D301&lt;&gt;""),O301-D301,"")</f>
        <v/>
      </c>
    </row>
    <row r="302" ht="15" customHeight="1" s="64">
      <c r="G302" s="63">
        <f>COUNTA(D302:F302)</f>
        <v/>
      </c>
      <c r="P302" s="63">
        <f>IF(AND(O302&lt;&gt;"",D302&lt;&gt;""),O302-D302,"")</f>
        <v/>
      </c>
    </row>
    <row r="303" ht="15" customHeight="1" s="64">
      <c r="G303" s="63">
        <f>COUNTA(D303:F303)</f>
        <v/>
      </c>
      <c r="P303" s="63">
        <f>IF(AND(O303&lt;&gt;"",D303&lt;&gt;""),O303-D303,"")</f>
        <v/>
      </c>
    </row>
    <row r="304" ht="15" customHeight="1" s="64">
      <c r="G304" s="63">
        <f>COUNTA(D304:F304)</f>
        <v/>
      </c>
      <c r="P304" s="63">
        <f>IF(AND(O304&lt;&gt;"",D304&lt;&gt;""),O304-D304,"")</f>
        <v/>
      </c>
    </row>
    <row r="305" ht="15" customHeight="1" s="64">
      <c r="G305" s="63">
        <f>COUNTA(D305:F305)</f>
        <v/>
      </c>
      <c r="P305" s="63">
        <f>IF(AND(O305&lt;&gt;"",D305&lt;&gt;""),O305-D305,"")</f>
        <v/>
      </c>
    </row>
    <row r="306" ht="15" customHeight="1" s="64">
      <c r="G306" s="63">
        <f>COUNTA(D306:F306)</f>
        <v/>
      </c>
      <c r="P306" s="63">
        <f>IF(AND(O306&lt;&gt;"",D306&lt;&gt;""),O306-D306,"")</f>
        <v/>
      </c>
    </row>
    <row r="307" ht="15" customHeight="1" s="64">
      <c r="G307" s="63">
        <f>COUNTA(D307:F307)</f>
        <v/>
      </c>
      <c r="P307" s="63">
        <f>IF(AND(O307&lt;&gt;"",D307&lt;&gt;""),O307-D307,"")</f>
        <v/>
      </c>
    </row>
    <row r="308" ht="15" customHeight="1" s="64">
      <c r="G308" s="63">
        <f>COUNTA(D308:F308)</f>
        <v/>
      </c>
      <c r="P308" s="63">
        <f>IF(AND(O308&lt;&gt;"",D308&lt;&gt;""),O308-D308,"")</f>
        <v/>
      </c>
    </row>
    <row r="309" ht="15" customHeight="1" s="64">
      <c r="G309" s="63">
        <f>COUNTA(D309:F309)</f>
        <v/>
      </c>
      <c r="P309" s="63">
        <f>IF(AND(O309&lt;&gt;"",D309&lt;&gt;""),O309-D309,"")</f>
        <v/>
      </c>
    </row>
    <row r="310" ht="15" customHeight="1" s="64">
      <c r="G310" s="63">
        <f>COUNTA(D310:F310)</f>
        <v/>
      </c>
      <c r="P310" s="63">
        <f>IF(AND(O310&lt;&gt;"",D310&lt;&gt;""),O310-D310,"")</f>
        <v/>
      </c>
    </row>
    <row r="311" ht="15" customHeight="1" s="64">
      <c r="G311" s="63">
        <f>COUNTA(D311:F311)</f>
        <v/>
      </c>
      <c r="P311" s="63">
        <f>IF(AND(O311&lt;&gt;"",D311&lt;&gt;""),O311-D311,"")</f>
        <v/>
      </c>
    </row>
    <row r="312" ht="15" customHeight="1" s="64">
      <c r="G312" s="63">
        <f>COUNTA(D312:F312)</f>
        <v/>
      </c>
      <c r="P312" s="63">
        <f>IF(AND(O312&lt;&gt;"",D312&lt;&gt;""),O312-D312,"")</f>
        <v/>
      </c>
    </row>
    <row r="313" ht="15" customHeight="1" s="64">
      <c r="G313" s="63">
        <f>COUNTA(D313:F313)</f>
        <v/>
      </c>
      <c r="P313" s="63">
        <f>IF(AND(O313&lt;&gt;"",D313&lt;&gt;""),O313-D313,"")</f>
        <v/>
      </c>
    </row>
    <row r="314" ht="15" customHeight="1" s="64">
      <c r="G314" s="63">
        <f>COUNTA(D314:F314)</f>
        <v/>
      </c>
      <c r="P314" s="63">
        <f>IF(AND(O314&lt;&gt;"",D314&lt;&gt;""),O314-D314,"")</f>
        <v/>
      </c>
    </row>
    <row r="315" ht="15" customHeight="1" s="64">
      <c r="G315" s="63">
        <f>COUNTA(D315:F315)</f>
        <v/>
      </c>
      <c r="P315" s="63">
        <f>IF(AND(O315&lt;&gt;"",D315&lt;&gt;""),O315-D315,"")</f>
        <v/>
      </c>
    </row>
    <row r="316" ht="15" customHeight="1" s="64">
      <c r="G316" s="63">
        <f>COUNTA(D316:F316)</f>
        <v/>
      </c>
      <c r="P316" s="63">
        <f>IF(AND(O316&lt;&gt;"",D316&lt;&gt;""),O316-D316,"")</f>
        <v/>
      </c>
    </row>
    <row r="317" ht="15" customHeight="1" s="64">
      <c r="G317" s="63">
        <f>COUNTA(D317:F317)</f>
        <v/>
      </c>
      <c r="P317" s="63">
        <f>IF(AND(O317&lt;&gt;"",D317&lt;&gt;""),O317-D317,"")</f>
        <v/>
      </c>
    </row>
    <row r="318" ht="15" customHeight="1" s="64">
      <c r="G318" s="63">
        <f>COUNTA(D318:F318)</f>
        <v/>
      </c>
      <c r="P318" s="63">
        <f>IF(AND(O318&lt;&gt;"",D318&lt;&gt;""),O318-D318,"")</f>
        <v/>
      </c>
    </row>
    <row r="319" ht="15" customHeight="1" s="64">
      <c r="G319" s="63">
        <f>COUNTA(D319:F319)</f>
        <v/>
      </c>
      <c r="P319" s="63">
        <f>IF(AND(O319&lt;&gt;"",D319&lt;&gt;""),O319-D319,"")</f>
        <v/>
      </c>
    </row>
    <row r="320" ht="15" customHeight="1" s="64">
      <c r="G320" s="63">
        <f>COUNTA(D320:F320)</f>
        <v/>
      </c>
      <c r="P320" s="63">
        <f>IF(AND(O320&lt;&gt;"",D320&lt;&gt;""),O320-D320,"")</f>
        <v/>
      </c>
    </row>
    <row r="321" ht="15" customHeight="1" s="64">
      <c r="G321" s="63">
        <f>COUNTA(D321:F321)</f>
        <v/>
      </c>
      <c r="P321" s="63">
        <f>IF(AND(O321&lt;&gt;"",D321&lt;&gt;""),O321-D321,"")</f>
        <v/>
      </c>
    </row>
    <row r="322" ht="15" customHeight="1" s="64">
      <c r="G322" s="63">
        <f>COUNTA(D322:F322)</f>
        <v/>
      </c>
      <c r="P322" s="63">
        <f>IF(AND(O322&lt;&gt;"",D322&lt;&gt;""),O322-D322,"")</f>
        <v/>
      </c>
    </row>
    <row r="323" ht="15" customHeight="1" s="64">
      <c r="G323" s="63">
        <f>COUNTA(D323:F323)</f>
        <v/>
      </c>
      <c r="P323" s="63">
        <f>IF(AND(O323&lt;&gt;"",D323&lt;&gt;""),O323-D323,"")</f>
        <v/>
      </c>
    </row>
    <row r="324" ht="15" customHeight="1" s="64">
      <c r="G324" s="63">
        <f>COUNTA(D324:F324)</f>
        <v/>
      </c>
      <c r="P324" s="63">
        <f>IF(AND(O324&lt;&gt;"",D324&lt;&gt;""),O324-D324,"")</f>
        <v/>
      </c>
    </row>
    <row r="325" ht="15" customHeight="1" s="64">
      <c r="G325" s="63">
        <f>COUNTA(D325:F325)</f>
        <v/>
      </c>
      <c r="P325" s="63">
        <f>IF(AND(O325&lt;&gt;"",D325&lt;&gt;""),O325-D325,"")</f>
        <v/>
      </c>
    </row>
    <row r="326" ht="15" customHeight="1" s="64">
      <c r="G326" s="63">
        <f>COUNTA(D326:F326)</f>
        <v/>
      </c>
      <c r="P326" s="63">
        <f>IF(AND(O326&lt;&gt;"",D326&lt;&gt;""),O326-D326,"")</f>
        <v/>
      </c>
    </row>
    <row r="327" ht="15" customHeight="1" s="64">
      <c r="G327" s="63">
        <f>COUNTA(D327:F327)</f>
        <v/>
      </c>
      <c r="P327" s="63">
        <f>IF(AND(O327&lt;&gt;"",D327&lt;&gt;""),O327-D327,"")</f>
        <v/>
      </c>
    </row>
    <row r="328" ht="15" customHeight="1" s="64">
      <c r="G328" s="63">
        <f>COUNTA(D328:F328)</f>
        <v/>
      </c>
      <c r="P328" s="63">
        <f>IF(AND(O328&lt;&gt;"",D328&lt;&gt;""),O328-D328,"")</f>
        <v/>
      </c>
    </row>
    <row r="329" ht="15" customHeight="1" s="64">
      <c r="G329" s="63">
        <f>COUNTA(D329:F329)</f>
        <v/>
      </c>
      <c r="P329" s="63">
        <f>IF(AND(O329&lt;&gt;"",D329&lt;&gt;""),O329-D329,"")</f>
        <v/>
      </c>
    </row>
    <row r="330" ht="15" customHeight="1" s="64">
      <c r="G330" s="63">
        <f>COUNTA(D330:F330)</f>
        <v/>
      </c>
      <c r="P330" s="63">
        <f>IF(AND(O330&lt;&gt;"",D330&lt;&gt;""),O330-D330,"")</f>
        <v/>
      </c>
    </row>
    <row r="331" ht="15" customHeight="1" s="64">
      <c r="G331" s="63">
        <f>COUNTA(D331:F331)</f>
        <v/>
      </c>
      <c r="P331" s="63">
        <f>IF(AND(O331&lt;&gt;"",D331&lt;&gt;""),O331-D331,"")</f>
        <v/>
      </c>
    </row>
    <row r="332" ht="15" customHeight="1" s="64">
      <c r="G332" s="63">
        <f>COUNTA(D332:F332)</f>
        <v/>
      </c>
      <c r="P332" s="63">
        <f>IF(AND(O332&lt;&gt;"",D332&lt;&gt;""),O332-D332,"")</f>
        <v/>
      </c>
    </row>
    <row r="333" ht="15" customHeight="1" s="64">
      <c r="G333" s="63">
        <f>COUNTA(D333:F333)</f>
        <v/>
      </c>
      <c r="P333" s="63">
        <f>IF(AND(O333&lt;&gt;"",D333&lt;&gt;""),O333-D333,"")</f>
        <v/>
      </c>
    </row>
    <row r="334" ht="15" customHeight="1" s="64">
      <c r="G334" s="63">
        <f>COUNTA(D334:F334)</f>
        <v/>
      </c>
      <c r="P334" s="63">
        <f>IF(AND(O334&lt;&gt;"",D334&lt;&gt;""),O334-D334,"")</f>
        <v/>
      </c>
    </row>
    <row r="335" ht="15" customHeight="1" s="64">
      <c r="G335" s="63">
        <f>COUNTA(D335:F335)</f>
        <v/>
      </c>
      <c r="P335" s="63">
        <f>IF(AND(O335&lt;&gt;"",D335&lt;&gt;""),O335-D335,"")</f>
        <v/>
      </c>
    </row>
    <row r="336" ht="15" customHeight="1" s="64">
      <c r="G336" s="63">
        <f>COUNTA(D336:F336)</f>
        <v/>
      </c>
      <c r="P336" s="63">
        <f>IF(AND(O336&lt;&gt;"",D336&lt;&gt;""),O336-D336,"")</f>
        <v/>
      </c>
    </row>
    <row r="337" ht="15" customHeight="1" s="64">
      <c r="G337" s="63">
        <f>COUNTA(D337:F337)</f>
        <v/>
      </c>
      <c r="P337" s="63">
        <f>IF(AND(O337&lt;&gt;"",D337&lt;&gt;""),O337-D337,"")</f>
        <v/>
      </c>
    </row>
    <row r="338" ht="15" customHeight="1" s="64">
      <c r="G338" s="63">
        <f>COUNTA(D338:F338)</f>
        <v/>
      </c>
      <c r="P338" s="63">
        <f>IF(AND(O338&lt;&gt;"",D338&lt;&gt;""),O338-D338,"")</f>
        <v/>
      </c>
    </row>
    <row r="339" ht="15" customHeight="1" s="64">
      <c r="G339" s="63">
        <f>COUNTA(D339:F339)</f>
        <v/>
      </c>
      <c r="P339" s="63">
        <f>IF(AND(O339&lt;&gt;"",D339&lt;&gt;""),O339-D339,"")</f>
        <v/>
      </c>
    </row>
    <row r="340" ht="15" customHeight="1" s="64">
      <c r="G340" s="63">
        <f>COUNTA(D340:F340)</f>
        <v/>
      </c>
      <c r="P340" s="63">
        <f>IF(AND(O340&lt;&gt;"",D340&lt;&gt;""),O340-D340,"")</f>
        <v/>
      </c>
    </row>
    <row r="341" ht="15" customHeight="1" s="64">
      <c r="G341" s="63">
        <f>COUNTA(D341:F341)</f>
        <v/>
      </c>
      <c r="P341" s="63">
        <f>IF(AND(O341&lt;&gt;"",D341&lt;&gt;""),O341-D341,"")</f>
        <v/>
      </c>
    </row>
    <row r="342" ht="15" customHeight="1" s="64">
      <c r="G342" s="63">
        <f>COUNTA(D342:F342)</f>
        <v/>
      </c>
      <c r="P342" s="63">
        <f>IF(AND(O342&lt;&gt;"",D342&lt;&gt;""),O342-D342,"")</f>
        <v/>
      </c>
    </row>
    <row r="343" ht="15" customHeight="1" s="64">
      <c r="G343" s="63">
        <f>COUNTA(D343:F343)</f>
        <v/>
      </c>
      <c r="P343" s="63">
        <f>IF(AND(O343&lt;&gt;"",D343&lt;&gt;""),O343-D343,"")</f>
        <v/>
      </c>
    </row>
    <row r="344" ht="15" customHeight="1" s="64">
      <c r="G344" s="63">
        <f>COUNTA(D344:F344)</f>
        <v/>
      </c>
      <c r="P344" s="63">
        <f>IF(AND(O344&lt;&gt;"",D344&lt;&gt;""),O344-D344,"")</f>
        <v/>
      </c>
    </row>
    <row r="345" ht="15" customHeight="1" s="64">
      <c r="G345" s="63">
        <f>COUNTA(D345:F345)</f>
        <v/>
      </c>
      <c r="P345" s="63">
        <f>IF(AND(O345&lt;&gt;"",D345&lt;&gt;""),O345-D345,"")</f>
        <v/>
      </c>
    </row>
    <row r="346" ht="15" customHeight="1" s="64">
      <c r="G346" s="63">
        <f>COUNTA(D346:F346)</f>
        <v/>
      </c>
      <c r="P346" s="63">
        <f>IF(AND(O346&lt;&gt;"",D346&lt;&gt;""),O346-D346,"")</f>
        <v/>
      </c>
    </row>
    <row r="347" ht="15" customHeight="1" s="64">
      <c r="G347" s="63">
        <f>COUNTA(D347:F347)</f>
        <v/>
      </c>
      <c r="P347" s="63">
        <f>IF(AND(O347&lt;&gt;"",D347&lt;&gt;""),O347-D347,"")</f>
        <v/>
      </c>
    </row>
    <row r="348" ht="15" customHeight="1" s="64">
      <c r="G348" s="63">
        <f>COUNTA(D348:F348)</f>
        <v/>
      </c>
      <c r="P348" s="63">
        <f>IF(AND(O348&lt;&gt;"",D348&lt;&gt;""),O348-D348,"")</f>
        <v/>
      </c>
    </row>
    <row r="349" ht="15" customHeight="1" s="64">
      <c r="G349" s="63">
        <f>COUNTA(D349:F349)</f>
        <v/>
      </c>
      <c r="P349" s="63">
        <f>IF(AND(O349&lt;&gt;"",D349&lt;&gt;""),O349-D349,"")</f>
        <v/>
      </c>
    </row>
    <row r="350" ht="15" customHeight="1" s="64">
      <c r="G350" s="63">
        <f>COUNTA(D350:F350)</f>
        <v/>
      </c>
      <c r="P350" s="63">
        <f>IF(AND(O350&lt;&gt;"",D350&lt;&gt;""),O350-D350,"")</f>
        <v/>
      </c>
    </row>
    <row r="351" ht="15" customHeight="1" s="64">
      <c r="G351" s="63">
        <f>COUNTA(D351:F351)</f>
        <v/>
      </c>
      <c r="P351" s="63">
        <f>IF(AND(O351&lt;&gt;"",D351&lt;&gt;""),O351-D351,"")</f>
        <v/>
      </c>
    </row>
    <row r="352" ht="15" customHeight="1" s="64">
      <c r="G352" s="63">
        <f>COUNTA(D352:F352)</f>
        <v/>
      </c>
      <c r="P352" s="63">
        <f>IF(AND(O352&lt;&gt;"",D352&lt;&gt;""),O352-D352,"")</f>
        <v/>
      </c>
    </row>
    <row r="353" ht="15" customHeight="1" s="64">
      <c r="G353" s="63">
        <f>COUNTA(D353:F353)</f>
        <v/>
      </c>
      <c r="P353" s="63">
        <f>IF(AND(O353&lt;&gt;"",D353&lt;&gt;""),O353-D353,"")</f>
        <v/>
      </c>
    </row>
    <row r="354" ht="15" customHeight="1" s="64">
      <c r="G354" s="63">
        <f>COUNTA(D354:F354)</f>
        <v/>
      </c>
      <c r="P354" s="63">
        <f>IF(AND(O354&lt;&gt;"",D354&lt;&gt;""),O354-D354,"")</f>
        <v/>
      </c>
    </row>
    <row r="355" ht="15" customHeight="1" s="64">
      <c r="G355" s="63">
        <f>COUNTA(D355:F355)</f>
        <v/>
      </c>
      <c r="P355" s="63">
        <f>IF(AND(O355&lt;&gt;"",D355&lt;&gt;""),O355-D355,"")</f>
        <v/>
      </c>
    </row>
    <row r="356" ht="15" customHeight="1" s="64">
      <c r="G356" s="63">
        <f>COUNTA(D356:F356)</f>
        <v/>
      </c>
      <c r="P356" s="63">
        <f>IF(AND(O356&lt;&gt;"",D356&lt;&gt;""),O356-D356,"")</f>
        <v/>
      </c>
    </row>
    <row r="357" ht="15" customHeight="1" s="64">
      <c r="G357" s="63">
        <f>COUNTA(D357:F357)</f>
        <v/>
      </c>
      <c r="P357" s="63">
        <f>IF(AND(O357&lt;&gt;"",D357&lt;&gt;""),O357-D357,"")</f>
        <v/>
      </c>
    </row>
    <row r="358" ht="15" customHeight="1" s="64">
      <c r="G358" s="63">
        <f>COUNTA(D358:F358)</f>
        <v/>
      </c>
      <c r="P358" s="63">
        <f>IF(AND(O358&lt;&gt;"",D358&lt;&gt;""),O358-D358,"")</f>
        <v/>
      </c>
    </row>
    <row r="359" ht="15" customHeight="1" s="64">
      <c r="G359" s="63">
        <f>COUNTA(D359:F359)</f>
        <v/>
      </c>
      <c r="P359" s="63">
        <f>IF(AND(O359&lt;&gt;"",D359&lt;&gt;""),O359-D359,"")</f>
        <v/>
      </c>
    </row>
    <row r="360" ht="15" customHeight="1" s="64">
      <c r="G360" s="63">
        <f>COUNTA(D360:F360)</f>
        <v/>
      </c>
      <c r="P360" s="63">
        <f>IF(AND(O360&lt;&gt;"",D360&lt;&gt;""),O360-D360,"")</f>
        <v/>
      </c>
    </row>
    <row r="361" ht="15" customHeight="1" s="64">
      <c r="G361" s="63">
        <f>COUNTA(D361:F361)</f>
        <v/>
      </c>
      <c r="P361" s="63">
        <f>IF(AND(O361&lt;&gt;"",D361&lt;&gt;""),O361-D361,"")</f>
        <v/>
      </c>
    </row>
    <row r="362" ht="15" customHeight="1" s="64">
      <c r="G362" s="63">
        <f>COUNTA(D362:F362)</f>
        <v/>
      </c>
      <c r="P362" s="63">
        <f>IF(AND(O362&lt;&gt;"",D362&lt;&gt;""),O362-D362,"")</f>
        <v/>
      </c>
    </row>
    <row r="363" ht="15" customHeight="1" s="64">
      <c r="G363" s="63">
        <f>COUNTA(D363:F363)</f>
        <v/>
      </c>
      <c r="P363" s="63">
        <f>IF(AND(O363&lt;&gt;"",D363&lt;&gt;""),O363-D363,"")</f>
        <v/>
      </c>
    </row>
    <row r="364" ht="15" customHeight="1" s="64">
      <c r="G364" s="63">
        <f>COUNTA(D364:F364)</f>
        <v/>
      </c>
      <c r="P364" s="63">
        <f>IF(AND(O364&lt;&gt;"",D364&lt;&gt;""),O364-D364,"")</f>
        <v/>
      </c>
    </row>
    <row r="365" ht="15" customHeight="1" s="64">
      <c r="G365" s="63">
        <f>COUNTA(D365:F365)</f>
        <v/>
      </c>
      <c r="P365" s="63">
        <f>IF(AND(O365&lt;&gt;"",D365&lt;&gt;""),O365-D365,"")</f>
        <v/>
      </c>
    </row>
    <row r="366" ht="15" customHeight="1" s="64">
      <c r="G366" s="63">
        <f>COUNTA(D366:F366)</f>
        <v/>
      </c>
      <c r="P366" s="63">
        <f>IF(AND(O366&lt;&gt;"",D366&lt;&gt;""),O366-D366,"")</f>
        <v/>
      </c>
    </row>
    <row r="367" ht="15" customHeight="1" s="64">
      <c r="G367" s="63">
        <f>COUNTA(D367:F367)</f>
        <v/>
      </c>
      <c r="P367" s="63">
        <f>IF(AND(O367&lt;&gt;"",D367&lt;&gt;""),O367-D367,"")</f>
        <v/>
      </c>
    </row>
    <row r="368" ht="15" customHeight="1" s="64">
      <c r="G368" s="63">
        <f>COUNTA(D368:F368)</f>
        <v/>
      </c>
      <c r="P368" s="63">
        <f>IF(AND(O368&lt;&gt;"",D368&lt;&gt;""),O368-D368,"")</f>
        <v/>
      </c>
    </row>
    <row r="369" ht="15" customHeight="1" s="64">
      <c r="G369" s="63">
        <f>COUNTA(D369:F369)</f>
        <v/>
      </c>
      <c r="P369" s="63">
        <f>IF(AND(O369&lt;&gt;"",D369&lt;&gt;""),O369-D369,"")</f>
        <v/>
      </c>
    </row>
    <row r="370" ht="15" customHeight="1" s="64">
      <c r="G370" s="63">
        <f>COUNTA(D370:F370)</f>
        <v/>
      </c>
      <c r="P370" s="63">
        <f>IF(AND(O370&lt;&gt;"",D370&lt;&gt;""),O370-D370,"")</f>
        <v/>
      </c>
    </row>
    <row r="371" ht="15" customHeight="1" s="64">
      <c r="G371" s="63">
        <f>COUNTA(D371:F371)</f>
        <v/>
      </c>
      <c r="P371" s="63">
        <f>IF(AND(O371&lt;&gt;"",D371&lt;&gt;""),O371-D371,"")</f>
        <v/>
      </c>
    </row>
    <row r="372" ht="15" customHeight="1" s="64">
      <c r="G372" s="63">
        <f>COUNTA(D372:F372)</f>
        <v/>
      </c>
      <c r="P372" s="63">
        <f>IF(AND(O372&lt;&gt;"",D372&lt;&gt;""),O372-D372,"")</f>
        <v/>
      </c>
    </row>
    <row r="373" ht="15" customHeight="1" s="64">
      <c r="G373" s="63">
        <f>COUNTA(D373:F373)</f>
        <v/>
      </c>
      <c r="P373" s="63">
        <f>IF(AND(O373&lt;&gt;"",D373&lt;&gt;""),O373-D373,"")</f>
        <v/>
      </c>
    </row>
    <row r="374" ht="15" customHeight="1" s="64">
      <c r="G374" s="63">
        <f>COUNTA(D374:F374)</f>
        <v/>
      </c>
      <c r="P374" s="63">
        <f>IF(AND(O374&lt;&gt;"",D374&lt;&gt;""),O374-D374,"")</f>
        <v/>
      </c>
    </row>
    <row r="375" ht="15" customHeight="1" s="64">
      <c r="G375" s="63">
        <f>COUNTA(D375:F375)</f>
        <v/>
      </c>
      <c r="P375" s="63">
        <f>IF(AND(O375&lt;&gt;"",D375&lt;&gt;""),O375-D375,"")</f>
        <v/>
      </c>
    </row>
    <row r="376" ht="15" customHeight="1" s="64">
      <c r="G376" s="63">
        <f>COUNTA(D376:F376)</f>
        <v/>
      </c>
      <c r="P376" s="63">
        <f>IF(AND(O376&lt;&gt;"",D376&lt;&gt;""),O376-D376,"")</f>
        <v/>
      </c>
    </row>
    <row r="377" ht="15" customHeight="1" s="64">
      <c r="G377" s="63">
        <f>COUNTA(D377:F377)</f>
        <v/>
      </c>
      <c r="P377" s="63">
        <f>IF(AND(O377&lt;&gt;"",D377&lt;&gt;""),O377-D377,"")</f>
        <v/>
      </c>
    </row>
    <row r="378" ht="15" customHeight="1" s="64">
      <c r="G378" s="63">
        <f>COUNTA(D378:F378)</f>
        <v/>
      </c>
      <c r="P378" s="63">
        <f>IF(AND(O378&lt;&gt;"",D378&lt;&gt;""),O378-D378,"")</f>
        <v/>
      </c>
    </row>
    <row r="379" ht="15" customHeight="1" s="64">
      <c r="G379" s="63">
        <f>COUNTA(D379:F379)</f>
        <v/>
      </c>
      <c r="P379" s="63">
        <f>IF(AND(O379&lt;&gt;"",D379&lt;&gt;""),O379-D379,"")</f>
        <v/>
      </c>
    </row>
    <row r="380" ht="15" customHeight="1" s="64">
      <c r="G380" s="63">
        <f>COUNTA(D380:F380)</f>
        <v/>
      </c>
      <c r="P380" s="63">
        <f>IF(AND(O380&lt;&gt;"",D380&lt;&gt;""),O380-D380,"")</f>
        <v/>
      </c>
    </row>
    <row r="381" ht="15" customHeight="1" s="64">
      <c r="G381" s="63">
        <f>COUNTA(D381:F381)</f>
        <v/>
      </c>
      <c r="P381" s="63">
        <f>IF(AND(O381&lt;&gt;"",D381&lt;&gt;""),O381-D381,"")</f>
        <v/>
      </c>
    </row>
    <row r="382" ht="15" customHeight="1" s="64">
      <c r="G382" s="63">
        <f>COUNTA(D382:F382)</f>
        <v/>
      </c>
      <c r="P382" s="63">
        <f>IF(AND(O382&lt;&gt;"",D382&lt;&gt;""),O382-D382,"")</f>
        <v/>
      </c>
    </row>
    <row r="383" ht="15" customHeight="1" s="64">
      <c r="G383" s="63">
        <f>COUNTA(D383:F383)</f>
        <v/>
      </c>
      <c r="P383" s="63">
        <f>IF(AND(O383&lt;&gt;"",D383&lt;&gt;""),O383-D383,"")</f>
        <v/>
      </c>
    </row>
    <row r="384" ht="15" customHeight="1" s="64">
      <c r="G384" s="63">
        <f>COUNTA(D384:F384)</f>
        <v/>
      </c>
      <c r="P384" s="63">
        <f>IF(AND(O384&lt;&gt;"",D384&lt;&gt;""),O384-D384,"")</f>
        <v/>
      </c>
    </row>
    <row r="385" ht="15" customHeight="1" s="64">
      <c r="G385" s="63">
        <f>COUNTA(D385:F385)</f>
        <v/>
      </c>
      <c r="P385" s="63">
        <f>IF(AND(O385&lt;&gt;"",D385&lt;&gt;""),O385-D385,"")</f>
        <v/>
      </c>
    </row>
    <row r="386" ht="15" customHeight="1" s="64">
      <c r="G386" s="63">
        <f>COUNTA(D386:F386)</f>
        <v/>
      </c>
      <c r="P386" s="63">
        <f>IF(AND(O386&lt;&gt;"",D386&lt;&gt;""),O386-D386,"")</f>
        <v/>
      </c>
    </row>
    <row r="387" ht="15" customHeight="1" s="64">
      <c r="G387" s="63">
        <f>COUNTA(D387:F387)</f>
        <v/>
      </c>
      <c r="P387" s="63">
        <f>IF(AND(O387&lt;&gt;"",D387&lt;&gt;""),O387-D387,"")</f>
        <v/>
      </c>
    </row>
    <row r="388" ht="15" customHeight="1" s="64">
      <c r="G388" s="63">
        <f>COUNTA(D388:F388)</f>
        <v/>
      </c>
      <c r="P388" s="63">
        <f>IF(AND(O388&lt;&gt;"",D388&lt;&gt;""),O388-D388,"")</f>
        <v/>
      </c>
    </row>
    <row r="389" ht="15" customHeight="1" s="64">
      <c r="G389" s="63">
        <f>COUNTA(D389:F389)</f>
        <v/>
      </c>
      <c r="P389" s="63">
        <f>IF(AND(O389&lt;&gt;"",D389&lt;&gt;""),O389-D389,"")</f>
        <v/>
      </c>
    </row>
    <row r="390" ht="15" customHeight="1" s="64">
      <c r="G390" s="63">
        <f>COUNTA(D390:F390)</f>
        <v/>
      </c>
      <c r="P390" s="63">
        <f>IF(AND(O390&lt;&gt;"",D390&lt;&gt;""),O390-D390,"")</f>
        <v/>
      </c>
    </row>
    <row r="391" ht="15" customHeight="1" s="64">
      <c r="G391" s="63">
        <f>COUNTA(D391:F391)</f>
        <v/>
      </c>
      <c r="P391" s="63">
        <f>IF(AND(O391&lt;&gt;"",D391&lt;&gt;""),O391-D391,"")</f>
        <v/>
      </c>
    </row>
    <row r="392" ht="15" customHeight="1" s="64">
      <c r="G392" s="63">
        <f>COUNTA(D392:F392)</f>
        <v/>
      </c>
      <c r="P392" s="63">
        <f>IF(AND(O392&lt;&gt;"",D392&lt;&gt;""),O392-D392,"")</f>
        <v/>
      </c>
    </row>
    <row r="393" ht="15" customHeight="1" s="64">
      <c r="G393" s="63">
        <f>COUNTA(D393:F393)</f>
        <v/>
      </c>
      <c r="P393" s="63">
        <f>IF(AND(O393&lt;&gt;"",D393&lt;&gt;""),O393-D393,"")</f>
        <v/>
      </c>
    </row>
    <row r="394" ht="15" customHeight="1" s="64">
      <c r="G394" s="63">
        <f>COUNTA(D394:F394)</f>
        <v/>
      </c>
      <c r="P394" s="63">
        <f>IF(AND(O394&lt;&gt;"",D394&lt;&gt;""),O394-D394,"")</f>
        <v/>
      </c>
    </row>
    <row r="395" ht="15" customHeight="1" s="64">
      <c r="G395" s="63">
        <f>COUNTA(D395:F395)</f>
        <v/>
      </c>
      <c r="P395" s="63">
        <f>IF(AND(O395&lt;&gt;"",D395&lt;&gt;""),O395-D395,"")</f>
        <v/>
      </c>
    </row>
    <row r="396" ht="15" customHeight="1" s="64">
      <c r="G396" s="63">
        <f>COUNTA(D396:F396)</f>
        <v/>
      </c>
      <c r="P396" s="63">
        <f>IF(AND(O396&lt;&gt;"",D396&lt;&gt;""),O396-D396,"")</f>
        <v/>
      </c>
    </row>
    <row r="397" ht="15" customHeight="1" s="64">
      <c r="G397" s="63">
        <f>COUNTA(D397:F397)</f>
        <v/>
      </c>
      <c r="P397" s="63">
        <f>IF(AND(O397&lt;&gt;"",D397&lt;&gt;""),O397-D397,"")</f>
        <v/>
      </c>
    </row>
    <row r="398" ht="15" customHeight="1" s="64">
      <c r="G398" s="63">
        <f>COUNTA(D398:F398)</f>
        <v/>
      </c>
      <c r="P398" s="63">
        <f>IF(AND(O398&lt;&gt;"",D398&lt;&gt;""),O398-D398,"")</f>
        <v/>
      </c>
    </row>
    <row r="399" ht="15" customHeight="1" s="64">
      <c r="G399" s="63">
        <f>COUNTA(D399:F399)</f>
        <v/>
      </c>
      <c r="P399" s="63">
        <f>IF(AND(O399&lt;&gt;"",D399&lt;&gt;""),O399-D399,"")</f>
        <v/>
      </c>
    </row>
    <row r="400" ht="15" customHeight="1" s="64">
      <c r="G400" s="63">
        <f>COUNTA(D400:F400)</f>
        <v/>
      </c>
      <c r="P400" s="63">
        <f>IF(AND(O400&lt;&gt;"",D400&lt;&gt;""),O400-D400,"")</f>
        <v/>
      </c>
    </row>
    <row r="401" ht="15" customHeight="1" s="64">
      <c r="G401" s="63">
        <f>COUNTA(D401:F401)</f>
        <v/>
      </c>
      <c r="P401" s="63">
        <f>IF(AND(O401&lt;&gt;"",D401&lt;&gt;""),O401-D401,"")</f>
        <v/>
      </c>
    </row>
    <row r="402" ht="15" customHeight="1" s="64">
      <c r="G402" s="63">
        <f>COUNTA(D402:F402)</f>
        <v/>
      </c>
      <c r="P402" s="63">
        <f>IF(AND(O402&lt;&gt;"",D402&lt;&gt;""),O402-D402,"")</f>
        <v/>
      </c>
    </row>
    <row r="403" ht="15" customHeight="1" s="64">
      <c r="G403" s="63">
        <f>COUNTA(D403:F403)</f>
        <v/>
      </c>
      <c r="P403" s="63">
        <f>IF(AND(O403&lt;&gt;"",D403&lt;&gt;""),O403-D403,"")</f>
        <v/>
      </c>
    </row>
    <row r="404" ht="15" customHeight="1" s="64">
      <c r="G404" s="63">
        <f>COUNTA(D404:F404)</f>
        <v/>
      </c>
      <c r="P404" s="63">
        <f>IF(AND(O404&lt;&gt;"",D404&lt;&gt;""),O404-D404,"")</f>
        <v/>
      </c>
    </row>
    <row r="405" ht="15" customHeight="1" s="64">
      <c r="G405" s="63">
        <f>COUNTA(D405:F405)</f>
        <v/>
      </c>
      <c r="P405" s="63">
        <f>IF(AND(O405&lt;&gt;"",D405&lt;&gt;""),O405-D405,"")</f>
        <v/>
      </c>
    </row>
    <row r="406" ht="15" customHeight="1" s="64">
      <c r="G406" s="63">
        <f>COUNTA(D406:F406)</f>
        <v/>
      </c>
      <c r="P406" s="63">
        <f>IF(AND(O406&lt;&gt;"",D406&lt;&gt;""),O406-D406,"")</f>
        <v/>
      </c>
    </row>
    <row r="407" ht="15" customHeight="1" s="64">
      <c r="G407" s="63">
        <f>COUNTA(D407:F407)</f>
        <v/>
      </c>
      <c r="P407" s="63">
        <f>IF(AND(O407&lt;&gt;"",D407&lt;&gt;""),O407-D407,"")</f>
        <v/>
      </c>
    </row>
    <row r="408" ht="15" customHeight="1" s="64">
      <c r="G408" s="63">
        <f>COUNTA(D408:F408)</f>
        <v/>
      </c>
      <c r="P408" s="63">
        <f>IF(AND(O408&lt;&gt;"",D408&lt;&gt;""),O408-D408,"")</f>
        <v/>
      </c>
    </row>
    <row r="409" ht="15" customHeight="1" s="64">
      <c r="G409" s="63">
        <f>COUNTA(D409:F409)</f>
        <v/>
      </c>
      <c r="P409" s="63">
        <f>IF(AND(O409&lt;&gt;"",D409&lt;&gt;""),O409-D409,"")</f>
        <v/>
      </c>
    </row>
    <row r="410" ht="15" customHeight="1" s="64">
      <c r="G410" s="63">
        <f>COUNTA(D410:F410)</f>
        <v/>
      </c>
      <c r="P410" s="63">
        <f>IF(AND(O410&lt;&gt;"",D410&lt;&gt;""),O410-D410,"")</f>
        <v/>
      </c>
    </row>
    <row r="411" ht="15" customHeight="1" s="64">
      <c r="G411" s="63">
        <f>COUNTA(D411:F411)</f>
        <v/>
      </c>
      <c r="P411" s="63">
        <f>IF(AND(O411&lt;&gt;"",D411&lt;&gt;""),O411-D411,"")</f>
        <v/>
      </c>
    </row>
    <row r="412" ht="15" customHeight="1" s="64">
      <c r="G412" s="63">
        <f>COUNTA(D412:F412)</f>
        <v/>
      </c>
      <c r="P412" s="63">
        <f>IF(AND(O412&lt;&gt;"",D412&lt;&gt;""),O412-D412,"")</f>
        <v/>
      </c>
    </row>
    <row r="413" ht="15" customHeight="1" s="64">
      <c r="G413" s="63">
        <f>COUNTA(D413:F413)</f>
        <v/>
      </c>
      <c r="P413" s="63">
        <f>IF(AND(O413&lt;&gt;"",D413&lt;&gt;""),O413-D413,"")</f>
        <v/>
      </c>
    </row>
    <row r="414" ht="15" customHeight="1" s="64">
      <c r="G414" s="63">
        <f>COUNTA(D414:F414)</f>
        <v/>
      </c>
      <c r="P414" s="63">
        <f>IF(AND(O414&lt;&gt;"",D414&lt;&gt;""),O414-D414,"")</f>
        <v/>
      </c>
    </row>
    <row r="415" ht="15" customHeight="1" s="64">
      <c r="G415" s="63">
        <f>COUNTA(D415:F415)</f>
        <v/>
      </c>
      <c r="P415" s="63">
        <f>IF(AND(O415&lt;&gt;"",D415&lt;&gt;""),O415-D415,"")</f>
        <v/>
      </c>
    </row>
    <row r="416" ht="15" customHeight="1" s="64">
      <c r="G416" s="63">
        <f>COUNTA(D416:F416)</f>
        <v/>
      </c>
      <c r="P416" s="63">
        <f>IF(AND(O416&lt;&gt;"",D416&lt;&gt;""),O416-D416,"")</f>
        <v/>
      </c>
    </row>
    <row r="417" ht="15" customHeight="1" s="64">
      <c r="G417" s="63">
        <f>COUNTA(D417:F417)</f>
        <v/>
      </c>
      <c r="P417" s="63">
        <f>IF(AND(O417&lt;&gt;"",D417&lt;&gt;""),O417-D417,"")</f>
        <v/>
      </c>
    </row>
    <row r="418" ht="15" customHeight="1" s="64">
      <c r="G418" s="63">
        <f>COUNTA(D418:F418)</f>
        <v/>
      </c>
      <c r="P418" s="63">
        <f>IF(AND(O418&lt;&gt;"",D418&lt;&gt;""),O418-D418,"")</f>
        <v/>
      </c>
    </row>
    <row r="419" ht="15" customHeight="1" s="64">
      <c r="G419" s="63">
        <f>COUNTA(D419:F419)</f>
        <v/>
      </c>
      <c r="P419" s="63">
        <f>IF(AND(O419&lt;&gt;"",D419&lt;&gt;""),O419-D419,"")</f>
        <v/>
      </c>
    </row>
    <row r="420" ht="15" customHeight="1" s="64">
      <c r="G420" s="63">
        <f>COUNTA(D420:F420)</f>
        <v/>
      </c>
      <c r="P420" s="63">
        <f>IF(AND(O420&lt;&gt;"",D420&lt;&gt;""),O420-D420,"")</f>
        <v/>
      </c>
    </row>
    <row r="421" ht="15" customHeight="1" s="64">
      <c r="G421" s="63">
        <f>COUNTA(D421:F421)</f>
        <v/>
      </c>
      <c r="P421" s="63">
        <f>IF(AND(O421&lt;&gt;"",D421&lt;&gt;""),O421-D421,"")</f>
        <v/>
      </c>
    </row>
    <row r="422" ht="15" customHeight="1" s="64">
      <c r="G422" s="63">
        <f>COUNTA(D422:F422)</f>
        <v/>
      </c>
      <c r="P422" s="63">
        <f>IF(AND(O422&lt;&gt;"",D422&lt;&gt;""),O422-D422,"")</f>
        <v/>
      </c>
    </row>
    <row r="423" ht="15" customHeight="1" s="64">
      <c r="G423" s="63">
        <f>COUNTA(D423:F423)</f>
        <v/>
      </c>
      <c r="P423" s="63">
        <f>IF(AND(O423&lt;&gt;"",D423&lt;&gt;""),O423-D423,"")</f>
        <v/>
      </c>
    </row>
    <row r="424" ht="15" customHeight="1" s="64">
      <c r="G424" s="63">
        <f>COUNTA(D424:F424)</f>
        <v/>
      </c>
      <c r="P424" s="63">
        <f>IF(AND(O424&lt;&gt;"",D424&lt;&gt;""),O424-D424,"")</f>
        <v/>
      </c>
    </row>
    <row r="425" ht="15" customHeight="1" s="64">
      <c r="G425" s="63">
        <f>COUNTA(D425:F425)</f>
        <v/>
      </c>
      <c r="P425" s="63">
        <f>IF(AND(O425&lt;&gt;"",D425&lt;&gt;""),O425-D425,"")</f>
        <v/>
      </c>
    </row>
    <row r="426" ht="15" customHeight="1" s="64">
      <c r="G426" s="63">
        <f>COUNTA(D426:F426)</f>
        <v/>
      </c>
      <c r="P426" s="63">
        <f>IF(AND(O426&lt;&gt;"",D426&lt;&gt;""),O426-D426,"")</f>
        <v/>
      </c>
    </row>
    <row r="427" ht="15" customHeight="1" s="64">
      <c r="G427" s="63">
        <f>COUNTA(D427:F427)</f>
        <v/>
      </c>
      <c r="P427" s="63">
        <f>IF(AND(O427&lt;&gt;"",D427&lt;&gt;""),O427-D427,"")</f>
        <v/>
      </c>
    </row>
    <row r="428" ht="15" customHeight="1" s="64">
      <c r="G428" s="63">
        <f>COUNTA(D428:F428)</f>
        <v/>
      </c>
      <c r="P428" s="63">
        <f>IF(AND(O428&lt;&gt;"",D428&lt;&gt;""),O428-D428,"")</f>
        <v/>
      </c>
    </row>
    <row r="429" ht="15" customHeight="1" s="64">
      <c r="G429" s="63">
        <f>COUNTA(D429:F429)</f>
        <v/>
      </c>
      <c r="P429" s="63">
        <f>IF(AND(O429&lt;&gt;"",D429&lt;&gt;""),O429-D429,"")</f>
        <v/>
      </c>
    </row>
    <row r="430" ht="15" customHeight="1" s="64">
      <c r="G430" s="63">
        <f>COUNTA(D430:F430)</f>
        <v/>
      </c>
      <c r="P430" s="63">
        <f>IF(AND(O430&lt;&gt;"",D430&lt;&gt;""),O430-D430,"")</f>
        <v/>
      </c>
    </row>
    <row r="431" ht="15" customHeight="1" s="64">
      <c r="G431" s="63">
        <f>COUNTA(D431:F431)</f>
        <v/>
      </c>
      <c r="P431" s="63">
        <f>IF(AND(O431&lt;&gt;"",D431&lt;&gt;""),O431-D431,"")</f>
        <v/>
      </c>
    </row>
    <row r="432" ht="15" customHeight="1" s="64">
      <c r="G432" s="63">
        <f>COUNTA(D432:F432)</f>
        <v/>
      </c>
      <c r="P432" s="63">
        <f>IF(AND(O432&lt;&gt;"",D432&lt;&gt;""),O432-D432,"")</f>
        <v/>
      </c>
    </row>
    <row r="433" ht="15" customHeight="1" s="64">
      <c r="G433" s="63">
        <f>COUNTA(D433:F433)</f>
        <v/>
      </c>
      <c r="P433" s="63">
        <f>IF(AND(O433&lt;&gt;"",D433&lt;&gt;""),O433-D433,"")</f>
        <v/>
      </c>
    </row>
    <row r="434" ht="15" customHeight="1" s="64">
      <c r="G434" s="63">
        <f>COUNTA(D434:F434)</f>
        <v/>
      </c>
      <c r="P434" s="63">
        <f>IF(AND(O434&lt;&gt;"",D434&lt;&gt;""),O434-D434,"")</f>
        <v/>
      </c>
    </row>
    <row r="435" ht="15" customHeight="1" s="64">
      <c r="G435" s="63">
        <f>COUNTA(D435:F435)</f>
        <v/>
      </c>
      <c r="P435" s="63">
        <f>IF(AND(O435&lt;&gt;"",D435&lt;&gt;""),O435-D435,"")</f>
        <v/>
      </c>
    </row>
    <row r="436" ht="15" customHeight="1" s="64">
      <c r="G436" s="63">
        <f>COUNTA(D436:F436)</f>
        <v/>
      </c>
      <c r="P436" s="63">
        <f>IF(AND(O436&lt;&gt;"",D436&lt;&gt;""),O436-D436,"")</f>
        <v/>
      </c>
    </row>
    <row r="437" ht="15" customHeight="1" s="64">
      <c r="G437" s="63">
        <f>COUNTA(D437:F437)</f>
        <v/>
      </c>
      <c r="P437" s="63">
        <f>IF(AND(O437&lt;&gt;"",D437&lt;&gt;""),O437-D437,"")</f>
        <v/>
      </c>
    </row>
    <row r="438" ht="15" customHeight="1" s="64">
      <c r="G438" s="63">
        <f>COUNTA(D438:F438)</f>
        <v/>
      </c>
      <c r="P438" s="63">
        <f>IF(AND(O438&lt;&gt;"",D438&lt;&gt;""),O438-D438,"")</f>
        <v/>
      </c>
    </row>
    <row r="439" ht="15" customHeight="1" s="64">
      <c r="G439" s="63">
        <f>COUNTA(D439:F439)</f>
        <v/>
      </c>
      <c r="P439" s="63">
        <f>IF(AND(O439&lt;&gt;"",D439&lt;&gt;""),O439-D439,"")</f>
        <v/>
      </c>
    </row>
    <row r="440" ht="15" customHeight="1" s="64">
      <c r="G440" s="63">
        <f>COUNTA(D440:F440)</f>
        <v/>
      </c>
      <c r="P440" s="63">
        <f>IF(AND(O440&lt;&gt;"",D440&lt;&gt;""),O440-D440,"")</f>
        <v/>
      </c>
    </row>
    <row r="441" ht="15" customHeight="1" s="64">
      <c r="G441" s="63">
        <f>COUNTA(D441:F441)</f>
        <v/>
      </c>
      <c r="P441" s="63">
        <f>IF(AND(O441&lt;&gt;"",D441&lt;&gt;""),O441-D441,"")</f>
        <v/>
      </c>
    </row>
    <row r="442" ht="15" customHeight="1" s="64">
      <c r="G442" s="63">
        <f>COUNTA(D442:F442)</f>
        <v/>
      </c>
      <c r="P442" s="63">
        <f>IF(AND(O442&lt;&gt;"",D442&lt;&gt;""),O442-D442,"")</f>
        <v/>
      </c>
    </row>
    <row r="443" ht="15" customHeight="1" s="64">
      <c r="G443" s="63">
        <f>COUNTA(D443:F443)</f>
        <v/>
      </c>
      <c r="P443" s="63">
        <f>IF(AND(O443&lt;&gt;"",D443&lt;&gt;""),O443-D443,"")</f>
        <v/>
      </c>
    </row>
    <row r="444" ht="15" customHeight="1" s="64">
      <c r="G444" s="63">
        <f>COUNTA(D444:F444)</f>
        <v/>
      </c>
      <c r="P444" s="63">
        <f>IF(AND(O444&lt;&gt;"",D444&lt;&gt;""),O444-D444,"")</f>
        <v/>
      </c>
    </row>
    <row r="445" ht="15" customHeight="1" s="64">
      <c r="G445" s="63">
        <f>COUNTA(D445:F445)</f>
        <v/>
      </c>
      <c r="P445" s="63">
        <f>IF(AND(O445&lt;&gt;"",D445&lt;&gt;""),O445-D445,"")</f>
        <v/>
      </c>
    </row>
    <row r="446" ht="15" customHeight="1" s="64">
      <c r="G446" s="63">
        <f>COUNTA(D446:F446)</f>
        <v/>
      </c>
      <c r="P446" s="63">
        <f>IF(AND(O446&lt;&gt;"",D446&lt;&gt;""),O446-D446,"")</f>
        <v/>
      </c>
    </row>
    <row r="447" ht="15" customHeight="1" s="64">
      <c r="G447" s="63">
        <f>COUNTA(D447:F447)</f>
        <v/>
      </c>
      <c r="P447" s="63">
        <f>IF(AND(O447&lt;&gt;"",D447&lt;&gt;""),O447-D447,"")</f>
        <v/>
      </c>
    </row>
    <row r="448" ht="15" customHeight="1" s="64">
      <c r="G448" s="63">
        <f>COUNTA(D448:F448)</f>
        <v/>
      </c>
      <c r="P448" s="63">
        <f>IF(AND(O448&lt;&gt;"",D448&lt;&gt;""),O448-D448,"")</f>
        <v/>
      </c>
    </row>
    <row r="449" ht="15" customHeight="1" s="64">
      <c r="G449" s="63">
        <f>COUNTA(D449:F449)</f>
        <v/>
      </c>
      <c r="P449" s="63">
        <f>IF(AND(O449&lt;&gt;"",D449&lt;&gt;""),O449-D449,"")</f>
        <v/>
      </c>
    </row>
    <row r="450" ht="15" customHeight="1" s="64">
      <c r="G450" s="63">
        <f>COUNTA(D450:F450)</f>
        <v/>
      </c>
      <c r="P450" s="63">
        <f>IF(AND(O450&lt;&gt;"",D450&lt;&gt;""),O450-D450,"")</f>
        <v/>
      </c>
    </row>
    <row r="451" ht="15" customHeight="1" s="64">
      <c r="G451" s="63">
        <f>COUNTA(D451:F451)</f>
        <v/>
      </c>
      <c r="P451" s="63">
        <f>IF(AND(O451&lt;&gt;"",D451&lt;&gt;""),O451-D451,"")</f>
        <v/>
      </c>
    </row>
    <row r="452" ht="15" customHeight="1" s="64">
      <c r="G452" s="63">
        <f>COUNTA(D452:F452)</f>
        <v/>
      </c>
      <c r="P452" s="63">
        <f>IF(AND(O452&lt;&gt;"",D452&lt;&gt;""),O452-D452,"")</f>
        <v/>
      </c>
    </row>
    <row r="453" ht="15" customHeight="1" s="64">
      <c r="G453" s="63">
        <f>COUNTA(D453:F453)</f>
        <v/>
      </c>
      <c r="P453" s="63">
        <f>IF(AND(O453&lt;&gt;"",D453&lt;&gt;""),O453-D453,"")</f>
        <v/>
      </c>
    </row>
    <row r="454" ht="15" customHeight="1" s="64">
      <c r="G454" s="63">
        <f>COUNTA(D454:F454)</f>
        <v/>
      </c>
      <c r="P454" s="63">
        <f>IF(AND(O454&lt;&gt;"",D454&lt;&gt;""),O454-D454,"")</f>
        <v/>
      </c>
    </row>
    <row r="455" ht="15" customHeight="1" s="64">
      <c r="G455" s="63">
        <f>COUNTA(D455:F455)</f>
        <v/>
      </c>
      <c r="P455" s="63">
        <f>IF(AND(O455&lt;&gt;"",D455&lt;&gt;""),O455-D455,"")</f>
        <v/>
      </c>
    </row>
    <row r="456" ht="15" customHeight="1" s="64">
      <c r="G456" s="63">
        <f>COUNTA(D456:F456)</f>
        <v/>
      </c>
      <c r="P456" s="63">
        <f>IF(AND(O456&lt;&gt;"",D456&lt;&gt;""),O456-D456,"")</f>
        <v/>
      </c>
    </row>
    <row r="457" ht="15" customHeight="1" s="64">
      <c r="G457" s="63">
        <f>COUNTA(D457:F457)</f>
        <v/>
      </c>
      <c r="P457" s="63">
        <f>IF(AND(O457&lt;&gt;"",D457&lt;&gt;""),O457-D457,"")</f>
        <v/>
      </c>
    </row>
    <row r="458" ht="15" customHeight="1" s="64">
      <c r="G458" s="63">
        <f>COUNTA(D458:F458)</f>
        <v/>
      </c>
      <c r="P458" s="63">
        <f>IF(AND(O458&lt;&gt;"",D458&lt;&gt;""),O458-D458,"")</f>
        <v/>
      </c>
    </row>
    <row r="459" ht="15" customHeight="1" s="64">
      <c r="G459" s="63">
        <f>COUNTA(D459:F459)</f>
        <v/>
      </c>
      <c r="P459" s="63">
        <f>IF(AND(O459&lt;&gt;"",D459&lt;&gt;""),O459-D459,"")</f>
        <v/>
      </c>
    </row>
    <row r="460" ht="15" customHeight="1" s="64">
      <c r="G460" s="63">
        <f>COUNTA(D460:F460)</f>
        <v/>
      </c>
      <c r="P460" s="63">
        <f>IF(AND(O460&lt;&gt;"",D460&lt;&gt;""),O460-D460,"")</f>
        <v/>
      </c>
    </row>
    <row r="461" ht="15" customHeight="1" s="64">
      <c r="G461" s="63">
        <f>COUNTA(D461:F461)</f>
        <v/>
      </c>
      <c r="P461" s="63">
        <f>IF(AND(O461&lt;&gt;"",D461&lt;&gt;""),O461-D461,"")</f>
        <v/>
      </c>
    </row>
    <row r="462" ht="15" customHeight="1" s="64">
      <c r="G462" s="63">
        <f>COUNTA(D462:F462)</f>
        <v/>
      </c>
      <c r="P462" s="63">
        <f>IF(AND(O462&lt;&gt;"",D462&lt;&gt;""),O462-D462,"")</f>
        <v/>
      </c>
    </row>
    <row r="463" ht="15" customHeight="1" s="64">
      <c r="G463" s="63">
        <f>COUNTA(D463:F463)</f>
        <v/>
      </c>
      <c r="P463" s="63">
        <f>IF(AND(O463&lt;&gt;"",D463&lt;&gt;""),O463-D463,"")</f>
        <v/>
      </c>
    </row>
    <row r="464" ht="15" customHeight="1" s="64">
      <c r="G464" s="63">
        <f>COUNTA(D464:F464)</f>
        <v/>
      </c>
      <c r="P464" s="63">
        <f>IF(AND(O464&lt;&gt;"",D464&lt;&gt;""),O464-D464,"")</f>
        <v/>
      </c>
    </row>
    <row r="465" ht="15" customHeight="1" s="64">
      <c r="G465" s="63">
        <f>COUNTA(D465:F465)</f>
        <v/>
      </c>
      <c r="P465" s="63">
        <f>IF(AND(O465&lt;&gt;"",D465&lt;&gt;""),O465-D465,"")</f>
        <v/>
      </c>
    </row>
    <row r="466" ht="15" customHeight="1" s="64">
      <c r="G466" s="63">
        <f>COUNTA(D466:F466)</f>
        <v/>
      </c>
      <c r="P466" s="63">
        <f>IF(AND(O466&lt;&gt;"",D466&lt;&gt;""),O466-D466,"")</f>
        <v/>
      </c>
    </row>
    <row r="467" ht="15" customHeight="1" s="64">
      <c r="G467" s="63">
        <f>COUNTA(D467:F467)</f>
        <v/>
      </c>
      <c r="P467" s="63">
        <f>IF(AND(O467&lt;&gt;"",D467&lt;&gt;""),O467-D467,"")</f>
        <v/>
      </c>
    </row>
    <row r="468" ht="15" customHeight="1" s="64">
      <c r="G468" s="63">
        <f>COUNTA(D468:F468)</f>
        <v/>
      </c>
      <c r="P468" s="63">
        <f>IF(AND(O468&lt;&gt;"",D468&lt;&gt;""),O468-D468,"")</f>
        <v/>
      </c>
    </row>
    <row r="469" ht="15" customHeight="1" s="64">
      <c r="G469" s="63">
        <f>COUNTA(D469:F469)</f>
        <v/>
      </c>
      <c r="P469" s="63">
        <f>IF(AND(O469&lt;&gt;"",D469&lt;&gt;""),O469-D469,"")</f>
        <v/>
      </c>
    </row>
    <row r="470" ht="15" customHeight="1" s="64">
      <c r="G470" s="63">
        <f>COUNTA(D470:F470)</f>
        <v/>
      </c>
      <c r="P470" s="63">
        <f>IF(AND(O470&lt;&gt;"",D470&lt;&gt;""),O470-D470,"")</f>
        <v/>
      </c>
    </row>
    <row r="471" ht="15" customHeight="1" s="64">
      <c r="G471" s="63">
        <f>COUNTA(D471:F471)</f>
        <v/>
      </c>
      <c r="P471" s="63">
        <f>IF(AND(O471&lt;&gt;"",D471&lt;&gt;""),O471-D471,"")</f>
        <v/>
      </c>
    </row>
    <row r="472" ht="15" customHeight="1" s="64">
      <c r="G472" s="63">
        <f>COUNTA(D472:F472)</f>
        <v/>
      </c>
      <c r="P472" s="63">
        <f>IF(AND(O472&lt;&gt;"",D472&lt;&gt;""),O472-D472,"")</f>
        <v/>
      </c>
    </row>
    <row r="473" ht="15" customHeight="1" s="64">
      <c r="G473" s="63">
        <f>COUNTA(D473:F473)</f>
        <v/>
      </c>
      <c r="P473" s="63">
        <f>IF(AND(O473&lt;&gt;"",D473&lt;&gt;""),O473-D473,"")</f>
        <v/>
      </c>
    </row>
    <row r="474" ht="15" customHeight="1" s="64">
      <c r="G474" s="63">
        <f>COUNTA(D474:F474)</f>
        <v/>
      </c>
      <c r="P474" s="63">
        <f>IF(AND(O474&lt;&gt;"",D474&lt;&gt;""),O474-D474,"")</f>
        <v/>
      </c>
    </row>
    <row r="475" ht="15" customHeight="1" s="64">
      <c r="G475" s="63">
        <f>COUNTA(D475:F475)</f>
        <v/>
      </c>
      <c r="P475" s="63">
        <f>IF(AND(O475&lt;&gt;"",D475&lt;&gt;""),O475-D475,"")</f>
        <v/>
      </c>
    </row>
    <row r="476" ht="15" customHeight="1" s="64">
      <c r="G476" s="63">
        <f>COUNTA(D476:F476)</f>
        <v/>
      </c>
      <c r="P476" s="63">
        <f>IF(AND(O476&lt;&gt;"",D476&lt;&gt;""),O476-D476,"")</f>
        <v/>
      </c>
    </row>
    <row r="477" ht="15" customHeight="1" s="64">
      <c r="G477" s="63">
        <f>COUNTA(D477:F477)</f>
        <v/>
      </c>
      <c r="P477" s="63">
        <f>IF(AND(O477&lt;&gt;"",D477&lt;&gt;""),O477-D477,"")</f>
        <v/>
      </c>
    </row>
    <row r="478" ht="15" customHeight="1" s="64">
      <c r="G478" s="63">
        <f>COUNTA(D478:F478)</f>
        <v/>
      </c>
      <c r="P478" s="63">
        <f>IF(AND(O478&lt;&gt;"",D478&lt;&gt;""),O478-D478,"")</f>
        <v/>
      </c>
    </row>
    <row r="479" ht="15" customHeight="1" s="64">
      <c r="G479" s="63">
        <f>COUNTA(D479:F479)</f>
        <v/>
      </c>
      <c r="P479" s="63">
        <f>IF(AND(O479&lt;&gt;"",D479&lt;&gt;""),O479-D479,"")</f>
        <v/>
      </c>
    </row>
    <row r="480" ht="15" customHeight="1" s="64">
      <c r="G480" s="63">
        <f>COUNTA(D480:F480)</f>
        <v/>
      </c>
      <c r="P480" s="63">
        <f>IF(AND(O480&lt;&gt;"",D480&lt;&gt;""),O480-D480,"")</f>
        <v/>
      </c>
    </row>
    <row r="481" ht="15" customHeight="1" s="64">
      <c r="G481" s="63">
        <f>COUNTA(D481:F481)</f>
        <v/>
      </c>
      <c r="P481" s="63">
        <f>IF(AND(O481&lt;&gt;"",D481&lt;&gt;""),O481-D481,"")</f>
        <v/>
      </c>
    </row>
    <row r="482" ht="15" customHeight="1" s="64">
      <c r="G482" s="63">
        <f>COUNTA(D482:F482)</f>
        <v/>
      </c>
      <c r="P482" s="63">
        <f>IF(AND(O482&lt;&gt;"",D482&lt;&gt;""),O482-D482,"")</f>
        <v/>
      </c>
    </row>
    <row r="483" ht="15" customHeight="1" s="64">
      <c r="G483" s="63">
        <f>COUNTA(D483:F483)</f>
        <v/>
      </c>
      <c r="P483" s="63">
        <f>IF(AND(O483&lt;&gt;"",D483&lt;&gt;""),O483-D483,"")</f>
        <v/>
      </c>
    </row>
    <row r="484" ht="15" customHeight="1" s="64">
      <c r="G484" s="63">
        <f>COUNTA(D484:F484)</f>
        <v/>
      </c>
      <c r="P484" s="63">
        <f>IF(AND(O484&lt;&gt;"",D484&lt;&gt;""),O484-D484,"")</f>
        <v/>
      </c>
    </row>
    <row r="485" ht="15" customHeight="1" s="64">
      <c r="G485" s="63">
        <f>COUNTA(D485:F485)</f>
        <v/>
      </c>
      <c r="P485" s="63">
        <f>IF(AND(O485&lt;&gt;"",D485&lt;&gt;""),O485-D485,"")</f>
        <v/>
      </c>
    </row>
    <row r="486" ht="15" customHeight="1" s="64">
      <c r="G486" s="63">
        <f>COUNTA(D486:F486)</f>
        <v/>
      </c>
      <c r="P486" s="63">
        <f>IF(AND(O486&lt;&gt;"",D486&lt;&gt;""),O486-D486,"")</f>
        <v/>
      </c>
    </row>
    <row r="487" ht="15" customHeight="1" s="64">
      <c r="G487" s="63">
        <f>COUNTA(D487:F487)</f>
        <v/>
      </c>
      <c r="P487" s="63">
        <f>IF(AND(O487&lt;&gt;"",D487&lt;&gt;""),O487-D487,"")</f>
        <v/>
      </c>
    </row>
    <row r="488" ht="15" customHeight="1" s="64">
      <c r="G488" s="63">
        <f>COUNTA(D488:F488)</f>
        <v/>
      </c>
      <c r="P488" s="63">
        <f>IF(AND(O488&lt;&gt;"",D488&lt;&gt;""),O488-D488,"")</f>
        <v/>
      </c>
    </row>
    <row r="489" ht="15" customHeight="1" s="64">
      <c r="G489" s="63">
        <f>COUNTA(D489:F489)</f>
        <v/>
      </c>
      <c r="P489" s="63">
        <f>IF(AND(O489&lt;&gt;"",D489&lt;&gt;""),O489-D489,"")</f>
        <v/>
      </c>
    </row>
    <row r="490" ht="15" customHeight="1" s="64">
      <c r="G490" s="63">
        <f>COUNTA(D490:F490)</f>
        <v/>
      </c>
      <c r="P490" s="63">
        <f>IF(AND(O490&lt;&gt;"",D490&lt;&gt;""),O490-D490,"")</f>
        <v/>
      </c>
    </row>
    <row r="491" ht="15" customHeight="1" s="64">
      <c r="G491" s="63">
        <f>COUNTA(D491:F491)</f>
        <v/>
      </c>
      <c r="P491" s="63">
        <f>IF(AND(O491&lt;&gt;"",D491&lt;&gt;""),O491-D491,"")</f>
        <v/>
      </c>
    </row>
    <row r="492" ht="15" customHeight="1" s="64">
      <c r="G492" s="63">
        <f>COUNTA(D492:F492)</f>
        <v/>
      </c>
      <c r="P492" s="63">
        <f>IF(AND(O492&lt;&gt;"",D492&lt;&gt;""),O492-D492,"")</f>
        <v/>
      </c>
    </row>
    <row r="493" ht="15" customHeight="1" s="64">
      <c r="G493" s="63">
        <f>COUNTA(D493:F493)</f>
        <v/>
      </c>
      <c r="P493" s="63">
        <f>IF(AND(O493&lt;&gt;"",D493&lt;&gt;""),O493-D493,"")</f>
        <v/>
      </c>
    </row>
    <row r="494" ht="15" customHeight="1" s="64">
      <c r="G494" s="63">
        <f>COUNTA(D494:F494)</f>
        <v/>
      </c>
      <c r="P494" s="63">
        <f>IF(AND(O494&lt;&gt;"",D494&lt;&gt;""),O494-D494,"")</f>
        <v/>
      </c>
    </row>
    <row r="495" ht="15" customHeight="1" s="64">
      <c r="G495" s="63">
        <f>COUNTA(D495:F495)</f>
        <v/>
      </c>
      <c r="P495" s="63">
        <f>IF(AND(O495&lt;&gt;"",D495&lt;&gt;""),O495-D495,"")</f>
        <v/>
      </c>
    </row>
    <row r="496" ht="15" customHeight="1" s="64">
      <c r="G496" s="63">
        <f>COUNTA(D496:F496)</f>
        <v/>
      </c>
      <c r="P496" s="63">
        <f>IF(AND(O496&lt;&gt;"",D496&lt;&gt;""),O496-D496,"")</f>
        <v/>
      </c>
    </row>
    <row r="497" ht="15" customHeight="1" s="64">
      <c r="G497" s="63">
        <f>COUNTA(D497:F497)</f>
        <v/>
      </c>
      <c r="P497" s="63">
        <f>IF(AND(O497&lt;&gt;"",D497&lt;&gt;""),O497-D497,"")</f>
        <v/>
      </c>
    </row>
    <row r="498" ht="15" customHeight="1" s="64">
      <c r="G498" s="63">
        <f>COUNTA(D498:F498)</f>
        <v/>
      </c>
      <c r="P498" s="63">
        <f>IF(AND(O498&lt;&gt;"",D498&lt;&gt;""),O498-D498,"")</f>
        <v/>
      </c>
    </row>
    <row r="499" ht="15" customHeight="1" s="64">
      <c r="G499" s="63">
        <f>COUNTA(D499:F499)</f>
        <v/>
      </c>
      <c r="P499" s="63">
        <f>IF(AND(O499&lt;&gt;"",D499&lt;&gt;""),O499-D499,"")</f>
        <v/>
      </c>
    </row>
    <row r="500" ht="15" customHeight="1" s="64">
      <c r="G500" s="63">
        <f>COUNTA(D500:F500)</f>
        <v/>
      </c>
      <c r="P500" s="63">
        <f>IF(AND(O500&lt;&gt;"",D500&lt;&gt;""),O500-D500,"")</f>
        <v/>
      </c>
    </row>
    <row r="501" ht="15" customHeight="1" s="64">
      <c r="G501" s="63">
        <f>COUNTA(D501:F501)</f>
        <v/>
      </c>
      <c r="P501" s="63">
        <f>IF(AND(O501&lt;&gt;"",D501&lt;&gt;""),O501-D501,"")</f>
        <v/>
      </c>
    </row>
    <row r="502" ht="15" customHeight="1" s="64">
      <c r="G502" s="63">
        <f>COUNTA(D502:F502)</f>
        <v/>
      </c>
      <c r="P502" s="63">
        <f>IF(AND(O502&lt;&gt;"",D502&lt;&gt;""),O502-D502,"")</f>
        <v/>
      </c>
    </row>
    <row r="503" ht="15" customHeight="1" s="64">
      <c r="G503" s="63">
        <f>COUNTA(D503:F503)</f>
        <v/>
      </c>
      <c r="P503" s="63">
        <f>IF(AND(O503&lt;&gt;"",D503&lt;&gt;""),O503-D503,"")</f>
        <v/>
      </c>
    </row>
    <row r="504" ht="15" customHeight="1" s="64">
      <c r="G504" s="63">
        <f>COUNTA(D504:F504)</f>
        <v/>
      </c>
      <c r="P504" s="63">
        <f>IF(AND(O504&lt;&gt;"",D504&lt;&gt;""),O504-D504,"")</f>
        <v/>
      </c>
    </row>
  </sheetData>
  <mergeCells count="3">
    <mergeCell ref="A3:Q3"/>
    <mergeCell ref="A2:Q2"/>
    <mergeCell ref="A1:Q1"/>
  </mergeCells>
  <dataValidations count="3">
    <dataValidation sqref="H5:H504" showDropDown="0" showInputMessage="0" showErrorMessage="0" allowBlank="1" type="list" errorStyle="stop" operator="between">
      <formula1>"Day Pass Visit,Return Visit,Considering,Flex Trial,Converted to Flex,Converted to Unlimited,Converted to Dedicated,Lost — Not Converting"</formula1>
      <formula2>0</formula2>
    </dataValidation>
    <dataValidation sqref="J5:J504" showDropDown="0" showInputMessage="0" showErrorMessage="0" allowBlank="1" type="list" errorStyle="stop" operator="between">
      <formula1>"Price,Not Ready Yet,Testing Space First,Need Approval,Found Alternative,Internet Quality,Location,Hours Not Suitable,Other"</formula1>
      <formula2>0</formula2>
    </dataValidation>
    <dataValidation sqref="M5:M504" showDropDown="0" showInputMessage="0" showErrorMessage="0" allowBlank="1" type="list" errorStyle="stop" operator="between">
      <formula1>"Yes,No,In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19558"/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35" customWidth="1" style="63" min="2" max="2"/>
    <col width="18" customWidth="1" style="63" min="3" max="7"/>
    <col width="20" customWidth="1" style="63" min="8" max="8"/>
  </cols>
  <sheetData>
    <row r="1" ht="20.85" customHeight="1" s="64">
      <c r="A1" s="102" t="inlineStr">
        <is>
          <t>KAYAN HUB — MEMBER MANAGEMENT DASHBOARD  |  لوحة مؤشرات إدارة الأعضاء</t>
        </is>
      </c>
    </row>
    <row r="2" ht="15" customHeight="1" s="64">
      <c r="A2" s="68" t="inlineStr">
        <is>
          <t>Auto-calculated from Registry, Check-In, Day Pass, and Renewal tabs. Reviewed by CEO every Monday.</t>
        </is>
      </c>
    </row>
    <row r="3"/>
    <row r="4" ht="15" customHeight="1" s="64">
      <c r="B4" s="103" t="inlineStr">
        <is>
          <t>MEMBERSHIP SUMMARY | ملخص العضوية</t>
        </is>
      </c>
    </row>
    <row r="5" ht="17.35" customHeight="1" s="64">
      <c r="B5" s="69" t="inlineStr">
        <is>
          <t>Total Active Members | إجمالي الأعضاء النشطين</t>
        </is>
      </c>
      <c r="C5" s="104">
        <f>COUNTIF('MEMBER REGISTRY | سجل الأعضاء'!M6:M505,"Active")</f>
        <v/>
      </c>
    </row>
    <row r="6" ht="17.35" customHeight="1" s="64">
      <c r="B6" s="69" t="inlineStr">
        <is>
          <t>Day Pass (active) | تصريح يومي</t>
        </is>
      </c>
      <c r="C6" s="104">
        <f>COUNTIFS('MEMBER REGISTRY | سجل الأعضاء'!M6:M505,"Active",'MEMBER REGISTRY | سجل الأعضاء'!H6:H505,"Day Pass")</f>
        <v/>
      </c>
    </row>
    <row r="7" ht="17.35" customHeight="1" s="64">
      <c r="B7" s="69" t="inlineStr">
        <is>
          <t>Monthly Flex (active) | شهري مرن</t>
        </is>
      </c>
      <c r="C7" s="104">
        <f>COUNTIFS('MEMBER REGISTRY | سجل الأعضاء'!M6:M505,"Active",'MEMBER REGISTRY | سجل الأعضاء'!H6:H505,"Monthly Flex (8 days)")</f>
        <v/>
      </c>
    </row>
    <row r="8" ht="17.35" customHeight="1" s="64">
      <c r="B8" s="69" t="inlineStr">
        <is>
          <t>Monthly Unlimited (active) | شهري غير محدود</t>
        </is>
      </c>
      <c r="C8" s="104">
        <f>COUNTIFS('MEMBER REGISTRY | سجل الأعضاء'!M6:M505,"Active",'MEMBER REGISTRY | سجل الأعضاء'!H6:H505,"Monthly Unlimited")</f>
        <v/>
      </c>
    </row>
    <row r="9" ht="17.35" customHeight="1" s="64">
      <c r="B9" s="69" t="inlineStr">
        <is>
          <t>Dedicated Desk (active) | مكتب مخصص</t>
        </is>
      </c>
      <c r="C9" s="104">
        <f>COUNTIFS('MEMBER REGISTRY | سجل الأعضاء'!M6:M505,"Active",'MEMBER REGISTRY | سجل الأعضاء'!H6:H505,"Dedicated Desk")</f>
        <v/>
      </c>
    </row>
    <row r="10" ht="17.35" customHeight="1" s="64">
      <c r="B10" s="69" t="inlineStr">
        <is>
          <t>Expired / Churned | منتهي / مغادر</t>
        </is>
      </c>
      <c r="C10" s="104">
        <f>COUNTIF('MEMBER REGISTRY | سجل الأعضاء'!M6:M505,"Expired")</f>
        <v/>
      </c>
    </row>
    <row r="11" ht="17.35" customHeight="1" s="64">
      <c r="B11" s="69" t="inlineStr">
        <is>
          <t>Suspended | معلّق</t>
        </is>
      </c>
      <c r="C11" s="104">
        <f>COUNTIF('MEMBER REGISTRY | سجل الأعضاء'!M6:M505,"Suspended")</f>
        <v/>
      </c>
    </row>
    <row r="12" ht="17.35" customHeight="1" s="64">
      <c r="B12" s="69" t="inlineStr">
        <is>
          <t>Total Registered (all time) | إجمالي المسجلين</t>
        </is>
      </c>
      <c r="C12" s="104">
        <f>COUNTA('MEMBER REGISTRY | سجل الأعضاء'!A6:A505)</f>
        <v/>
      </c>
    </row>
    <row r="13"/>
    <row r="14" ht="15" customHeight="1" s="64">
      <c r="B14" s="103" t="inlineStr">
        <is>
          <t>MONTHLY RECURRING REVENUE (MRR) | الإيراد الشهري المتكرر</t>
        </is>
      </c>
    </row>
    <row r="15" ht="15" customHeight="1" s="64">
      <c r="B15" s="105" t="inlineStr">
        <is>
          <t>Flex × $30 | مرن × ٣٠ دولار</t>
        </is>
      </c>
      <c r="C15" s="106">
        <f>COUNTIFS('MEMBER REGISTRY | سجل الأعضاء'!M6:M505,"Active",'MEMBER REGISTRY | سجل الأعضاء'!H6:H505,"Monthly Flex (8 days)")*30</f>
        <v/>
      </c>
    </row>
    <row r="16" ht="15" customHeight="1" s="64">
      <c r="B16" s="105" t="inlineStr">
        <is>
          <t>Unlimited × $60 | غير محدود × ٦٠ دولار</t>
        </is>
      </c>
      <c r="C16" s="106">
        <f>COUNTIFS('MEMBER REGISTRY | سجل الأعضاء'!M6:M505,"Active",'MEMBER REGISTRY | سجل الأعضاء'!H6:H505,"Monthly Unlimited")*60</f>
        <v/>
      </c>
    </row>
    <row r="17" ht="15" customHeight="1" s="64">
      <c r="B17" s="105" t="inlineStr">
        <is>
          <t>Dedicated × $90 | مخصص × ٩٠ دولار</t>
        </is>
      </c>
      <c r="C17" s="106">
        <f>COUNTIFS('MEMBER REGISTRY | سجل الأعضاء'!M6:M505,"Active",'MEMBER REGISTRY | سجل الأعضاء'!H6:H505,"Dedicated Desk")*90</f>
        <v/>
      </c>
    </row>
    <row r="18" ht="17.35" customHeight="1" s="64">
      <c r="B18" s="69" t="inlineStr">
        <is>
          <t>TOTAL MRR (USD) | إجمالي الإيراد الشهري</t>
        </is>
      </c>
      <c r="C18" s="107">
        <f>SUM(C15:C17)</f>
        <v/>
      </c>
    </row>
    <row r="19" ht="17.35" customHeight="1" s="64">
      <c r="B19" s="69" t="inlineStr">
        <is>
          <t>TOTAL MRR (YER) | ريال يمني</t>
        </is>
      </c>
      <c r="C19" s="108">
        <f>C18*1700</f>
        <v/>
      </c>
    </row>
    <row r="20"/>
    <row r="21" ht="15" customHeight="1" s="64">
      <c r="B21" s="103" t="inlineStr">
        <is>
          <t>CONVERSION &amp; UTILIZATION | التحويل والاستخدام</t>
        </is>
      </c>
    </row>
    <row r="22" ht="15" customHeight="1" s="64">
      <c r="B22" s="69" t="inlineStr">
        <is>
          <t>Total Day Passes Sold (all time) | إجمالي التصاريح المباعة</t>
        </is>
      </c>
      <c r="C22" s="109">
        <f>COUNTA('DAY PASS LOG | سجل التصاريح'!C5:C1004)</f>
        <v/>
      </c>
    </row>
    <row r="23" ht="15" customHeight="1" s="64">
      <c r="B23" s="69" t="inlineStr">
        <is>
          <t>Day Passes Converted to Member | تصاريح تحولت لعضوية</t>
        </is>
      </c>
      <c r="C23" s="109">
        <f>COUNTIF('CONVERSION FUNNEL | قمع التحويل'!M5:M504,"Yes")</f>
        <v/>
      </c>
    </row>
    <row r="24" ht="15" customHeight="1" s="64">
      <c r="B24" s="69" t="inlineStr">
        <is>
          <t>Conversion Rate % | نسبة التحويل</t>
        </is>
      </c>
      <c r="C24" s="110">
        <f>IF(C22=0,0,C23/C22)</f>
        <v/>
      </c>
    </row>
    <row r="25" ht="15" customHeight="1" s="64">
      <c r="B25" s="69" t="inlineStr">
        <is>
          <t>Renewals Due in 7 Days | تجديدات مستحقة خلال ٧ أيام</t>
        </is>
      </c>
      <c r="C25" s="109">
        <f>COUNTIFS('RENEWAL TRACKER | متتبع التجديد'!E5:E504,"&gt;0",'RENEWAL TRACKER | متتبع التجديد'!E5:E504,"&lt;=7")</f>
        <v/>
      </c>
    </row>
    <row r="26" ht="15" customHeight="1" s="64">
      <c r="B26" s="69" t="inlineStr">
        <is>
          <t>Overdue Renewals | تجديدات متأخرة</t>
        </is>
      </c>
      <c r="C26" s="109">
        <f>COUNTIF('RENEWAL TRACKER | متتبع التجديد'!F5:F504,"OVERDUE")</f>
        <v/>
      </c>
    </row>
    <row r="27" ht="15" customHeight="1" s="64">
      <c r="B27" s="69" t="inlineStr">
        <is>
          <t>Workspace Capacity (seats) | السعة (مقاعد)</t>
        </is>
      </c>
      <c r="C27" s="109" t="n">
        <v>14</v>
      </c>
    </row>
    <row r="28" ht="15" customHeight="1" s="64">
      <c r="B28" s="69" t="inlineStr">
        <is>
          <t>Target Occupancy M6 | هدف الإشغال شهر ٦</t>
        </is>
      </c>
      <c r="C28" s="109" t="inlineStr">
        <is>
          <t>60%</t>
        </is>
      </c>
    </row>
    <row r="29"/>
    <row r="30" ht="15" customHeight="1" s="64">
      <c r="B30" s="103" t="inlineStr">
        <is>
          <t>ACQUISITION SOURCE | مصدر الاكتساب</t>
        </is>
      </c>
    </row>
    <row r="31" ht="15" customHeight="1" s="64">
      <c r="B31" s="70" t="inlineStr">
        <is>
          <t>Walk-in</t>
        </is>
      </c>
      <c r="C31" s="111">
        <f>COUNTIF('MEMBER REGISTRY | سجل الأعضاء'!Y6:Y505,"Walk-in")</f>
        <v/>
      </c>
    </row>
    <row r="32" ht="15" customHeight="1" s="64">
      <c r="B32" s="70" t="inlineStr">
        <is>
          <t>Referral</t>
        </is>
      </c>
      <c r="C32" s="111">
        <f>COUNTIF('MEMBER REGISTRY | سجل الأعضاء'!Y6:Y505,"Referral")</f>
        <v/>
      </c>
    </row>
    <row r="33" ht="15" customHeight="1" s="64">
      <c r="B33" s="70" t="inlineStr">
        <is>
          <t>Social Media</t>
        </is>
      </c>
      <c r="C33" s="111">
        <f>COUNTIF('MEMBER REGISTRY | سجل الأعضاء'!Y6:Y505,"Social Media")</f>
        <v/>
      </c>
    </row>
    <row r="34" ht="15" customHeight="1" s="64">
      <c r="B34" s="70" t="inlineStr">
        <is>
          <t>Open Doors Day</t>
        </is>
      </c>
      <c r="C34" s="111">
        <f>COUNTIF('MEMBER REGISTRY | سجل الأعضاء'!Y6:Y505,"Open Doors Day")</f>
        <v/>
      </c>
    </row>
    <row r="35" ht="15" customHeight="1" s="64">
      <c r="B35" s="70" t="inlineStr">
        <is>
          <t>Event</t>
        </is>
      </c>
      <c r="C35" s="111">
        <f>COUNTIF('MEMBER REGISTRY | سجل الأعضاء'!Y6:Y505,"Event")</f>
        <v/>
      </c>
    </row>
    <row r="36" ht="15" customHeight="1" s="64">
      <c r="B36" s="70" t="inlineStr">
        <is>
          <t>WhatsApp</t>
        </is>
      </c>
      <c r="C36" s="111">
        <f>COUNTIF('MEMBER REGISTRY | سجل الأعضاء'!Y6:Y505,"WhatsApp")</f>
        <v/>
      </c>
    </row>
    <row r="37" ht="15" customHeight="1" s="64">
      <c r="B37" s="70" t="inlineStr">
        <is>
          <t>Website</t>
        </is>
      </c>
      <c r="C37" s="111">
        <f>COUNTIF('MEMBER REGISTRY | سجل الأعضاء'!Y6:Y505,"Website")</f>
        <v/>
      </c>
    </row>
    <row r="38" ht="15" customHeight="1" s="64">
      <c r="B38" s="70" t="inlineStr">
        <is>
          <t>University</t>
        </is>
      </c>
      <c r="C38" s="111">
        <f>COUNTIF('MEMBER REGISTRY | سجل الأعضاء'!Y6:Y505,"University")</f>
        <v/>
      </c>
    </row>
    <row r="39" ht="15" customHeight="1" s="64">
      <c r="B39" s="70" t="inlineStr">
        <is>
          <t>INGO</t>
        </is>
      </c>
      <c r="C39" s="111">
        <f>COUNTIF('MEMBER REGISTRY | سجل الأعضاء'!Y6:Y505,"INGO")</f>
        <v/>
      </c>
    </row>
    <row r="40" ht="15" customHeight="1" s="64">
      <c r="B40" s="70" t="inlineStr">
        <is>
          <t>Partner</t>
        </is>
      </c>
      <c r="C40" s="111">
        <f>COUNTIF('MEMBER REGISTRY | سجل الأعضاء'!Y6:Y505,"Partner")</f>
        <v/>
      </c>
    </row>
  </sheetData>
  <mergeCells count="6">
    <mergeCell ref="B14:D14"/>
    <mergeCell ref="A2:H2"/>
    <mergeCell ref="B4:D4"/>
    <mergeCell ref="B21:D21"/>
    <mergeCell ref="B30:D3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C19558"/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25" customWidth="1" style="63" min="2" max="2"/>
    <col width="14" customWidth="1" style="63" min="3" max="4"/>
    <col width="40" customWidth="1" style="63" min="5" max="5"/>
    <col width="20" customWidth="1" style="63" min="6" max="6"/>
  </cols>
  <sheetData>
    <row r="1" ht="18.65" customHeight="1" s="64">
      <c r="B1" s="112" t="inlineStr">
        <is>
          <t>KAYAN HUB PRICING CARD  |  بطاقة أسعار كيان هب  |  Effective 1 May 2026</t>
        </is>
      </c>
    </row>
    <row r="2" ht="15" customHeight="1" s="64">
      <c r="B2" s="113" t="inlineStr">
        <is>
          <t>Source: KAY-LEG-WMA-001 Article 1  |  Exchange Rate: dated Aden market rate (LOCKED)  |  DO NOT MODIFY without CEO written approval</t>
        </is>
      </c>
    </row>
    <row r="3"/>
    <row r="4" ht="26.1" customHeight="1" s="64">
      <c r="B4" s="80" t="inlineStr">
        <is>
          <t>Plan | الخطة</t>
        </is>
      </c>
      <c r="C4" s="80" t="inlineStr">
        <is>
          <t>Price USD
السعر دولار</t>
        </is>
      </c>
      <c r="D4" s="80" t="inlineStr">
        <is>
          <t>Price YER
السعر ريال</t>
        </is>
      </c>
      <c r="E4" s="80" t="inlineStr">
        <is>
          <t>Includes | يشمل</t>
        </is>
      </c>
      <c r="F4" s="80" t="inlineStr">
        <is>
          <t>Discount Authority
صلاحية الخصم</t>
        </is>
      </c>
    </row>
    <row r="5" ht="34.5" customHeight="1" s="64">
      <c r="B5" s="114" t="inlineStr">
        <is>
          <t>Day Pass | تصريح يومي</t>
        </is>
      </c>
      <c r="C5" s="106" t="n">
        <v>5</v>
      </c>
      <c r="D5" s="115" t="n">
        <v>8500</v>
      </c>
      <c r="E5" s="116" t="inlineStr">
        <is>
          <t>Desk + Wi-Fi + basic café discount. Valid same day only.</t>
        </is>
      </c>
      <c r="F5" s="116" t="inlineStr">
        <is>
          <t>No discount. Fixed price.</t>
        </is>
      </c>
    </row>
    <row r="6" ht="34.5" customHeight="1" s="64">
      <c r="B6" s="114" t="inlineStr">
        <is>
          <t>Half-Day / Evening | نصف يوم / مسائي</t>
        </is>
      </c>
      <c r="C6" s="106" t="n">
        <v>3</v>
      </c>
      <c r="D6" s="115" t="n">
        <v>5100</v>
      </c>
      <c r="E6" s="116" t="inlineStr">
        <is>
          <t>4-hour access, off-peak hours only.</t>
        </is>
      </c>
      <c r="F6" s="116" t="inlineStr">
        <is>
          <t>No discount. Fixed price.</t>
        </is>
      </c>
    </row>
    <row r="7" ht="34.5" customHeight="1" s="64">
      <c r="B7" s="114" t="inlineStr">
        <is>
          <t>Monthly Flex (8 days) | شهري مرن (٨ أيام)</t>
        </is>
      </c>
      <c r="C7" s="106" t="n">
        <v>30</v>
      </c>
      <c r="D7" s="115" t="n">
        <v>51000</v>
      </c>
      <c r="E7" s="116" t="inlineStr">
        <is>
          <t>Prepaid 8-day access per month. Non-transferable. Fair-use Wi-Fi.</t>
        </is>
      </c>
      <c r="F7" s="116" t="inlineStr">
        <is>
          <t>CEO only: max 10% for 3+ month prepay</t>
        </is>
      </c>
    </row>
    <row r="8" ht="34.5" customHeight="1" s="64">
      <c r="B8" s="114" t="inlineStr">
        <is>
          <t>Monthly Unlimited | شهري غير محدود</t>
        </is>
      </c>
      <c r="C8" s="106" t="n">
        <v>60</v>
      </c>
      <c r="D8" s="115" t="n">
        <v>102000</v>
      </c>
      <c r="E8" s="116" t="inlineStr">
        <is>
          <t>Full daily access Sat-Thu 8AM-8PM. Fair-use Wi-Fi. Café member pricing.</t>
        </is>
      </c>
      <c r="F8" s="116" t="inlineStr">
        <is>
          <t>CEO only: max 15% for 6+ month prepay</t>
        </is>
      </c>
    </row>
    <row r="9" ht="34.5" customHeight="1" s="64">
      <c r="B9" s="114" t="inlineStr">
        <is>
          <t>Dedicated Desk | مكتب مخصص</t>
        </is>
      </c>
      <c r="C9" s="106" t="n">
        <v>90</v>
      </c>
      <c r="D9" s="115" t="n">
        <v>153000</v>
      </c>
      <c r="E9" s="116" t="inlineStr">
        <is>
          <t>Reserved desk + locker + after-hours key access + priority booking.</t>
        </is>
      </c>
      <c r="F9" s="116" t="inlineStr">
        <is>
          <t>CEO only: max 10% for 6+ month prepay</t>
        </is>
      </c>
    </row>
    <row r="10" ht="34.5" customHeight="1" s="64">
      <c r="B10" s="114" t="inlineStr">
        <is>
          <t>Meeting Room | غرفة اجتماعات</t>
        </is>
      </c>
      <c r="C10" s="106" t="n">
        <v>10</v>
      </c>
      <c r="D10" s="115" t="n">
        <v>17000</v>
      </c>
      <c r="E10" s="116" t="inlineStr">
        <is>
          <t>Per hour. 8 persons max. Projector + whiteboard included.</t>
        </is>
      </c>
      <c r="F10" s="116" t="inlineStr">
        <is>
          <t>Workspace Lead: 1 free hour for Unlimited/Dedicated members per month</t>
        </is>
      </c>
    </row>
    <row r="11" ht="34.5" customHeight="1" s="64">
      <c r="B11" s="114" t="inlineStr">
        <is>
          <t>Training Hall — Half Day | قاعة تدريب — نصف يوم</t>
        </is>
      </c>
      <c r="C11" s="106" t="n">
        <v>40</v>
      </c>
      <c r="D11" s="115" t="n">
        <v>68000</v>
      </c>
      <c r="E11" s="116" t="inlineStr">
        <is>
          <t>4 hours. 20 persons max. All equipment.</t>
        </is>
      </c>
      <c r="F11" s="116" t="inlineStr">
        <is>
          <t>CEO + Tariq: INGO/donor rate negotiable</t>
        </is>
      </c>
    </row>
    <row r="12" ht="34.5" customHeight="1" s="64">
      <c r="B12" s="114" t="inlineStr">
        <is>
          <t>Training Hall — Full Day | قاعة تدريب — يوم كامل</t>
        </is>
      </c>
      <c r="C12" s="106" t="n">
        <v>70</v>
      </c>
      <c r="D12" s="115" t="n">
        <v>119000</v>
      </c>
      <c r="E12" s="116" t="inlineStr">
        <is>
          <t>8 hours. 20 persons max. All equipment.</t>
        </is>
      </c>
      <c r="F12" s="116" t="inlineStr">
        <is>
          <t>CEO + Tariq: INGO/donor rate negotiable</t>
        </is>
      </c>
    </row>
    <row r="13"/>
    <row r="14"/>
    <row r="15" ht="15" customHeight="1" s="64">
      <c r="B15" s="71" t="inlineStr">
        <is>
          <t>⚠ HARD RULE: No free memberships without CEO + Tariq written approval. No discount above DOA thresholds. Every exception documented.</t>
        </is>
      </c>
    </row>
  </sheetData>
  <mergeCells count="3">
    <mergeCell ref="B2:F2"/>
    <mergeCell ref="B15:F15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3" min="1" max="1"/>
    <col width="8" customWidth="1" style="63" min="2" max="2"/>
    <col width="22" customWidth="1" style="63" min="3" max="3"/>
    <col width="12" customWidth="1" style="63" min="4" max="5"/>
    <col width="35" customWidth="1" style="63" min="6" max="6"/>
    <col width="16" customWidth="1" style="63" min="7" max="8"/>
  </cols>
  <sheetData>
    <row r="1" ht="17.15" customHeight="1" s="64">
      <c r="B1" s="117" t="inlineStr">
        <is>
          <t>RISK &amp; ACCOUNTABILITY REGISTER  |  سجل المخاطر والمساءلة  |  KAY-OPS-MMS-001 Tab 9</t>
        </is>
      </c>
    </row>
    <row r="2" ht="15" customHeight="1" s="64">
      <c r="B2" s="71" t="inlineStr">
        <is>
          <t>⚖ Items marked require counsel validation per KAY-LEG-011 Phase 2. Cross-ref: KAY-DAT-001, KAY-COM-PDP-001, KAY-SAF-001</t>
        </is>
      </c>
    </row>
    <row r="3"/>
    <row r="4" ht="26.1" customHeight="1" s="64">
      <c r="B4" s="118" t="inlineStr">
        <is>
          <t>ID</t>
        </is>
      </c>
      <c r="C4" s="118" t="inlineStr">
        <is>
          <t>Risk | المخاطر</t>
        </is>
      </c>
      <c r="D4" s="118" t="inlineStr">
        <is>
          <t>Likelihood
الاحتمال</t>
        </is>
      </c>
      <c r="E4" s="118" t="inlineStr">
        <is>
          <t>Impact
الأثر</t>
        </is>
      </c>
      <c r="F4" s="118" t="inlineStr">
        <is>
          <t>Mitigation &amp; Controls | التخفيف والضوابط</t>
        </is>
      </c>
      <c r="G4" s="118" t="inlineStr">
        <is>
          <t>Accountable
المسؤول</t>
        </is>
      </c>
      <c r="H4" s="118" t="inlineStr">
        <is>
          <t>Counsel Ref.
مرجع المحامي</t>
        </is>
      </c>
    </row>
    <row r="5" ht="54.75" customHeight="1" s="64">
      <c r="B5" s="119" t="inlineStr">
        <is>
          <t>MR-01</t>
        </is>
      </c>
      <c r="C5" s="120" t="inlineStr">
        <is>
          <t>⚖ Member personal data breach
اختراق بيانات الأعضاء الشخصية</t>
        </is>
      </c>
      <c r="D5" s="121" t="inlineStr">
        <is>
          <t>Medium</t>
        </is>
      </c>
      <c r="E5" s="122" t="inlineStr">
        <is>
          <t>High</t>
        </is>
      </c>
      <c r="F5" s="123" t="inlineStr">
        <is>
          <t>File password-protected. Google Drive encrypted. No screenshots. Staff trained on KAY-DAT-001. Access restricted to Workspace Lead + CEO. Daily backup.</t>
        </is>
      </c>
      <c r="G5" s="124" t="inlineStr">
        <is>
          <t>Workspace Lead</t>
        </is>
      </c>
      <c r="H5" s="125" t="inlineStr">
        <is>
          <t>Phase 2(f)</t>
        </is>
      </c>
    </row>
    <row r="6" ht="54.75" customHeight="1" s="64">
      <c r="B6" s="119" t="inlineStr">
        <is>
          <t>MR-02</t>
        </is>
      </c>
      <c r="C6" s="120" t="inlineStr">
        <is>
          <t>⚖ Incomplete member consent forms
نماذج موافقة غير مكتملة</t>
        </is>
      </c>
      <c r="D6" s="121" t="inlineStr">
        <is>
          <t>Medium</t>
        </is>
      </c>
      <c r="E6" s="122" t="inlineStr">
        <is>
          <t>High</t>
        </is>
      </c>
      <c r="F6" s="123" t="inlineStr">
        <is>
          <t>Check-in refuses entry without signed Handbook + Agreement (columns V, W in Registry). CCTV consent collected at registration. Photo opt-out tracked.</t>
        </is>
      </c>
      <c r="G6" s="124" t="inlineStr">
        <is>
          <t>Reception Staff</t>
        </is>
      </c>
      <c r="H6" s="125" t="inlineStr">
        <is>
          <t>Phase 2(f)(k)</t>
        </is>
      </c>
    </row>
    <row r="7" ht="54.75" customHeight="1" s="64">
      <c r="B7" s="119" t="inlineStr">
        <is>
          <t>MR-03</t>
        </is>
      </c>
      <c r="C7" s="126" t="inlineStr">
        <is>
          <t>Revenue leakage — unlogged day passes
تسرب الإيرادات — تصاريح غير مسجلة</t>
        </is>
      </c>
      <c r="D7" s="121" t="inlineStr">
        <is>
          <t>Medium</t>
        </is>
      </c>
      <c r="E7" s="122" t="inlineStr">
        <is>
          <t>High</t>
        </is>
      </c>
      <c r="F7" s="123" t="inlineStr">
        <is>
          <t>Day Pass Log reconciles daily with cash form KAY-OPS-CHK-001. Receipt # mandatory. Any mismatch = incident report. CCTV covers reception.</t>
        </is>
      </c>
      <c r="G7" s="124" t="inlineStr">
        <is>
          <t>Workspace Lead</t>
        </is>
      </c>
      <c r="H7" s="127" t="inlineStr">
        <is>
          <t>—</t>
        </is>
      </c>
    </row>
    <row r="8" ht="54.75" customHeight="1" s="64">
      <c r="B8" s="119" t="inlineStr">
        <is>
          <t>MR-04</t>
        </is>
      </c>
      <c r="C8" s="126" t="inlineStr">
        <is>
          <t>Unauthorized persons in workspace
أشخاص غير مرخصين في المساحة</t>
        </is>
      </c>
      <c r="D8" s="121" t="inlineStr">
        <is>
          <t>Medium</t>
        </is>
      </c>
      <c r="E8" s="121" t="inlineStr">
        <is>
          <t>Medium</t>
        </is>
      </c>
      <c r="F8" s="123" t="inlineStr">
        <is>
          <t>Every entry logged. Guest policy max 2 per member. Valid ID required. Security walk 3x daily. CCTV at entrance.</t>
        </is>
      </c>
      <c r="G8" s="124" t="inlineStr">
        <is>
          <t>Reception Staff</t>
        </is>
      </c>
      <c r="H8" s="127" t="inlineStr">
        <is>
          <t>—</t>
        </is>
      </c>
    </row>
    <row r="9" ht="54.75" customHeight="1" s="64">
      <c r="B9" s="119" t="inlineStr">
        <is>
          <t>MR-05</t>
        </is>
      </c>
      <c r="C9" s="120" t="inlineStr">
        <is>
          <t>⚖ Member liability dispute (lost items)
نزاع مسؤولية عضو (أغراض مفقودة)</t>
        </is>
      </c>
      <c r="D9" s="121" t="inlineStr">
        <is>
          <t>Medium</t>
        </is>
      </c>
      <c r="E9" s="121" t="inlineStr">
        <is>
          <t>Medium</t>
        </is>
      </c>
      <c r="F9" s="123" t="inlineStr">
        <is>
          <t>Liability waiver in KAY-CON-012 Art.3.3 &amp; KAY-OPS-HBK-001 §2.7. Lockers for Dedicated Desk. CCTV evidence.</t>
        </is>
      </c>
      <c r="G9" s="124" t="inlineStr">
        <is>
          <t>Workspace Lead</t>
        </is>
      </c>
      <c r="H9" s="125" t="inlineStr">
        <is>
          <t>Phase 2(f)</t>
        </is>
      </c>
    </row>
    <row r="10" ht="54.75" customHeight="1" s="64">
      <c r="B10" s="119" t="inlineStr">
        <is>
          <t>MR-06</t>
        </is>
      </c>
      <c r="C10" s="126" t="inlineStr">
        <is>
          <t>Renewal tracking failure — silent churn
فشل تتبع التجديد — مغادرة صامتة</t>
        </is>
      </c>
      <c r="D10" s="122" t="inlineStr">
        <is>
          <t>High</t>
        </is>
      </c>
      <c r="E10" s="122" t="inlineStr">
        <is>
          <t>High</t>
        </is>
      </c>
      <c r="F10" s="123" t="inlineStr">
        <is>
          <t>Renewal Tracker tab with auto-calculated expiry alerts. 7-day advance contact. CEO reviews weekly. Churn reason logged for improvement.</t>
        </is>
      </c>
      <c r="G10" s="124" t="inlineStr">
        <is>
          <t>Workspace Lead</t>
        </is>
      </c>
      <c r="H10" s="127" t="inlineStr">
        <is>
          <t>—</t>
        </is>
      </c>
    </row>
    <row r="11" ht="54.75" customHeight="1" s="64">
      <c r="B11" s="119" t="inlineStr">
        <is>
          <t>MR-07</t>
        </is>
      </c>
      <c r="C11" s="120" t="inlineStr">
        <is>
          <t>⚖ Member ID data misuse or theft
إساءة استخدام أو سرقة بيانات الهوية</t>
        </is>
      </c>
      <c r="D11" s="124" t="inlineStr">
        <is>
          <t>Low</t>
        </is>
      </c>
      <c r="E11" s="122" t="inlineStr">
        <is>
          <t>Critical</t>
        </is>
      </c>
      <c r="F11" s="123" t="inlineStr">
        <is>
          <t>National ID stored as last 3 digits only (***789). Full ID verified at registration but NOT stored digitally. Physical forms in locked cabinet.</t>
        </is>
      </c>
      <c r="G11" s="124" t="inlineStr">
        <is>
          <t>CEO</t>
        </is>
      </c>
      <c r="H11" s="125" t="inlineStr">
        <is>
          <t>Phase 2(f)</t>
        </is>
      </c>
    </row>
    <row r="12" ht="54.75" customHeight="1" s="64">
      <c r="B12" s="119" t="inlineStr">
        <is>
          <t>MR-08</t>
        </is>
      </c>
      <c r="C12" s="126" t="inlineStr">
        <is>
          <t>Conversion funnel not tracked — revenue stagnation
عدم تتبع قمع التحويل — ركود الإيرادات</t>
        </is>
      </c>
      <c r="D12" s="122" t="inlineStr">
        <is>
          <t>High</t>
        </is>
      </c>
      <c r="E12" s="122" t="inlineStr">
        <is>
          <t>High</t>
        </is>
      </c>
      <c r="F12" s="123" t="inlineStr">
        <is>
          <t>Conversion Funnel tab mandatory for every day pass buyer. CEO reviews conversion rate weekly. Target: 15% by M6. Below 10% = strategy review.</t>
        </is>
      </c>
      <c r="G12" s="124" t="inlineStr">
        <is>
          <t>CEO</t>
        </is>
      </c>
      <c r="H12" s="127" t="inlineStr">
        <is>
          <t>—</t>
        </is>
      </c>
    </row>
    <row r="13" ht="54.75" customHeight="1" s="64">
      <c r="B13" s="119" t="inlineStr">
        <is>
          <t>MR-09</t>
        </is>
      </c>
      <c r="C13" s="120" t="inlineStr">
        <is>
          <t>⚖ Emergency contact data handling
التعامل مع بيانات جهة اتصال الطوارئ</t>
        </is>
      </c>
      <c r="D13" s="124" t="inlineStr">
        <is>
          <t>Low</t>
        </is>
      </c>
      <c r="E13" s="121" t="inlineStr">
        <is>
          <t>Medium</t>
        </is>
      </c>
      <c r="F13" s="123" t="inlineStr">
        <is>
          <t>Emergency contact used ONLY for medical/safety emergencies. Not for marketing. Not shared. Consent collected on membership form.</t>
        </is>
      </c>
      <c r="G13" s="124" t="inlineStr">
        <is>
          <t>Workspace Lead</t>
        </is>
      </c>
      <c r="H13" s="125" t="inlineStr">
        <is>
          <t>Phase 2(f)</t>
        </is>
      </c>
    </row>
    <row r="14" ht="54.75" customHeight="1" s="64">
      <c r="B14" s="119" t="inlineStr">
        <is>
          <t>MR-10</t>
        </is>
      </c>
      <c r="C14" s="126" t="inlineStr">
        <is>
          <t>System failure — file corruption or loss
فشل النظام — تلف أو فقدان الملف</t>
        </is>
      </c>
      <c r="D14" s="121" t="inlineStr">
        <is>
          <t>Medium</t>
        </is>
      </c>
      <c r="E14" s="122" t="inlineStr">
        <is>
          <t>Critical</t>
        </is>
      </c>
      <c r="F14" s="123" t="inlineStr">
        <is>
          <t>Daily Google Drive auto-sync. Weekly manual backup to USB. Monthly backup to separate cloud. Version history enabled.</t>
        </is>
      </c>
      <c r="G14" s="124" t="inlineStr">
        <is>
          <t>Workspace Lead</t>
        </is>
      </c>
      <c r="H14" s="127" t="inlineStr">
        <is>
          <t>—</t>
        </is>
      </c>
    </row>
  </sheetData>
  <mergeCells count="2">
    <mergeCell ref="B1:H1"/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2026-02-23T14:36:21Z</dcterms:created>
  <dcterms:modified xmlns:dcterms="http://purl.org/dc/terms/" xmlns:xsi="http://www.w3.org/2001/XMLSchema-instance" xsi:type="dcterms:W3CDTF">2026-05-28T10:39:13Z</dcterms:modified>
  <cp:revision>0</cp:revision>
</cp:coreProperties>
</file>