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INDEX" sheetId="1" state="visible" r:id="rId1"/>
    <sheet xmlns:r="http://schemas.openxmlformats.org/officeDocument/2006/relationships" name="01_CONFIG" sheetId="2" state="visible" r:id="rId2"/>
    <sheet xmlns:r="http://schemas.openxmlformats.org/officeDocument/2006/relationships" name="02_EOI_CLIENT" sheetId="3" state="visible" r:id="rId3"/>
    <sheet xmlns:r="http://schemas.openxmlformats.org/officeDocument/2006/relationships" name="03_EOI_FREELANCER" sheetId="4" state="visible" r:id="rId4"/>
    <sheet xmlns:r="http://schemas.openxmlformats.org/officeDocument/2006/relationships" name="04_EOI_BUSINESS" sheetId="5" state="visible" r:id="rId5"/>
    <sheet xmlns:r="http://schemas.openxmlformats.org/officeDocument/2006/relationships" name="05_EOI_VOLUNTEER" sheetId="6" state="visible" r:id="rId6"/>
    <sheet xmlns:r="http://schemas.openxmlformats.org/officeDocument/2006/relationships" name="06_EOI_FORGE" sheetId="7" state="visible" r:id="rId7"/>
    <sheet xmlns:r="http://schemas.openxmlformats.org/officeDocument/2006/relationships" name="07_EOI_HUB" sheetId="8" state="visible" r:id="rId8"/>
    <sheet xmlns:r="http://schemas.openxmlformats.org/officeDocument/2006/relationships" name="08_REG_CLIENT_FULL" sheetId="9" state="visible" r:id="rId9"/>
    <sheet xmlns:r="http://schemas.openxmlformats.org/officeDocument/2006/relationships" name="09_REG_TALENT_FULL" sheetId="10" state="visible" r:id="rId10"/>
    <sheet xmlns:r="http://schemas.openxmlformats.org/officeDocument/2006/relationships" name="10_REG_VOLUNTEER_FULL" sheetId="11" state="visible" r:id="rId11"/>
    <sheet xmlns:r="http://schemas.openxmlformats.org/officeDocument/2006/relationships" name="11_HUB_BOOKING" sheetId="12" state="visible" r:id="rId12"/>
    <sheet xmlns:r="http://schemas.openxmlformats.org/officeDocument/2006/relationships" name="12_FORGE_ENROLL" sheetId="13" state="visible" r:id="rId13"/>
    <sheet xmlns:r="http://schemas.openxmlformats.org/officeDocument/2006/relationships" name="13_SPECIALIZATIONS" sheetId="14" state="visible" r:id="rId14"/>
    <sheet xmlns:r="http://schemas.openxmlformats.org/officeDocument/2006/relationships" name="14_WHATSAPP_SCRIPTS" sheetId="15" state="visible" r:id="rId15"/>
    <sheet xmlns:r="http://schemas.openxmlformats.org/officeDocument/2006/relationships" name="15_RESPONSE_TEMPLATES" sheetId="16" state="visible" r:id="rId16"/>
    <sheet xmlns:r="http://schemas.openxmlformats.org/officeDocument/2006/relationships" name="16_AUDIT_LOG" sheetId="17" state="visible" r:id="rId17"/>
    <sheet xmlns:r="http://schemas.openxmlformats.org/officeDocument/2006/relationships" name="17_KPI_DASH" sheetId="18" state="visible" r:id="rId18"/>
  </sheets>
  <definedNames>
    <definedName name="AgeBands" hidden="0" function="0" vbProcedure="0">01_CONFIG!$D$43:$D$48</definedName>
    <definedName name="Availability" hidden="0" function="0" vbProcedure="0">01_CONFIG!$E$43:$E$47</definedName>
    <definedName name="BudgetBands" hidden="0" function="0" vbProcedure="0">01_CONFIG!$B$57:$B$62</definedName>
    <definedName name="Channels" hidden="0" function="0" vbProcedure="0">01_CONFIG!$D$18:$D$27</definedName>
    <definedName name="Countries" hidden="0" function="0" vbProcedure="0">01_CONFIG!$B$18:$B$38</definedName>
    <definedName name="Currencies" hidden="0" function="0" vbProcedure="0">01_CONFIG!$C$18:$C$25</definedName>
    <definedName name="Domains" hidden="0" function="0" vbProcedure="0">01_CONFIG!$G$18:$G$25</definedName>
    <definedName name="EOIStatus" hidden="0" function="0" vbProcedure="0">01_CONFIG!$E$18:$E$26</definedName>
    <definedName name="Genders" hidden="0" function="0" vbProcedure="0">01_CONFIG!$C$43:$C$45</definedName>
    <definedName name="Industries" hidden="0" function="0" vbProcedure="0">01_CONFIG!$C$57:$C$68</definedName>
    <definedName name="Languages" hidden="0" function="0" vbProcedure="0">01_CONFIG!$E$57:$E$61</definedName>
    <definedName name="OrgSizes" hidden="0" function="0" vbProcedure="0">01_CONFIG!$D$57:$D$61</definedName>
    <definedName name="Tiers" hidden="0" function="0" vbProcedure="0">01_CONFIG!$F$18:$F$22</definedName>
    <definedName name="YesNo" hidden="0" function="0" vbProcedure="0">01_CONFIG!$B$43:$B$44</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0"/>
    <numFmt numFmtId="165" formatCode="0.0%"/>
    <numFmt numFmtId="166" formatCode="yyyy\-mm\-dd"/>
    <numFmt numFmtId="167" formatCode="mm/dd/yy\ hh:mm\ AM/PM"/>
  </numFmts>
  <fonts count="3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2"/>
    </font>
    <font>
      <name val="Arial"/>
      <charset val="1"/>
      <family val="0"/>
      <i val="1"/>
      <color rgb="FF6E6A63"/>
      <sz val="9"/>
    </font>
    <font>
      <name val="Arial"/>
      <charset val="1"/>
      <family val="0"/>
      <b val="1"/>
      <color rgb="FF1B1F23"/>
      <sz val="12"/>
    </font>
    <font>
      <name val="Arial"/>
      <charset val="1"/>
      <family val="0"/>
      <b val="1"/>
      <color rgb="FFFFFFFF"/>
      <sz val="10"/>
    </font>
    <font>
      <name val="Arial"/>
      <charset val="1"/>
      <family val="0"/>
      <color rgb="FF1B1F23"/>
      <sz val="10"/>
    </font>
    <font>
      <name val="Arial"/>
      <charset val="1"/>
      <family val="0"/>
      <b val="1"/>
      <color rgb="FF2C4A3E"/>
      <sz val="10"/>
    </font>
    <font>
      <name val="Arial"/>
      <charset val="1"/>
      <family val="0"/>
      <b val="1"/>
      <color rgb="FF0000FF"/>
      <sz val="10"/>
    </font>
    <font>
      <name val="Arial"/>
      <charset val="1"/>
      <family val="0"/>
      <b val="1"/>
      <color rgb="FF000000"/>
      <sz val="10"/>
    </font>
    <font>
      <name val="Arial"/>
      <charset val="1"/>
      <family val="0"/>
      <b val="1"/>
      <color rgb="FF008000"/>
      <sz val="10"/>
    </font>
    <font>
      <name val="Arial"/>
      <charset val="1"/>
      <family val="0"/>
      <b val="1"/>
      <color rgb="FF1B1F23"/>
      <sz val="10"/>
    </font>
    <font>
      <name val="Arial"/>
      <charset val="1"/>
      <family val="0"/>
      <b val="1"/>
      <color rgb="FFC0392B"/>
      <sz val="10"/>
    </font>
    <font>
      <name val="Arial"/>
      <charset val="1"/>
      <family val="0"/>
      <b val="1"/>
      <sz val="10"/>
    </font>
    <font>
      <name val="Arial"/>
      <charset val="1"/>
      <family val="0"/>
      <color rgb="FF2C4A3E"/>
      <sz val="10"/>
    </font>
    <font>
      <name val="Arial"/>
      <charset val="1"/>
      <family val="0"/>
      <sz val="10"/>
    </font>
    <font>
      <name val="Arial"/>
      <charset val="1"/>
      <family val="0"/>
      <b val="1"/>
      <color rgb="FFFFFFFF"/>
      <sz val="18"/>
    </font>
    <font>
      <name val="Arial"/>
      <charset val="1"/>
      <family val="0"/>
      <i val="1"/>
      <color rgb="FF6E6A63"/>
      <sz val="10"/>
    </font>
    <font>
      <name val="Arial"/>
      <charset val="1"/>
      <family val="0"/>
      <b val="1"/>
      <color rgb="FF2C4A3E"/>
      <sz val="11"/>
    </font>
    <font>
      <name val="Arial"/>
      <charset val="1"/>
      <family val="0"/>
      <b val="1"/>
      <color rgb="FF6E6A63"/>
      <sz val="10"/>
    </font>
    <font>
      <name val="Arial"/>
      <charset val="1"/>
      <family val="0"/>
      <color rgb="FF0000FF"/>
      <sz val="10"/>
    </font>
    <font>
      <name val="Arial"/>
      <charset val="1"/>
      <family val="0"/>
      <b val="1"/>
      <color rgb="FFC0392B"/>
      <sz val="9"/>
    </font>
    <font>
      <name val="Arial"/>
      <charset val="1"/>
      <family val="0"/>
      <b val="1"/>
      <color rgb="FF6E6A63"/>
      <sz val="9"/>
    </font>
    <font>
      <name val="Arial"/>
      <charset val="1"/>
      <family val="0"/>
      <b val="1"/>
      <color rgb="FF2C4A3E"/>
      <sz val="14"/>
    </font>
    <font>
      <name val="Arial"/>
      <charset val="1"/>
      <family val="0"/>
      <i val="1"/>
      <color rgb="FF000000"/>
      <sz val="10"/>
    </font>
    <font>
      <name val="Arial"/>
      <charset val="1"/>
      <family val="0"/>
      <b val="1"/>
      <color rgb="FFC9A24B"/>
      <sz val="11"/>
    </font>
    <font>
      <name val="Arial"/>
      <family val="2"/>
      <sz val="10"/>
    </font>
    <font>
      <name val="FreeSans"/>
      <family val="2"/>
      <sz val="10"/>
    </font>
    <font>
      <name val="Arial"/>
      <charset val="1"/>
      <family val="0"/>
      <color rgb="FF6E6A63"/>
      <sz val="9"/>
    </font>
    <font>
      <name val="Arial"/>
      <charset val="1"/>
      <family val="0"/>
      <color rgb="FF6E6A63"/>
      <sz val="10"/>
    </font>
    <font>
      <name val="Arial"/>
      <charset val="1"/>
      <family val="0"/>
      <b val="1"/>
      <color rgb="FFFFFFFF"/>
      <sz val="11"/>
    </font>
    <font>
      <name val="Arial"/>
      <charset val="1"/>
      <family val="0"/>
      <i val="1"/>
      <color rgb="FF008000"/>
      <sz val="10"/>
    </font>
    <font>
      <name val="Arial"/>
      <charset val="1"/>
      <family val="0"/>
      <i val="1"/>
      <sz val="10"/>
    </font>
  </fonts>
  <fills count="9">
    <fill>
      <patternFill/>
    </fill>
    <fill>
      <patternFill patternType="gray125"/>
    </fill>
    <fill>
      <patternFill patternType="solid">
        <fgColor rgb="FF2C4A3E"/>
        <bgColor rgb="FF003366"/>
      </patternFill>
    </fill>
    <fill>
      <patternFill patternType="solid">
        <fgColor rgb="FFFAF7F0"/>
        <bgColor rgb="FFF5EFE2"/>
      </patternFill>
    </fill>
    <fill>
      <patternFill patternType="solid">
        <fgColor rgb="FFC9A24B"/>
        <bgColor rgb="FFB0B0B0"/>
      </patternFill>
    </fill>
    <fill>
      <patternFill patternType="solid">
        <fgColor rgb="FFF5EFE2"/>
        <bgColor rgb="FFFAF7F0"/>
      </patternFill>
    </fill>
    <fill>
      <patternFill patternType="solid">
        <fgColor rgb="FFFFF3BF"/>
        <bgColor rgb="FFFFF3CD"/>
      </patternFill>
    </fill>
    <fill>
      <patternFill patternType="solid">
        <fgColor rgb="FFE8DEC7"/>
        <bgColor rgb="FFF8D7DA"/>
      </patternFill>
    </fill>
    <fill>
      <patternFill patternType="solid">
        <fgColor rgb="FF1B1F23"/>
        <bgColor rgb="FF003300"/>
      </patternFill>
    </fill>
  </fills>
  <borders count="9">
    <border>
      <left/>
      <right/>
      <top/>
      <bottom/>
      <diagonal/>
    </border>
    <border>
      <left style="thin">
        <color rgb="FF808080"/>
      </left>
      <right style="thin">
        <color rgb="FF808080"/>
      </right>
      <top style="thin">
        <color rgb="FF808080"/>
      </top>
      <bottom style="thin">
        <color rgb="FF808080"/>
      </bottom>
      <diagonal/>
    </border>
    <border>
      <left style="thin">
        <color rgb="FFB0B0B0"/>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rgb="FFD0D0D0"/>
      </left>
      <right style="thin">
        <color rgb="FFD0D0D0"/>
      </right>
      <top style="thin">
        <color rgb="FFD0D0D0"/>
      </top>
      <bottom style="thin">
        <color rgb="FFD0D0D0"/>
      </bottom>
      <diagonal/>
    </border>
    <border>
      <left/>
      <right/>
      <top style="thin">
        <color rgb="FFB0B0B0"/>
      </top>
      <bottom/>
      <diagonal/>
    </border>
    <border>
      <left/>
      <right/>
      <top style="thin">
        <color rgb="FFB0B0B0"/>
      </top>
      <bottom style="thin">
        <color rgb="FFB0B0B0"/>
      </bottom>
      <diagonal/>
    </border>
    <border>
      <left/>
      <right style="thin">
        <color rgb="FFB0B0B0"/>
      </right>
      <top style="thin">
        <color rgb="FFB0B0B0"/>
      </top>
      <bottom/>
      <diagonal/>
    </border>
    <border>
      <left/>
      <right style="thin">
        <color rgb="FFB0B0B0"/>
      </right>
      <top style="thin">
        <color rgb="FFB0B0B0"/>
      </top>
      <bottom style="thin">
        <color rgb="FFB0B0B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3">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left" vertical="top" wrapText="1" indent="1"/>
    </xf>
    <xf numFmtId="0" fontId="6" fillId="4" borderId="0" applyAlignment="1" pivotButton="0" quotePrefix="0" xfId="0">
      <alignment horizontal="left" vertical="center" wrapText="1" indent="1"/>
    </xf>
    <xf numFmtId="0" fontId="7" fillId="2" borderId="1" applyAlignment="1" pivotButton="0" quotePrefix="0" xfId="0">
      <alignment horizontal="center" vertical="center" wrapText="1"/>
    </xf>
    <xf numFmtId="0" fontId="8" fillId="0" borderId="2" applyAlignment="1" pivotButton="0" quotePrefix="0" xfId="0">
      <alignment horizontal="general" vertical="center" wrapText="1" indent="1"/>
    </xf>
    <xf numFmtId="0" fontId="9" fillId="0" borderId="2" applyAlignment="1" pivotButton="0" quotePrefix="0" xfId="0">
      <alignment horizontal="general" vertical="center" wrapText="1" indent="1"/>
    </xf>
    <xf numFmtId="0" fontId="10" fillId="3" borderId="2" applyAlignment="1" pivotButton="0" quotePrefix="0" xfId="0">
      <alignment horizontal="left" vertical="center" indent="1"/>
    </xf>
    <xf numFmtId="0" fontId="8" fillId="0" borderId="3" applyAlignment="1" pivotButton="0" quotePrefix="0" xfId="0">
      <alignment horizontal="left" vertical="center" wrapText="1" indent="1"/>
    </xf>
    <xf numFmtId="0" fontId="11" fillId="5" borderId="2" applyAlignment="1" pivotButton="0" quotePrefix="0" xfId="0">
      <alignment horizontal="left" vertical="center" indent="1"/>
    </xf>
    <xf numFmtId="0" fontId="12" fillId="5" borderId="2" applyAlignment="1" pivotButton="0" quotePrefix="0" xfId="0">
      <alignment horizontal="left" vertical="center" indent="1"/>
    </xf>
    <xf numFmtId="0" fontId="13" fillId="6" borderId="2" applyAlignment="1" pivotButton="0" quotePrefix="0" xfId="0">
      <alignment horizontal="left" vertical="center" indent="1"/>
    </xf>
    <xf numFmtId="0" fontId="14" fillId="3" borderId="2" applyAlignment="1" pivotButton="0" quotePrefix="0" xfId="0">
      <alignment horizontal="left" vertical="center" inden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8" fillId="2" borderId="0" applyAlignment="1" pivotButton="0" quotePrefix="0" xfId="0">
      <alignment horizontal="center" vertical="center" wrapText="1"/>
    </xf>
    <xf numFmtId="0" fontId="17" fillId="0" borderId="2" applyAlignment="1" pivotButton="0" quotePrefix="0" xfId="0">
      <alignment horizontal="general" vertical="bottom"/>
    </xf>
    <xf numFmtId="0" fontId="9" fillId="0" borderId="2" applyAlignment="1" pivotButton="0" quotePrefix="0" xfId="0">
      <alignment horizontal="general" vertical="bottom"/>
    </xf>
    <xf numFmtId="3" fontId="10" fillId="6" borderId="2" applyAlignment="1" pivotButton="0" quotePrefix="0" xfId="0">
      <alignment horizontal="general" vertical="bottom"/>
    </xf>
    <xf numFmtId="0" fontId="19" fillId="0" borderId="2" applyAlignment="1" pivotButton="0" quotePrefix="0" xfId="0">
      <alignment horizontal="left" vertical="center" wrapText="1" indent="1"/>
    </xf>
    <xf numFmtId="164" fontId="10" fillId="6" borderId="2" applyAlignment="1" pivotButton="0" quotePrefix="0" xfId="0">
      <alignment horizontal="general" vertical="bottom"/>
    </xf>
    <xf numFmtId="165" fontId="10" fillId="6" borderId="2" applyAlignment="1" pivotButton="0" quotePrefix="0" xfId="0">
      <alignment horizontal="general" vertical="bottom"/>
    </xf>
    <xf numFmtId="0" fontId="0" fillId="5" borderId="0" applyAlignment="1" pivotButton="0" quotePrefix="0" xfId="0">
      <alignment horizontal="general" vertical="bottom"/>
    </xf>
    <xf numFmtId="0" fontId="20" fillId="0" borderId="0" applyAlignment="1" pivotButton="0" quotePrefix="0" xfId="0">
      <alignment horizontal="general" vertical="bottom"/>
    </xf>
    <xf numFmtId="0" fontId="8" fillId="0" borderId="4" applyAlignment="1" pivotButton="0" quotePrefix="0" xfId="0">
      <alignment horizontal="left" vertical="center" indent="1"/>
    </xf>
    <xf numFmtId="0" fontId="17" fillId="0" borderId="4" applyAlignment="1" pivotButton="0" quotePrefix="0" xfId="0">
      <alignment horizontal="left" vertical="center" indent="1"/>
    </xf>
    <xf numFmtId="0" fontId="19" fillId="5" borderId="0" applyAlignment="1" pivotButton="0" quotePrefix="0" xfId="0">
      <alignment horizontal="left" vertical="top" wrapText="1" indent="1"/>
    </xf>
    <xf numFmtId="0" fontId="21" fillId="3" borderId="2" applyAlignment="1" pivotButton="0" quotePrefix="0" xfId="0">
      <alignment horizontal="center" vertical="center"/>
    </xf>
    <xf numFmtId="0" fontId="13" fillId="5" borderId="3" applyAlignment="1" pivotButton="0" quotePrefix="0" xfId="0">
      <alignment horizontal="left" vertical="center" wrapText="1" indent="1"/>
    </xf>
    <xf numFmtId="0" fontId="22" fillId="3" borderId="2" applyAlignment="1" pivotButton="0" quotePrefix="0" xfId="0">
      <alignment horizontal="left" vertical="center" wrapText="1" indent="1"/>
    </xf>
    <xf numFmtId="0" fontId="23" fillId="3" borderId="2" applyAlignment="1" pivotButton="0" quotePrefix="0" xfId="0">
      <alignment horizontal="center" vertical="center"/>
    </xf>
    <xf numFmtId="49" fontId="22" fillId="3" borderId="2" applyAlignment="1" pivotButton="0" quotePrefix="0" xfId="0">
      <alignment horizontal="left" vertical="center" wrapText="1" indent="1"/>
    </xf>
    <xf numFmtId="0" fontId="24" fillId="3" borderId="2" applyAlignment="1" pivotButton="0" quotePrefix="0" xfId="0">
      <alignment horizontal="center" vertical="center"/>
    </xf>
    <xf numFmtId="0" fontId="22" fillId="3" borderId="2" applyAlignment="1" pivotButton="0" quotePrefix="0" xfId="0">
      <alignment horizontal="left" vertical="top" wrapText="1" indent="1"/>
    </xf>
    <xf numFmtId="166" fontId="22" fillId="3" borderId="2" applyAlignment="1" pivotButton="0" quotePrefix="0" xfId="0">
      <alignment horizontal="left" vertical="center" wrapText="1" indent="1"/>
    </xf>
    <xf numFmtId="0" fontId="25" fillId="0" borderId="2" applyAlignment="1" pivotButton="0" quotePrefix="0" xfId="0">
      <alignment horizontal="center" vertical="center"/>
    </xf>
    <xf numFmtId="0" fontId="23" fillId="0" borderId="2" applyAlignment="1" pivotButton="0" quotePrefix="0" xfId="0">
      <alignment horizontal="center" vertical="center"/>
    </xf>
    <xf numFmtId="0" fontId="24" fillId="0" borderId="2" applyAlignment="1" pivotButton="0" quotePrefix="0" xfId="0">
      <alignment horizontal="center" vertical="center"/>
    </xf>
    <xf numFmtId="0" fontId="6" fillId="7" borderId="0" applyAlignment="1" pivotButton="0" quotePrefix="0" xfId="0">
      <alignment horizontal="left" vertical="center" wrapText="1" indent="1"/>
    </xf>
    <xf numFmtId="0" fontId="0" fillId="7" borderId="2" applyAlignment="1" pivotButton="0" quotePrefix="0" xfId="0">
      <alignment horizontal="general" vertical="bottom"/>
    </xf>
    <xf numFmtId="0" fontId="13" fillId="7" borderId="3" applyAlignment="1" pivotButton="0" quotePrefix="0" xfId="0">
      <alignment horizontal="left" vertical="center" wrapText="1" indent="1"/>
    </xf>
    <xf numFmtId="0" fontId="26" fillId="3" borderId="2" applyAlignment="1" pivotButton="0" quotePrefix="0" xfId="0">
      <alignment horizontal="left" vertical="center" wrapText="1" indent="1"/>
    </xf>
    <xf numFmtId="0" fontId="5" fillId="7" borderId="2" applyAlignment="1" pivotButton="0" quotePrefix="0" xfId="0">
      <alignment horizontal="center" vertical="center"/>
    </xf>
    <xf numFmtId="167" fontId="26" fillId="3" borderId="2" applyAlignment="1" pivotButton="0" quotePrefix="0" xfId="0">
      <alignment horizontal="left" vertical="center" wrapText="1" indent="1"/>
    </xf>
    <xf numFmtId="0" fontId="27" fillId="8" borderId="0" applyAlignment="1" pivotButton="0" quotePrefix="0" xfId="0">
      <alignment horizontal="center" vertical="center"/>
    </xf>
    <xf numFmtId="0" fontId="17" fillId="0" borderId="4" applyAlignment="1" pivotButton="0" quotePrefix="0" xfId="0">
      <alignment horizontal="left" vertical="center" wrapText="1" indent="1"/>
    </xf>
    <xf numFmtId="0" fontId="9" fillId="0" borderId="4" applyAlignment="1" pivotButton="0" quotePrefix="0" xfId="0">
      <alignment horizontal="left" vertical="center" wrapText="1" indent="1"/>
    </xf>
    <xf numFmtId="0" fontId="30" fillId="0" borderId="4" applyAlignment="1" pivotButton="0" quotePrefix="0" xfId="0">
      <alignment horizontal="left" vertical="center" wrapText="1" indent="1"/>
    </xf>
    <xf numFmtId="0" fontId="31" fillId="0" borderId="0" applyAlignment="1" pivotButton="0" quotePrefix="0" xfId="0">
      <alignment horizontal="general" vertical="bottom"/>
    </xf>
    <xf numFmtId="0" fontId="32" fillId="2" borderId="0" applyAlignment="1" pivotButton="0" quotePrefix="0" xfId="0">
      <alignment horizontal="center" vertical="center"/>
    </xf>
    <xf numFmtId="0" fontId="31" fillId="0" borderId="4" applyAlignment="1" pivotButton="0" quotePrefix="0" xfId="0">
      <alignment horizontal="left" vertical="top" wrapText="1" indent="1"/>
    </xf>
    <xf numFmtId="0" fontId="9" fillId="0" borderId="4" applyAlignment="1" pivotButton="0" quotePrefix="0" xfId="0">
      <alignment horizontal="left" vertical="top" wrapText="1" indent="1"/>
    </xf>
    <xf numFmtId="0" fontId="17" fillId="0" borderId="4" applyAlignment="1" pivotButton="0" quotePrefix="0" xfId="0">
      <alignment horizontal="left" vertical="top" wrapText="1" indent="1"/>
    </xf>
    <xf numFmtId="0" fontId="5" fillId="0" borderId="4" applyAlignment="1" pivotButton="0" quotePrefix="0" xfId="0">
      <alignment horizontal="left" vertical="top" wrapText="1" indent="1"/>
    </xf>
    <xf numFmtId="0" fontId="30" fillId="0" borderId="4" applyAlignment="1" pivotButton="0" quotePrefix="0" xfId="0">
      <alignment horizontal="left" vertical="top" wrapText="1" indent="1"/>
    </xf>
    <xf numFmtId="0" fontId="31" fillId="0" borderId="4" applyAlignment="1" pivotButton="0" quotePrefix="0" xfId="0">
      <alignment horizontal="left" vertical="center" wrapText="1" indent="1"/>
    </xf>
    <xf numFmtId="0" fontId="22" fillId="0" borderId="4" applyAlignment="1" pivotButton="0" quotePrefix="0" xfId="0">
      <alignment horizontal="left" vertical="center" wrapText="1" indent="1"/>
    </xf>
    <xf numFmtId="0" fontId="0" fillId="0" borderId="4" applyAlignment="1" pivotButton="0" quotePrefix="0" xfId="0">
      <alignment horizontal="center" vertical="center" wrapText="1" indent="1"/>
    </xf>
    <xf numFmtId="0" fontId="13" fillId="0" borderId="4" applyAlignment="1" pivotButton="0" quotePrefix="0" xfId="0">
      <alignment horizontal="left" vertical="center" wrapText="1" indent="1"/>
    </xf>
    <xf numFmtId="0" fontId="22" fillId="6" borderId="4" applyAlignment="1" pivotButton="0" quotePrefix="0" xfId="0">
      <alignment horizontal="center" vertical="center" wrapText="1" indent="1"/>
    </xf>
    <xf numFmtId="0" fontId="33" fillId="0" borderId="4" applyAlignment="1" pivotButton="0" quotePrefix="0" xfId="0">
      <alignment horizontal="center" vertical="center" wrapText="1" indent="1"/>
    </xf>
    <xf numFmtId="0" fontId="34" fillId="0" borderId="4" applyAlignment="1" pivotButton="0" quotePrefix="0" xfId="0">
      <alignment horizontal="center" vertical="center" wrapText="1" indent="1"/>
    </xf>
    <xf numFmtId="165" fontId="34" fillId="0" borderId="4" applyAlignment="1" pivotButton="0" quotePrefix="0" xfId="0">
      <alignment horizontal="center" vertical="center" wrapText="1" indent="1"/>
    </xf>
    <xf numFmtId="165" fontId="2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left" vertical="top" wrapText="1" indent="1"/>
    </xf>
    <xf numFmtId="0" fontId="6" fillId="4" borderId="0" applyAlignment="1" pivotButton="0" quotePrefix="0" xfId="0">
      <alignment horizontal="left" vertical="center" wrapText="1" indent="1"/>
    </xf>
    <xf numFmtId="0" fontId="7" fillId="2" borderId="1" applyAlignment="1" pivotButton="0" quotePrefix="0" xfId="0">
      <alignment horizontal="center" vertical="center" wrapText="1"/>
    </xf>
    <xf numFmtId="0" fontId="8" fillId="0" borderId="2" applyAlignment="1" pivotButton="0" quotePrefix="0" xfId="0">
      <alignment horizontal="general" vertical="center" wrapText="1" indent="1"/>
    </xf>
    <xf numFmtId="0" fontId="9" fillId="0" borderId="2" applyAlignment="1" pivotButton="0" quotePrefix="0" xfId="0">
      <alignment horizontal="general" vertical="center" wrapText="1" indent="1"/>
    </xf>
    <xf numFmtId="0" fontId="10" fillId="3" borderId="2" applyAlignment="1" pivotButton="0" quotePrefix="0" xfId="0">
      <alignment horizontal="left" vertical="center" indent="1"/>
    </xf>
    <xf numFmtId="0" fontId="8" fillId="0" borderId="3" applyAlignment="1" pivotButton="0" quotePrefix="0" xfId="0">
      <alignment horizontal="left" vertical="center" wrapText="1" indent="1"/>
    </xf>
    <xf numFmtId="0" fontId="0" fillId="0" borderId="6" pivotButton="0" quotePrefix="0" xfId="0"/>
    <xf numFmtId="0" fontId="11" fillId="5" borderId="2" applyAlignment="1" pivotButton="0" quotePrefix="0" xfId="0">
      <alignment horizontal="left" vertical="center" indent="1"/>
    </xf>
    <xf numFmtId="0" fontId="12" fillId="5" borderId="2" applyAlignment="1" pivotButton="0" quotePrefix="0" xfId="0">
      <alignment horizontal="left" vertical="center" indent="1"/>
    </xf>
    <xf numFmtId="0" fontId="13" fillId="6" borderId="2" applyAlignment="1" pivotButton="0" quotePrefix="0" xfId="0">
      <alignment horizontal="left" vertical="center" indent="1"/>
    </xf>
    <xf numFmtId="0" fontId="14" fillId="3" borderId="2" applyAlignment="1" pivotButton="0" quotePrefix="0" xfId="0">
      <alignment horizontal="left" vertical="center" inden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8" fillId="2" borderId="0" applyAlignment="1" pivotButton="0" quotePrefix="0" xfId="0">
      <alignment horizontal="center" vertical="center" wrapText="1"/>
    </xf>
    <xf numFmtId="0" fontId="17" fillId="0" borderId="2" applyAlignment="1" pivotButton="0" quotePrefix="0" xfId="0">
      <alignment horizontal="general" vertical="bottom"/>
    </xf>
    <xf numFmtId="0" fontId="9" fillId="0" borderId="2" applyAlignment="1" pivotButton="0" quotePrefix="0" xfId="0">
      <alignment horizontal="general" vertical="bottom"/>
    </xf>
    <xf numFmtId="3" fontId="10" fillId="6" borderId="2" applyAlignment="1" pivotButton="0" quotePrefix="0" xfId="0">
      <alignment horizontal="general" vertical="bottom"/>
    </xf>
    <xf numFmtId="0" fontId="19" fillId="0" borderId="2" applyAlignment="1" pivotButton="0" quotePrefix="0" xfId="0">
      <alignment horizontal="left" vertical="center" wrapText="1" indent="1"/>
    </xf>
    <xf numFmtId="0" fontId="0" fillId="0" borderId="8" pivotButton="0" quotePrefix="0" xfId="0"/>
    <xf numFmtId="164" fontId="10" fillId="6" borderId="2" applyAlignment="1" pivotButton="0" quotePrefix="0" xfId="0">
      <alignment horizontal="general" vertical="bottom"/>
    </xf>
    <xf numFmtId="165" fontId="10" fillId="6" borderId="2" applyAlignment="1" pivotButton="0" quotePrefix="0" xfId="0">
      <alignment horizontal="general" vertical="bottom"/>
    </xf>
    <xf numFmtId="0" fontId="0" fillId="5" borderId="0" applyAlignment="1" pivotButton="0" quotePrefix="0" xfId="0">
      <alignment horizontal="general" vertical="bottom"/>
    </xf>
    <xf numFmtId="0" fontId="20" fillId="0" borderId="0" applyAlignment="1" pivotButton="0" quotePrefix="0" xfId="0">
      <alignment horizontal="general" vertical="bottom"/>
    </xf>
    <xf numFmtId="0" fontId="8" fillId="0" borderId="4" applyAlignment="1" pivotButton="0" quotePrefix="0" xfId="0">
      <alignment horizontal="left" vertical="center" indent="1"/>
    </xf>
    <xf numFmtId="0" fontId="17" fillId="0" borderId="4" applyAlignment="1" pivotButton="0" quotePrefix="0" xfId="0">
      <alignment horizontal="left" vertical="center" indent="1"/>
    </xf>
    <xf numFmtId="0" fontId="19" fillId="5" borderId="0" applyAlignment="1" pivotButton="0" quotePrefix="0" xfId="0">
      <alignment horizontal="left" vertical="top" wrapText="1" indent="1"/>
    </xf>
    <xf numFmtId="0" fontId="21" fillId="3" borderId="2" applyAlignment="1" pivotButton="0" quotePrefix="0" xfId="0">
      <alignment horizontal="center" vertical="center"/>
    </xf>
    <xf numFmtId="0" fontId="13" fillId="5" borderId="3" applyAlignment="1" pivotButton="0" quotePrefix="0" xfId="0">
      <alignment horizontal="left" vertical="center" wrapText="1" indent="1"/>
    </xf>
    <xf numFmtId="0" fontId="22" fillId="3" borderId="2" applyAlignment="1" pivotButton="0" quotePrefix="0" xfId="0">
      <alignment horizontal="left" vertical="center" wrapText="1" indent="1"/>
    </xf>
    <xf numFmtId="0" fontId="23" fillId="3" borderId="2" applyAlignment="1" pivotButton="0" quotePrefix="0" xfId="0">
      <alignment horizontal="center" vertical="center"/>
    </xf>
    <xf numFmtId="49" fontId="22" fillId="3" borderId="2" applyAlignment="1" pivotButton="0" quotePrefix="0" xfId="0">
      <alignment horizontal="left" vertical="center" wrapText="1" indent="1"/>
    </xf>
    <xf numFmtId="0" fontId="24" fillId="3" borderId="2" applyAlignment="1" pivotButton="0" quotePrefix="0" xfId="0">
      <alignment horizontal="center" vertical="center"/>
    </xf>
    <xf numFmtId="0" fontId="22" fillId="3" borderId="2" applyAlignment="1" pivotButton="0" quotePrefix="0" xfId="0">
      <alignment horizontal="left" vertical="top" wrapText="1" indent="1"/>
    </xf>
    <xf numFmtId="166" fontId="22" fillId="3" borderId="2" applyAlignment="1" pivotButton="0" quotePrefix="0" xfId="0">
      <alignment horizontal="left" vertical="center" wrapText="1" indent="1"/>
    </xf>
    <xf numFmtId="0" fontId="25" fillId="0" borderId="2" applyAlignment="1" pivotButton="0" quotePrefix="0" xfId="0">
      <alignment horizontal="center" vertical="center"/>
    </xf>
    <xf numFmtId="0" fontId="23" fillId="0" borderId="2" applyAlignment="1" pivotButton="0" quotePrefix="0" xfId="0">
      <alignment horizontal="center" vertical="center"/>
    </xf>
    <xf numFmtId="0" fontId="24" fillId="0" borderId="2" applyAlignment="1" pivotButton="0" quotePrefix="0" xfId="0">
      <alignment horizontal="center" vertical="center"/>
    </xf>
    <xf numFmtId="0" fontId="6" fillId="7" borderId="0" applyAlignment="1" pivotButton="0" quotePrefix="0" xfId="0">
      <alignment horizontal="left" vertical="center" wrapText="1" indent="1"/>
    </xf>
    <xf numFmtId="0" fontId="0" fillId="7" borderId="2" applyAlignment="1" pivotButton="0" quotePrefix="0" xfId="0">
      <alignment horizontal="general" vertical="bottom"/>
    </xf>
    <xf numFmtId="0" fontId="13" fillId="7" borderId="3" applyAlignment="1" pivotButton="0" quotePrefix="0" xfId="0">
      <alignment horizontal="left" vertical="center" wrapText="1" indent="1"/>
    </xf>
    <xf numFmtId="0" fontId="26" fillId="3" borderId="2" applyAlignment="1" pivotButton="0" quotePrefix="0" xfId="0">
      <alignment horizontal="left" vertical="center" wrapText="1" indent="1"/>
    </xf>
    <xf numFmtId="0" fontId="5" fillId="7" borderId="2" applyAlignment="1" pivotButton="0" quotePrefix="0" xfId="0">
      <alignment horizontal="center" vertical="center"/>
    </xf>
    <xf numFmtId="167" fontId="26" fillId="3" borderId="2" applyAlignment="1" pivotButton="0" quotePrefix="0" xfId="0">
      <alignment horizontal="left" vertical="center" wrapText="1" indent="1"/>
    </xf>
    <xf numFmtId="0" fontId="27" fillId="8" borderId="0" applyAlignment="1" pivotButton="0" quotePrefix="0" xfId="0">
      <alignment horizontal="center" vertical="center"/>
    </xf>
    <xf numFmtId="0" fontId="17" fillId="0" borderId="4" applyAlignment="1" pivotButton="0" quotePrefix="0" xfId="0">
      <alignment horizontal="left" vertical="center" wrapText="1" indent="1"/>
    </xf>
    <xf numFmtId="0" fontId="9" fillId="0" borderId="4" applyAlignment="1" pivotButton="0" quotePrefix="0" xfId="0">
      <alignment horizontal="left" vertical="center" wrapText="1" indent="1"/>
    </xf>
    <xf numFmtId="0" fontId="30" fillId="0" borderId="4" applyAlignment="1" pivotButton="0" quotePrefix="0" xfId="0">
      <alignment horizontal="left" vertical="center" wrapText="1" indent="1"/>
    </xf>
    <xf numFmtId="0" fontId="31" fillId="0" borderId="0" applyAlignment="1" pivotButton="0" quotePrefix="0" xfId="0">
      <alignment horizontal="general" vertical="bottom"/>
    </xf>
    <xf numFmtId="0" fontId="32" fillId="2" borderId="0" applyAlignment="1" pivotButton="0" quotePrefix="0" xfId="0">
      <alignment horizontal="center" vertical="center"/>
    </xf>
    <xf numFmtId="0" fontId="31" fillId="0" borderId="4" applyAlignment="1" pivotButton="0" quotePrefix="0" xfId="0">
      <alignment horizontal="left" vertical="top" wrapText="1" indent="1"/>
    </xf>
    <xf numFmtId="0" fontId="9" fillId="0" borderId="4" applyAlignment="1" pivotButton="0" quotePrefix="0" xfId="0">
      <alignment horizontal="left" vertical="top" wrapText="1" indent="1"/>
    </xf>
    <xf numFmtId="0" fontId="17" fillId="0" borderId="4" applyAlignment="1" pivotButton="0" quotePrefix="0" xfId="0">
      <alignment horizontal="left" vertical="top" wrapText="1" indent="1"/>
    </xf>
    <xf numFmtId="0" fontId="5" fillId="0" borderId="4" applyAlignment="1" pivotButton="0" quotePrefix="0" xfId="0">
      <alignment horizontal="left" vertical="top" wrapText="1" indent="1"/>
    </xf>
    <xf numFmtId="0" fontId="30" fillId="0" borderId="4" applyAlignment="1" pivotButton="0" quotePrefix="0" xfId="0">
      <alignment horizontal="left" vertical="top" wrapText="1" indent="1"/>
    </xf>
    <xf numFmtId="0" fontId="31" fillId="0" borderId="4" applyAlignment="1" pivotButton="0" quotePrefix="0" xfId="0">
      <alignment horizontal="left" vertical="center" wrapText="1" indent="1"/>
    </xf>
    <xf numFmtId="0" fontId="22" fillId="0" borderId="4" applyAlignment="1" pivotButton="0" quotePrefix="0" xfId="0">
      <alignment horizontal="left" vertical="center" wrapText="1" indent="1"/>
    </xf>
    <xf numFmtId="0" fontId="0" fillId="0" borderId="4" applyAlignment="1" pivotButton="0" quotePrefix="0" xfId="0">
      <alignment horizontal="center" vertical="center" wrapText="1" indent="1"/>
    </xf>
    <xf numFmtId="0" fontId="13" fillId="0" borderId="4" applyAlignment="1" pivotButton="0" quotePrefix="0" xfId="0">
      <alignment horizontal="left" vertical="center" wrapText="1" indent="1"/>
    </xf>
    <xf numFmtId="0" fontId="22" fillId="6" borderId="4" applyAlignment="1" pivotButton="0" quotePrefix="0" xfId="0">
      <alignment horizontal="center" vertical="center" wrapText="1" indent="1"/>
    </xf>
    <xf numFmtId="0" fontId="33" fillId="0" borderId="4" applyAlignment="1" pivotButton="0" quotePrefix="0" xfId="0">
      <alignment horizontal="center" vertical="center" wrapText="1" indent="1"/>
    </xf>
    <xf numFmtId="0" fontId="34" fillId="0" borderId="4" applyAlignment="1" pivotButton="0" quotePrefix="0" xfId="0">
      <alignment horizontal="center" vertical="center" wrapText="1" indent="1"/>
    </xf>
    <xf numFmtId="165" fontId="34" fillId="0" borderId="4" applyAlignment="1" pivotButton="0" quotePrefix="0" xfId="0">
      <alignment horizontal="center" vertical="center" wrapText="1" indent="1"/>
    </xf>
    <xf numFmtId="165" fontId="2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bgColor rgb="FFF8D7DA"/>
        </patternFill>
      </fill>
    </dxf>
    <dxf>
      <fill>
        <patternFill>
          <bgColor rgb="FFFFF3CD"/>
        </patternFill>
      </fill>
    </dxf>
    <dxf>
      <fill>
        <patternFill>
          <bgColor rgb="FFD4ED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3CD"/>
      <rgbColor rgb="FFFAF7F0"/>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5EFE2"/>
      <rgbColor rgb="FFD4EDDA"/>
      <rgbColor rgb="FFFFF3BF"/>
      <rgbColor rgb="FFE8DEC7"/>
      <rgbColor rgb="FFFF99CC"/>
      <rgbColor rgb="FFCC99FF"/>
      <rgbColor rgb="FFF8D7DA"/>
      <rgbColor rgb="FF3366FF"/>
      <rgbColor rgb="FF33CCCC"/>
      <rgbColor rgb="FF99CC00"/>
      <rgbColor rgb="FFFFCC00"/>
      <rgbColor rgb="FFFF9900"/>
      <rgbColor rgb="FFFF6600"/>
      <rgbColor rgb="FF6E6A63"/>
      <rgbColor rgb="FFC9A24B"/>
      <rgbColor rgb="FF003366"/>
      <rgbColor rgb="FF339966"/>
      <rgbColor rgb="FF003300"/>
      <rgbColor rgb="FF1B1F23"/>
      <rgbColor rgb="FFC0392B"/>
      <rgbColor rgb="FF993366"/>
      <rgbColor rgb="FF333399"/>
      <rgbColor rgb="FF2C4A3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Unknown Author</author>
  </authors>
  <commentList>
    <comment ref="D12" authorId="0" shapeId="0">
      <text>
        <t>Include country code, e.g. +967 7xx xxx xxx</t>
      </text>
    </comment>
    <comment ref="D23" authorId="0" shapeId="0">
      <text>
        <t>One sentence. Example: 'Build a bilingual e-commerce site' / جملة واحدة.</t>
      </text>
    </comment>
    <comment ref="D24" authorId="0" shapeId="0">
      <text>
        <t>Goals, audience, current state, what you have tried. 3-6 sentences.</t>
      </text>
    </comment>
    <comment ref="D25" authorId="0" shapeId="0">
      <text>
        <t>Pick the closest. Detailed micro-spec handled in scoping call.</t>
      </text>
    </comment>
    <comment ref="D30" authorId="0" shapeId="0">
      <text>
        <t>Kayan enforces: no SOW + no escrow = no work.</t>
      </text>
    </comment>
  </commentList>
</comments>
</file>

<file path=xl/comments/comment2.xml><?xml version="1.0" encoding="utf-8"?>
<comments xmlns="http://schemas.openxmlformats.org/spreadsheetml/2006/main">
  <authors>
    <author>Unknown Author</author>
  </authors>
  <commentList>
    <comment ref="D17" authorId="0" shapeId="0">
      <text>
        <t>Pick closest. Granular micro-spec captured in tab 13_SPECIALIZATIONS.</t>
      </text>
    </comment>
    <comment ref="D18" authorId="0" shapeId="0">
      <text>
        <t>From 13_SPECIALIZATIONS tab. Example: TECH-07, CRE-03, BUS-12</t>
      </text>
    </comment>
    <comment ref="D23" authorId="0" shapeId="0">
      <text>
        <t>What you do, who you have done it for, proof of strong work.</t>
      </text>
    </comment>
    <comment ref="D30" authorId="0" shapeId="0">
      <text>
        <t>Acceptance is mandatory to engage. Full terms sent after EOI.</t>
      </text>
    </comment>
    <comment ref="D33" authorId="0" shapeId="0">
      <text>
        <t>Needed for T2 Skill-verified tier — unlocks the Kayan Card.</t>
      </text>
    </comment>
  </commentList>
</comments>
</file>

<file path=xl/comments/comment3.xml><?xml version="1.0" encoding="utf-8"?>
<comments xmlns="http://schemas.openxmlformats.org/spreadsheetml/2006/main">
  <authors>
    <author>Unknown Author</author>
  </authors>
  <commentList>
    <comment ref="D25" authorId="0" shapeId="0">
      <text>
        <t>Examples: photography, event coordination, web dev, Arabic copywriting, mentoring youth.</t>
      </text>
    </comment>
  </commentList>
</comments>
</file>

<file path=xl/comments/comment4.xml><?xml version="1.0" encoding="utf-8"?>
<comments xmlns="http://schemas.openxmlformats.org/spreadsheetml/2006/main">
  <authors>
    <author>Unknown Author</author>
  </authors>
  <commentList>
    <comment ref="D20" authorId="0" shapeId="0">
      <text>
        <t>Kayan Forge tracks map 1-1 to the 8 domains.</t>
      </text>
    </comment>
    <comment ref="D21" authorId="0" shapeId="0">
      <text>
        <t>Examples: 'Full-stack Next.js', 'Arabic content strategy', 'Financial modeling in Excel'.</t>
      </text>
    </comment>
    <comment ref="D22" authorId="0" shapeId="0">
      <text>
        <t>Beginner / Intermediate / Advanced / I want to get certified</t>
      </text>
    </comment>
    <comment ref="D25" authorId="0" shapeId="0">
      <text>
        <t>In-person at hub / Online / Hybrid</t>
      </text>
    </comment>
    <comment ref="D27" authorId="0" shapeId="0">
      <text>
        <t>Weekday mornings / evenings / weekends</t>
      </text>
    </comment>
    <comment ref="D28" authorId="0" shapeId="0">
      <text>
        <t>Scholarships exist — this is just to plan. Honest answer helps us help you.</t>
      </text>
    </comment>
  </commentList>
</comments>
</file>

<file path=xl/comments/comment5.xml><?xml version="1.0" encoding="utf-8"?>
<comments xmlns="http://schemas.openxmlformats.org/spreadsheetml/2006/main">
  <authors>
    <author>Unknown Author</author>
  </authors>
  <commentList>
    <comment ref="D14" authorId="0" shapeId="0">
      <text>
        <t>Examples: hot desk 3x/week, private office for 4, meeting room, event space for 30.</t>
      </text>
    </comment>
  </commentList>
</comments>
</file>

<file path=xl/comments/comment6.xml><?xml version="1.0" encoding="utf-8"?>
<comments xmlns="http://schemas.openxmlformats.org/spreadsheetml/2006/main">
  <authors>
    <author>Unknown Author</author>
  </authors>
  <commentList>
    <comment ref="D36" authorId="0" shapeId="0">
      <text>
        <t>Kayan default is prepayment to escrow. Net terms only by exception.</t>
      </text>
    </comment>
    <comment ref="D45" authorId="0" shapeId="0">
      <text>
        <t>Uploaded via platform; file name recorded here.</t>
      </text>
    </comment>
  </commentList>
</comments>
</file>

<file path=xl/comments/comment7.xml><?xml version="1.0" encoding="utf-8"?>
<comments xmlns="http://schemas.openxmlformats.org/spreadsheetml/2006/main">
  <authors>
    <author>Unknown Author</author>
  </authors>
  <commentList>
    <comment ref="D11" authorId="0" shapeId="0">
      <text>
        <t>National ID / Passport / Residency card</t>
      </text>
    </comment>
    <comment ref="D28" authorId="0" shapeId="0">
      <text>
        <t>Minimum 70% to reach T2 and receive Kayan Card.</t>
      </text>
    </comment>
    <comment ref="D32" authorId="0" shapeId="0">
      <text>
        <t>Bank transfer / InstaPay (Egypt) / Mobile wallet / Other</t>
      </text>
    </comment>
  </commentList>
</comments>
</file>

<file path=xl/comments/comment8.xml><?xml version="1.0" encoding="utf-8"?>
<comments xmlns="http://schemas.openxmlformats.org/spreadsheetml/2006/main">
  <authors>
    <author>Unknown Author</author>
  </authors>
  <commentList>
    <comment ref="D24" authorId="0" shapeId="0">
      <text>
        <t>Required for youth- or vulnerable-person-facing missions.</t>
      </text>
    </comment>
  </commentList>
</comments>
</file>

<file path=xl/comments/comment9.xml><?xml version="1.0" encoding="utf-8"?>
<comments xmlns="http://schemas.openxmlformats.org/spreadsheetml/2006/main">
  <authors>
    <author>Unknown Author</author>
  </authors>
  <commentList>
    <comment ref="D15" authorId="0" shapeId="0">
      <text>
        <t>Hot desk / Dedicated desk / Private office / Meeting room / Event space</t>
      </text>
    </comment>
    <comment ref="D22" authorId="0" shapeId="0">
      <text>
        <t>Filled by handler from hub price list.</t>
      </text>
    </comment>
    <comment ref="D24" authorId="0" shapeId="0">
      <text>
        <t>Formula-based on unit rate × hours × seats.</t>
      </text>
    </comment>
    <comment ref="D31" authorId="0" shapeId="0">
      <text>
        <t>Cash at reception / Bank / Member credit</t>
      </text>
    </comment>
  </commentList>
</comments>
</file>

<file path=xl/comments/comment10.xml><?xml version="1.0" encoding="utf-8"?>
<comments xmlns="http://schemas.openxmlformats.org/spreadsheetml/2006/main">
  <authors>
    <author>Unknown Author</author>
  </authors>
  <commentList>
    <comment ref="D17" authorId="0" shapeId="0">
      <text>
        <t>In-person / Online / Hybrid</t>
      </text>
    </comment>
    <comment ref="D23" authorId="0" shapeId="0">
      <text>
        <t>Formula = Full fee × (1 − Scholarship%).</t>
      </text>
    </comment>
    <comment ref="D24" authorId="0" shapeId="0">
      <text>
        <t>Example: 3 installments on days 1, 30, 60.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filterMode="0">
    <outlinePr summaryBelow="1" summaryRight="1"/>
    <pageSetUpPr fitToPage="1"/>
  </sheetPr>
  <dimension ref="A1:F37"/>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22" customWidth="1" style="65" min="2" max="2"/>
    <col width="44" customWidth="1" style="65" min="3" max="3"/>
    <col width="22" customWidth="1" style="65" min="4" max="5"/>
    <col width="14" customWidth="1" style="65" min="6" max="6"/>
  </cols>
  <sheetData>
    <row r="1" ht="15" customHeight="1" s="66">
      <c r="A1" s="67" t="inlineStr">
        <is>
          <t>KAYAN · PRE-LAUNCH FORMS PACK
حزمة نماذج التسجيل قبل الإطلاق</t>
        </is>
      </c>
    </row>
    <row r="2" ht="15" customHeight="1" s="66"/>
    <row r="3" ht="15" customHeight="1" s="66">
      <c r="A3" s="68" t="inlineStr">
        <is>
          <t>Doc ID: KAY-TECH-FORMS-001  ·  Version: v1.0 FINAL  ·  Date: 19 Apr 2026  ·  Owner: CEO — Maher  ·  Status: APPROVED FOR CAPTURE</t>
        </is>
      </c>
    </row>
    <row r="4"/>
    <row r="5" ht="15" customHeight="1" s="66">
      <c r="A5" s="69" t="inlineStr">
        <is>
          <t>WORKBOOK NAVIGATION / دليل الملف</t>
        </is>
      </c>
    </row>
    <row r="6" ht="31.5" customHeight="1" s="66">
      <c r="A6" s="70" t="inlineStr">
        <is>
          <t>#</t>
        </is>
      </c>
      <c r="B6" s="70" t="inlineStr">
        <is>
          <t>Tab</t>
        </is>
      </c>
      <c r="C6" s="70" t="inlineStr">
        <is>
          <t>Purpose (EN)</t>
        </is>
      </c>
      <c r="D6" s="70" t="inlineStr">
        <is>
          <t>Arabic / العربية</t>
        </is>
      </c>
      <c r="E6" s="70" t="inlineStr">
        <is>
          <t>Audience</t>
        </is>
      </c>
      <c r="F6" s="70" t="inlineStr">
        <is>
          <t>Channel</t>
        </is>
      </c>
    </row>
    <row r="7" ht="21.75" customHeight="1" s="66">
      <c r="A7" s="71" t="inlineStr">
        <is>
          <t>01</t>
        </is>
      </c>
      <c r="B7" s="72" t="inlineStr">
        <is>
          <t>01_CONFIG</t>
        </is>
      </c>
      <c r="C7" s="71" t="inlineStr">
        <is>
          <t>Master config: FX, codes, dropdowns, schema registry</t>
        </is>
      </c>
      <c r="D7" s="71" t="inlineStr">
        <is>
          <t>الإعدادات الرئيسية</t>
        </is>
      </c>
      <c r="E7" s="71" t="inlineStr">
        <is>
          <t>Internal / Tech</t>
        </is>
      </c>
      <c r="F7" s="71" t="inlineStr">
        <is>
          <t>All</t>
        </is>
      </c>
    </row>
    <row r="8" ht="21.75" customHeight="1" s="66">
      <c r="A8" s="71" t="inlineStr">
        <is>
          <t>02</t>
        </is>
      </c>
      <c r="B8" s="72" t="inlineStr">
        <is>
          <t>02_EOI_CLIENT</t>
        </is>
      </c>
      <c r="C8" s="71" t="inlineStr">
        <is>
          <t>Business / client Expression of Interest — 15 fields</t>
        </is>
      </c>
      <c r="D8" s="71" t="inlineStr">
        <is>
          <t>نموذج اهتمام العميل</t>
        </is>
      </c>
      <c r="E8" s="71" t="inlineStr">
        <is>
          <t>External</t>
        </is>
      </c>
      <c r="F8" s="71" t="inlineStr">
        <is>
          <t>Web + WA</t>
        </is>
      </c>
    </row>
    <row r="9" ht="21.75" customHeight="1" s="66">
      <c r="A9" s="71" t="inlineStr">
        <is>
          <t>03</t>
        </is>
      </c>
      <c r="B9" s="72" t="inlineStr">
        <is>
          <t>03_EOI_FREELANCER</t>
        </is>
      </c>
      <c r="C9" s="71" t="inlineStr">
        <is>
          <t>Talent EOI — skills tier, micro-spec, availability</t>
        </is>
      </c>
      <c r="D9" s="71" t="inlineStr">
        <is>
          <t>نموذج اهتمام المستقل</t>
        </is>
      </c>
      <c r="E9" s="71" t="inlineStr">
        <is>
          <t>External</t>
        </is>
      </c>
      <c r="F9" s="71" t="inlineStr">
        <is>
          <t>Web + WA</t>
        </is>
      </c>
    </row>
    <row r="10" ht="21.75" customHeight="1" s="66">
      <c r="A10" s="71" t="inlineStr">
        <is>
          <t>04</t>
        </is>
      </c>
      <c r="B10" s="72" t="inlineStr">
        <is>
          <t>04_EOI_BUSINESS</t>
        </is>
      </c>
      <c r="C10" s="71" t="inlineStr">
        <is>
          <t>SME / partner business EOI — hiring + space + Kayan Forge</t>
        </is>
      </c>
      <c r="D10" s="71" t="inlineStr">
        <is>
          <t>نموذج الشركة الشريكة</t>
        </is>
      </c>
      <c r="E10" s="71" t="inlineStr">
        <is>
          <t>External</t>
        </is>
      </c>
      <c r="F10" s="71" t="inlineStr">
        <is>
          <t>Web</t>
        </is>
      </c>
    </row>
    <row r="11" ht="21.75" customHeight="1" s="66">
      <c r="A11" s="71" t="inlineStr">
        <is>
          <t>05</t>
        </is>
      </c>
      <c r="B11" s="72" t="inlineStr">
        <is>
          <t>05_EOI_VOLUNTEER</t>
        </is>
      </c>
      <c r="C11" s="71" t="inlineStr">
        <is>
          <t>Kayan for Yemen volunteer EOI — cause, availability, skills</t>
        </is>
      </c>
      <c r="D11" s="71" t="inlineStr">
        <is>
          <t>نموذج المتطوع فعان</t>
        </is>
      </c>
      <c r="E11" s="71" t="inlineStr">
        <is>
          <t>External</t>
        </is>
      </c>
      <c r="F11" s="71" t="inlineStr">
        <is>
          <t>Web + WA</t>
        </is>
      </c>
    </row>
    <row r="12" ht="21.75" customHeight="1" s="66">
      <c r="A12" s="71" t="inlineStr">
        <is>
          <t>06</t>
        </is>
      </c>
      <c r="B12" s="72" t="inlineStr">
        <is>
          <t>06_EOI_ACADEMY</t>
        </is>
      </c>
      <c r="C12" s="71" t="inlineStr">
        <is>
          <t>Kayan Forge learner EOI — track, level, availability</t>
        </is>
      </c>
      <c r="D12" s="71" t="inlineStr">
        <is>
          <t>نموذج متعلم كيان فورج</t>
        </is>
      </c>
      <c r="E12" s="71" t="inlineStr">
        <is>
          <t>External</t>
        </is>
      </c>
      <c r="F12" s="71" t="inlineStr">
        <is>
          <t>Web + WA</t>
        </is>
      </c>
    </row>
    <row r="13" ht="21.75" customHeight="1" s="66">
      <c r="A13" s="71" t="inlineStr">
        <is>
          <t>07</t>
        </is>
      </c>
      <c r="B13" s="72" t="inlineStr">
        <is>
          <t>07_EOI_HUB</t>
        </is>
      </c>
      <c r="C13" s="71" t="inlineStr">
        <is>
          <t>Hub space enquiry — desk, room, event, membership</t>
        </is>
      </c>
      <c r="D13" s="71" t="inlineStr">
        <is>
          <t>نموذج الاستفسار عن المساحة</t>
        </is>
      </c>
      <c r="E13" s="71" t="inlineStr">
        <is>
          <t>External</t>
        </is>
      </c>
      <c r="F13" s="71" t="inlineStr">
        <is>
          <t>Web + WA</t>
        </is>
      </c>
    </row>
    <row r="14" ht="21.75" customHeight="1" s="66">
      <c r="A14" s="71" t="inlineStr">
        <is>
          <t>08</t>
        </is>
      </c>
      <c r="B14" s="72" t="inlineStr">
        <is>
          <t>08_REG_CLIENT_FULL</t>
        </is>
      </c>
      <c r="C14" s="71" t="inlineStr">
        <is>
          <t>Full client registration (activated 01 Jun) — KYC</t>
        </is>
      </c>
      <c r="D14" s="71" t="inlineStr">
        <is>
          <t>تسجيل كامل للعميل</t>
        </is>
      </c>
      <c r="E14" s="71" t="inlineStr">
        <is>
          <t>External</t>
        </is>
      </c>
      <c r="F14" s="71" t="inlineStr">
        <is>
          <t>Platform</t>
        </is>
      </c>
    </row>
    <row r="15" ht="21.75" customHeight="1" s="66">
      <c r="A15" s="71" t="inlineStr">
        <is>
          <t>09</t>
        </is>
      </c>
      <c r="B15" s="72" t="inlineStr">
        <is>
          <t>09_REG_TALENT_FULL</t>
        </is>
      </c>
      <c r="C15" s="71" t="inlineStr">
        <is>
          <t>Full talent registration — KYC + portfolio + score</t>
        </is>
      </c>
      <c r="D15" s="71" t="inlineStr">
        <is>
          <t>تسجيل كامل للمستقل</t>
        </is>
      </c>
      <c r="E15" s="71" t="inlineStr">
        <is>
          <t>External</t>
        </is>
      </c>
      <c r="F15" s="71" t="inlineStr">
        <is>
          <t>Platform</t>
        </is>
      </c>
    </row>
    <row r="16" ht="21.75" customHeight="1" s="66">
      <c r="A16" s="71" t="inlineStr">
        <is>
          <t>10</t>
        </is>
      </c>
      <c r="B16" s="72" t="inlineStr">
        <is>
          <t>10_REG_VOLUNTEER_FULL</t>
        </is>
      </c>
      <c r="C16" s="71" t="inlineStr">
        <is>
          <t>Full volunteer registration — background + consent</t>
        </is>
      </c>
      <c r="D16" s="71" t="inlineStr">
        <is>
          <t>تسجيل كامل للمتطوع</t>
        </is>
      </c>
      <c r="E16" s="71" t="inlineStr">
        <is>
          <t>External</t>
        </is>
      </c>
      <c r="F16" s="71" t="inlineStr">
        <is>
          <t>Platform</t>
        </is>
      </c>
    </row>
    <row r="17" ht="21.75" customHeight="1" s="66">
      <c r="A17" s="71" t="inlineStr">
        <is>
          <t>11</t>
        </is>
      </c>
      <c r="B17" s="72" t="inlineStr">
        <is>
          <t>11_HUB_BOOKING</t>
        </is>
      </c>
      <c r="C17" s="71" t="inlineStr">
        <is>
          <t>Space booking form — date, time, seat, invoice</t>
        </is>
      </c>
      <c r="D17" s="71" t="inlineStr">
        <is>
          <t>نموذج حجز المساحة</t>
        </is>
      </c>
      <c r="E17" s="71" t="inlineStr">
        <is>
          <t>External</t>
        </is>
      </c>
      <c r="F17" s="71" t="inlineStr">
        <is>
          <t>Web + WA</t>
        </is>
      </c>
    </row>
    <row r="18" ht="21.75" customHeight="1" s="66">
      <c r="A18" s="71" t="inlineStr">
        <is>
          <t>12</t>
        </is>
      </c>
      <c r="B18" s="72" t="inlineStr">
        <is>
          <t>12_ACADEMY_ENROLL</t>
        </is>
      </c>
      <c r="C18" s="71" t="inlineStr">
        <is>
          <t>Kayan Forge cohort enrollment — payment + schedule</t>
        </is>
      </c>
      <c r="D18" s="71" t="inlineStr">
        <is>
          <t>تسجيل دورة كيان فورج</t>
        </is>
      </c>
      <c r="E18" s="71" t="inlineStr">
        <is>
          <t>External</t>
        </is>
      </c>
      <c r="F18" s="71" t="inlineStr">
        <is>
          <t>Platform</t>
        </is>
      </c>
    </row>
    <row r="19" ht="21.75" customHeight="1" s="66">
      <c r="A19" s="71" t="inlineStr">
        <is>
          <t>13</t>
        </is>
      </c>
      <c r="B19" s="72" t="inlineStr">
        <is>
          <t>13_SPECIALIZATIONS</t>
        </is>
      </c>
      <c r="C19" s="71" t="inlineStr">
        <is>
          <t>60 micro-specializations taxonomy (8 domains)</t>
        </is>
      </c>
      <c r="D19" s="71" t="inlineStr">
        <is>
          <t>شجرة التخصصات الدقيقة</t>
        </is>
      </c>
      <c r="E19" s="71" t="inlineStr">
        <is>
          <t>Internal / Tech</t>
        </is>
      </c>
      <c r="F19" s="71" t="inlineStr">
        <is>
          <t>Reference</t>
        </is>
      </c>
    </row>
    <row r="20" ht="21.75" customHeight="1" s="66">
      <c r="A20" s="71" t="inlineStr">
        <is>
          <t>14</t>
        </is>
      </c>
      <c r="B20" s="72" t="inlineStr">
        <is>
          <t>14_WHATSAPP_SCRIPTS</t>
        </is>
      </c>
      <c r="C20" s="71" t="inlineStr">
        <is>
          <t>Bilingual WhatsApp flows — 6 intake templates</t>
        </is>
      </c>
      <c r="D20" s="71" t="inlineStr">
        <is>
          <t>سكربتات واتساب</t>
        </is>
      </c>
      <c r="E20" s="71" t="inlineStr">
        <is>
          <t>Ops + Tech</t>
        </is>
      </c>
      <c r="F20" s="71" t="inlineStr">
        <is>
          <t>WA</t>
        </is>
      </c>
    </row>
    <row r="21" ht="21.75" customHeight="1" s="66">
      <c r="A21" s="71" t="inlineStr">
        <is>
          <t>15</t>
        </is>
      </c>
      <c r="B21" s="72" t="inlineStr">
        <is>
          <t>15_RESPONSE_TEMPLATES</t>
        </is>
      </c>
      <c r="C21" s="71" t="inlineStr">
        <is>
          <t>Auto-reply templates AR/EN — EOI, booking, follow-up</t>
        </is>
      </c>
      <c r="D21" s="71" t="inlineStr">
        <is>
          <t>قوالب الرد التلقائي</t>
        </is>
      </c>
      <c r="E21" s="71" t="inlineStr">
        <is>
          <t>Ops</t>
        </is>
      </c>
      <c r="F21" s="71" t="inlineStr">
        <is>
          <t>Email + WA</t>
        </is>
      </c>
    </row>
    <row r="22" ht="21.75" customHeight="1" s="66">
      <c r="A22" s="71" t="inlineStr">
        <is>
          <t>16</t>
        </is>
      </c>
      <c r="B22" s="72" t="inlineStr">
        <is>
          <t>16_AUDIT_LOG</t>
        </is>
      </c>
      <c r="C22" s="71" t="inlineStr">
        <is>
          <t>Append-only audit log — every EOI submission tracked</t>
        </is>
      </c>
      <c r="D22" s="71" t="inlineStr">
        <is>
          <t>سجل التدقيق</t>
        </is>
      </c>
      <c r="E22" s="71" t="inlineStr">
        <is>
          <t>Internal / Legal</t>
        </is>
      </c>
      <c r="F22" s="71" t="inlineStr">
        <is>
          <t>System</t>
        </is>
      </c>
    </row>
    <row r="23" ht="21.75" customHeight="1" s="66">
      <c r="A23" s="71" t="inlineStr">
        <is>
          <t>17</t>
        </is>
      </c>
      <c r="B23" s="72" t="inlineStr">
        <is>
          <t>17_KPI_DASH</t>
        </is>
      </c>
      <c r="C23" s="71" t="inlineStr">
        <is>
          <t>Pre-launch KPI dashboard — targets vs actuals</t>
        </is>
      </c>
      <c r="D23" s="71" t="inlineStr">
        <is>
          <t>لوحة مؤشرات الأداء</t>
        </is>
      </c>
      <c r="E23" s="71" t="inlineStr">
        <is>
          <t>CEO + Ops</t>
        </is>
      </c>
      <c r="F23" s="71" t="inlineStr">
        <is>
          <t>Internal</t>
        </is>
      </c>
    </row>
    <row r="24"/>
    <row r="25"/>
    <row r="26" ht="15" customHeight="1" s="66">
      <c r="A26" s="69" t="inlineStr">
        <is>
          <t>LEGEND / دليل الألوان</t>
        </is>
      </c>
    </row>
    <row r="27" ht="15" customHeight="1" s="66">
      <c r="A27" s="73" t="inlineStr">
        <is>
          <t>Blue text</t>
        </is>
      </c>
      <c r="B27" s="74" t="inlineStr">
        <is>
          <t>Hardcoded inputs — the capture fields users fill in</t>
        </is>
      </c>
      <c r="C27" s="75" t="n"/>
      <c r="D27" s="75" t="n"/>
      <c r="E27" s="75" t="n"/>
      <c r="F27" s="75" t="n"/>
    </row>
    <row r="28" ht="15" customHeight="1" s="66">
      <c r="A28" s="76" t="inlineStr">
        <is>
          <t>Black italic</t>
        </is>
      </c>
      <c r="B28" s="74" t="inlineStr">
        <is>
          <t>Formulas and calculations</t>
        </is>
      </c>
      <c r="C28" s="75" t="n"/>
      <c r="D28" s="75" t="n"/>
      <c r="E28" s="75" t="n"/>
      <c r="F28" s="75" t="n"/>
    </row>
    <row r="29" ht="15" customHeight="1" s="66">
      <c r="A29" s="77" t="inlineStr">
        <is>
          <t>Green text</t>
        </is>
      </c>
      <c r="B29" s="74" t="inlineStr">
        <is>
          <t>Cross-sheet references (e.g., CONFIG lookups)</t>
        </is>
      </c>
      <c r="C29" s="75" t="n"/>
      <c r="D29" s="75" t="n"/>
      <c r="E29" s="75" t="n"/>
      <c r="F29" s="75" t="n"/>
    </row>
    <row r="30" ht="15" customHeight="1" s="66">
      <c r="A30" s="78" t="inlineStr">
        <is>
          <t>Yellow fill</t>
        </is>
      </c>
      <c r="B30" s="74" t="inlineStr">
        <is>
          <t>Key attention cells — assumptions, targets, limits</t>
        </is>
      </c>
      <c r="C30" s="75" t="n"/>
      <c r="D30" s="75" t="n"/>
      <c r="E30" s="75" t="n"/>
      <c r="F30" s="75" t="n"/>
    </row>
    <row r="31" ht="15" customHeight="1" s="66">
      <c r="A31" s="79" t="inlineStr">
        <is>
          <t>Red asterisk (comment)</t>
        </is>
      </c>
      <c r="B31" s="74" t="inlineStr">
        <is>
          <t>Required field — form cannot submit without it</t>
        </is>
      </c>
      <c r="C31" s="75" t="n"/>
      <c r="D31" s="75" t="n"/>
      <c r="E31" s="75" t="n"/>
      <c r="F31" s="75" t="n"/>
    </row>
    <row r="32"/>
    <row r="33"/>
    <row r="34" ht="15" customHeight="1" s="66">
      <c r="A34" s="69" t="inlineStr">
        <is>
          <t>COMMISSIONING &amp; SIGN-OFF / اعتماد الوثيقة</t>
        </is>
      </c>
    </row>
    <row r="35" ht="15" customHeight="1" s="66">
      <c r="A35" s="80" t="inlineStr">
        <is>
          <t>Commissioned by:</t>
        </is>
      </c>
      <c r="B35" s="81" t="inlineStr">
        <is>
          <t>Maher — CEO, Kayan Innovation LLC</t>
        </is>
      </c>
    </row>
    <row r="36" ht="15" customHeight="1" s="66">
      <c r="A36" s="80" t="inlineStr">
        <is>
          <t>Prepared by:</t>
        </is>
      </c>
      <c r="B36" s="82" t="inlineStr">
        <is>
          <t>Kayan Tech OS Authoring — in line with KAY-TECH-OS-008 v8.0</t>
        </is>
      </c>
    </row>
    <row r="37" ht="15" customHeight="1" s="66">
      <c r="A37" s="80" t="inlineStr">
        <is>
          <t>Effective from:</t>
        </is>
      </c>
      <c r="B37" s="82" t="inlineStr">
        <is>
          <t>19 Apr 2026 — EOI capture opens 25 Apr 2026</t>
        </is>
      </c>
    </row>
  </sheetData>
  <mergeCells count="10">
    <mergeCell ref="B30:F30"/>
    <mergeCell ref="B29:F29"/>
    <mergeCell ref="A3:F3"/>
    <mergeCell ref="A5:F5"/>
    <mergeCell ref="B28:F28"/>
    <mergeCell ref="A1:F2"/>
    <mergeCell ref="B31:F31"/>
    <mergeCell ref="A34:F34"/>
    <mergeCell ref="A26:F26"/>
    <mergeCell ref="B27:F27"/>
  </mergeCell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G68"/>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24" customWidth="1" style="65" min="2" max="2"/>
    <col width="32" customWidth="1" style="65" min="3" max="3"/>
    <col width="28" customWidth="1" style="65" min="4" max="4"/>
    <col width="24" customWidth="1" style="65" min="5" max="7"/>
  </cols>
  <sheetData>
    <row r="1" ht="15" customHeight="1" s="66">
      <c r="A1" s="83" t="inlineStr">
        <is>
          <t>MASTER CONFIGURATION / الإعدادات الرئيسية</t>
        </is>
      </c>
    </row>
    <row r="2" ht="15" customHeight="1" s="66"/>
    <row r="3" ht="15" customHeight="1" s="66">
      <c r="A3" s="68" t="inlineStr">
        <is>
          <t>Single source of truth. Do not hardcode dropdowns anywhere else — always point to the named ranges in this sheet.</t>
        </is>
      </c>
    </row>
    <row r="4"/>
    <row r="5" ht="15" customHeight="1" s="66">
      <c r="A5" s="69" t="inlineStr">
        <is>
          <t>A. CONSTITUTIONAL ANCHORS — HARDCODED</t>
        </is>
      </c>
    </row>
    <row r="6" ht="31.5" customHeight="1" s="66">
      <c r="A6" s="70" t="inlineStr">
        <is>
          <t>#</t>
        </is>
      </c>
      <c r="B6" s="70" t="inlineStr">
        <is>
          <t>Key</t>
        </is>
      </c>
      <c r="C6" s="70" t="inlineStr">
        <is>
          <t>Value</t>
        </is>
      </c>
      <c r="D6" s="70" t="inlineStr">
        <is>
          <t>Purpose / ملاحظة</t>
        </is>
      </c>
      <c r="E6" s="70" t="n"/>
      <c r="F6" s="70" t="n"/>
      <c r="G6" s="70" t="n"/>
    </row>
    <row r="7" ht="15" customHeight="1" s="66">
      <c r="A7" s="84" t="n">
        <v>1</v>
      </c>
      <c r="B7" s="85" t="inlineStr">
        <is>
          <t>FX_RATE_USD_YER</t>
        </is>
      </c>
      <c r="C7" s="86" t="n">
        <v>1700</v>
      </c>
      <c r="D7" s="87" t="inlineStr">
        <is>
          <t>YER per 1 USD — locked per SHA, non-negotiable</t>
        </is>
      </c>
      <c r="E7" s="75" t="n"/>
      <c r="F7" s="75" t="n"/>
      <c r="G7" s="88" t="n"/>
    </row>
    <row r="8" ht="15" customHeight="1" s="66">
      <c r="A8" s="84" t="n">
        <v>2</v>
      </c>
      <c r="B8" s="85" t="inlineStr">
        <is>
          <t>OPEX_CEILING_USD_MO</t>
        </is>
      </c>
      <c r="C8" s="89" t="n">
        <v>2250</v>
      </c>
      <c r="D8" s="87" t="inlineStr">
        <is>
          <t>Total monthly OPEX ceiling</t>
        </is>
      </c>
      <c r="E8" s="75" t="n"/>
      <c r="F8" s="75" t="n"/>
      <c r="G8" s="88" t="n"/>
    </row>
    <row r="9" ht="15" customHeight="1" s="66">
      <c r="A9" s="84" t="n">
        <v>3</v>
      </c>
      <c r="B9" s="85" t="inlineStr">
        <is>
          <t>TECH_SUBCEILING_USD_MO</t>
        </is>
      </c>
      <c r="C9" s="89" t="n">
        <v>1200</v>
      </c>
      <c r="D9" s="87" t="inlineStr">
        <is>
          <t>Tech sub-ceiling within OPEX</t>
        </is>
      </c>
      <c r="E9" s="75" t="n"/>
      <c r="F9" s="75" t="n"/>
      <c r="G9" s="88" t="n"/>
    </row>
    <row r="10" ht="15" customHeight="1" s="66">
      <c r="A10" s="84" t="n">
        <v>4</v>
      </c>
      <c r="B10" s="85" t="inlineStr">
        <is>
          <t>ESCROW_LIABILITY_PCT</t>
        </is>
      </c>
      <c r="C10" s="90" t="n">
        <v>0.21</v>
      </c>
      <c r="D10" s="87" t="inlineStr">
        <is>
          <t>2170 rule — liability reserve</t>
        </is>
      </c>
      <c r="E10" s="75" t="n"/>
      <c r="F10" s="75" t="n"/>
      <c r="G10" s="88" t="n"/>
    </row>
    <row r="11" ht="15" customHeight="1" s="66">
      <c r="A11" s="84" t="n">
        <v>5</v>
      </c>
      <c r="B11" s="85" t="inlineStr">
        <is>
          <t>ESCROW_SETTLE_PCT</t>
        </is>
      </c>
      <c r="C11" s="90" t="n">
        <v>0.7</v>
      </c>
      <c r="D11" s="87" t="inlineStr">
        <is>
          <t>2170 rule — contractor/pod settlement</t>
        </is>
      </c>
      <c r="E11" s="75" t="n"/>
      <c r="F11" s="75" t="n"/>
      <c r="G11" s="88" t="n"/>
    </row>
    <row r="12" ht="15" customHeight="1" s="66">
      <c r="A12" s="84" t="n">
        <v>6</v>
      </c>
      <c r="B12" s="85" t="inlineStr">
        <is>
          <t>ESCROW_FEE_PCT</t>
        </is>
      </c>
      <c r="C12" s="90" t="n">
        <v>0.09</v>
      </c>
      <c r="D12" s="87" t="inlineStr">
        <is>
          <t>2170 rule — Kayan platform fee</t>
        </is>
      </c>
      <c r="E12" s="75" t="n"/>
      <c r="F12" s="75" t="n"/>
      <c r="G12" s="88" t="n"/>
    </row>
    <row r="13" ht="15" customHeight="1" s="66">
      <c r="A13" s="84" t="n">
        <v>7</v>
      </c>
      <c r="B13" s="85" t="inlineStr">
        <is>
          <t>VAT_PCT</t>
        </is>
      </c>
      <c r="C13" s="90" t="n">
        <v>0</v>
      </c>
      <c r="D13" s="87" t="inlineStr">
        <is>
          <t>Yemen VAT (n/a currently; kept for future)</t>
        </is>
      </c>
      <c r="E13" s="75" t="n"/>
      <c r="F13" s="75" t="n"/>
      <c r="G13" s="88" t="n"/>
    </row>
    <row r="14" ht="15" customHeight="1" s="66">
      <c r="A14" s="84" t="n">
        <v>8</v>
      </c>
      <c r="B14" s="85" t="inlineStr">
        <is>
          <t>WHT_PCT</t>
        </is>
      </c>
      <c r="C14" s="90" t="n">
        <v>0.1</v>
      </c>
      <c r="D14" s="87" t="inlineStr">
        <is>
          <t>Withholding tax — currently accrued, remit at Tadamon opening</t>
        </is>
      </c>
      <c r="E14" s="75" t="n"/>
      <c r="F14" s="75" t="n"/>
      <c r="G14" s="88" t="n"/>
    </row>
    <row r="15"/>
    <row r="16" ht="15" customHeight="1" s="66">
      <c r="A16" s="69" t="inlineStr">
        <is>
          <t>B. CODE REGISTRIES — used across all tabs (named ranges)</t>
        </is>
      </c>
    </row>
    <row r="17" ht="15" customHeight="1" s="66">
      <c r="A17" s="91" t="n"/>
      <c r="B17" s="92" t="inlineStr">
        <is>
          <t>Countries</t>
        </is>
      </c>
      <c r="C17" s="92" t="inlineStr">
        <is>
          <t>Currencies</t>
        </is>
      </c>
      <c r="D17" s="92" t="inlineStr">
        <is>
          <t>Intake Channels</t>
        </is>
      </c>
      <c r="E17" s="92" t="inlineStr">
        <is>
          <t>EOI Status</t>
        </is>
      </c>
      <c r="F17" s="92" t="inlineStr">
        <is>
          <t>Verification Tiers</t>
        </is>
      </c>
      <c r="G17" s="92" t="inlineStr">
        <is>
          <t>Domains</t>
        </is>
      </c>
    </row>
    <row r="18" ht="15" customHeight="1" s="66">
      <c r="B18" s="93" t="inlineStr">
        <is>
          <t>Yemen / اليمن</t>
        </is>
      </c>
      <c r="C18" s="93" t="inlineStr">
        <is>
          <t>USD</t>
        </is>
      </c>
      <c r="D18" s="93" t="inlineStr">
        <is>
          <t>Web form</t>
        </is>
      </c>
      <c r="E18" s="93" t="inlineStr">
        <is>
          <t>Received</t>
        </is>
      </c>
      <c r="F18" s="93" t="inlineStr">
        <is>
          <t>T0 — Unverified</t>
        </is>
      </c>
      <c r="G18" s="93" t="inlineStr">
        <is>
          <t>1 · Technology</t>
        </is>
      </c>
    </row>
    <row r="19" ht="15" customHeight="1" s="66">
      <c r="B19" s="93" t="inlineStr">
        <is>
          <t>Egypt / مصر</t>
        </is>
      </c>
      <c r="C19" s="93" t="inlineStr">
        <is>
          <t>YER</t>
        </is>
      </c>
      <c r="D19" s="93" t="inlineStr">
        <is>
          <t>WhatsApp</t>
        </is>
      </c>
      <c r="E19" s="93" t="inlineStr">
        <is>
          <t>Contacted</t>
        </is>
      </c>
      <c r="F19" s="93" t="inlineStr">
        <is>
          <t>T1 — ID verified</t>
        </is>
      </c>
      <c r="G19" s="93" t="inlineStr">
        <is>
          <t>2 · Creative &amp; Media</t>
        </is>
      </c>
    </row>
    <row r="20" ht="15" customHeight="1" s="66">
      <c r="B20" s="93" t="inlineStr">
        <is>
          <t>Saudi Arabia / السعودية</t>
        </is>
      </c>
      <c r="C20" s="93" t="inlineStr">
        <is>
          <t>SAR</t>
        </is>
      </c>
      <c r="D20" s="93" t="inlineStr">
        <is>
          <t>In-person (Hub)</t>
        </is>
      </c>
      <c r="E20" s="93" t="inlineStr">
        <is>
          <t>Qualified</t>
        </is>
      </c>
      <c r="F20" s="93" t="inlineStr">
        <is>
          <t>T2 — Skill verified</t>
        </is>
      </c>
      <c r="G20" s="93" t="inlineStr">
        <is>
          <t>3 · Business &amp; Finance</t>
        </is>
      </c>
    </row>
    <row r="21" ht="15" customHeight="1" s="66">
      <c r="B21" s="93" t="inlineStr">
        <is>
          <t>UAE / الإمارات</t>
        </is>
      </c>
      <c r="C21" s="93" t="inlineStr">
        <is>
          <t>AED</t>
        </is>
      </c>
      <c r="D21" s="93" t="inlineStr">
        <is>
          <t>Referral</t>
        </is>
      </c>
      <c r="E21" s="93" t="inlineStr">
        <is>
          <t>Scheduled</t>
        </is>
      </c>
      <c r="F21" s="93" t="inlineStr">
        <is>
          <t>T3 — Project-proven</t>
        </is>
      </c>
      <c r="G21" s="93" t="inlineStr">
        <is>
          <t>4 · Training &amp; Education</t>
        </is>
      </c>
    </row>
    <row r="22" ht="15" customHeight="1" s="66">
      <c r="B22" s="93" t="inlineStr">
        <is>
          <t>Jordan / الأردن</t>
        </is>
      </c>
      <c r="C22" s="93" t="inlineStr">
        <is>
          <t>EGP</t>
        </is>
      </c>
      <c r="D22" s="93" t="inlineStr">
        <is>
          <t>Social (IG/FB/X/LI)</t>
        </is>
      </c>
      <c r="E22" s="93" t="inlineStr">
        <is>
          <t>Converted</t>
        </is>
      </c>
      <c r="F22" s="93" t="inlineStr">
        <is>
          <t>T4 — Elite (Kayan Select)</t>
        </is>
      </c>
      <c r="G22" s="93" t="inlineStr">
        <is>
          <t>5 · Research &amp; Analysis</t>
        </is>
      </c>
    </row>
    <row r="23" ht="15" customHeight="1" s="66">
      <c r="B23" s="93" t="inlineStr">
        <is>
          <t>Oman / عُمان</t>
        </is>
      </c>
      <c r="C23" s="93" t="inlineStr">
        <is>
          <t>EUR</t>
        </is>
      </c>
      <c r="D23" s="93" t="inlineStr">
        <is>
          <t>Kayan Forge</t>
        </is>
      </c>
      <c r="E23" s="93" t="inlineStr">
        <is>
          <t>Declined</t>
        </is>
      </c>
      <c r="F23" s="93" t="n"/>
      <c r="G23" s="93" t="inlineStr">
        <is>
          <t>6 · Consulting &amp; Advisory</t>
        </is>
      </c>
    </row>
    <row r="24" ht="15" customHeight="1" s="66">
      <c r="B24" s="93" t="inlineStr">
        <is>
          <t>Kuwait / الكويت</t>
        </is>
      </c>
      <c r="C24" s="93" t="inlineStr">
        <is>
          <t>GBP</t>
        </is>
      </c>
      <c r="D24" s="93" t="inlineStr">
        <is>
          <t>Event / Workshop</t>
        </is>
      </c>
      <c r="E24" s="93" t="inlineStr">
        <is>
          <t>On hold</t>
        </is>
      </c>
      <c r="F24" s="93" t="n"/>
      <c r="G24" s="93" t="inlineStr">
        <is>
          <t>7 · Physical &amp; Field</t>
        </is>
      </c>
    </row>
    <row r="25" ht="15" customHeight="1" s="66">
      <c r="B25" s="93" t="inlineStr">
        <is>
          <t>Bahrain / البحرين</t>
        </is>
      </c>
      <c r="C25" s="93" t="inlineStr">
        <is>
          <t>Other</t>
        </is>
      </c>
      <c r="D25" s="93" t="inlineStr">
        <is>
          <t>Email</t>
        </is>
      </c>
      <c r="E25" s="93" t="inlineStr">
        <is>
          <t>Duplicate</t>
        </is>
      </c>
      <c r="F25" s="93" t="n"/>
      <c r="G25" s="93" t="inlineStr">
        <is>
          <t>8 · Specialist</t>
        </is>
      </c>
    </row>
    <row r="26" ht="15" customHeight="1" s="66">
      <c r="B26" s="93" t="inlineStr">
        <is>
          <t>Qatar / قطر</t>
        </is>
      </c>
      <c r="C26" s="93" t="n"/>
      <c r="D26" s="93" t="inlineStr">
        <is>
          <t>Phone</t>
        </is>
      </c>
      <c r="E26" s="93" t="inlineStr">
        <is>
          <t>Spam</t>
        </is>
      </c>
      <c r="F26" s="93" t="n"/>
      <c r="G26" s="93" t="n"/>
    </row>
    <row r="27" ht="15" customHeight="1" s="66">
      <c r="B27" s="93" t="inlineStr">
        <is>
          <t>Lebanon / لبنان</t>
        </is>
      </c>
      <c r="C27" s="93" t="n"/>
      <c r="D27" s="93" t="inlineStr">
        <is>
          <t>Partner org</t>
        </is>
      </c>
      <c r="E27" s="93" t="n"/>
      <c r="F27" s="93" t="n"/>
      <c r="G27" s="93" t="n"/>
    </row>
    <row r="28" ht="15" customHeight="1" s="66">
      <c r="B28" s="93" t="inlineStr">
        <is>
          <t>Iraq / العراق</t>
        </is>
      </c>
      <c r="C28" s="93" t="n"/>
      <c r="D28" s="93" t="n"/>
      <c r="E28" s="93" t="n"/>
      <c r="F28" s="93" t="n"/>
      <c r="G28" s="93" t="n"/>
    </row>
    <row r="29" ht="15" customHeight="1" s="66">
      <c r="B29" s="93" t="inlineStr">
        <is>
          <t>Sudan / السودان</t>
        </is>
      </c>
      <c r="C29" s="93" t="n"/>
      <c r="D29" s="93" t="n"/>
      <c r="E29" s="93" t="n"/>
      <c r="F29" s="93" t="n"/>
      <c r="G29" s="93" t="n"/>
    </row>
    <row r="30" ht="15" customHeight="1" s="66">
      <c r="B30" s="93" t="inlineStr">
        <is>
          <t>Morocco / المغرب</t>
        </is>
      </c>
      <c r="C30" s="93" t="n"/>
      <c r="D30" s="93" t="n"/>
      <c r="E30" s="93" t="n"/>
      <c r="F30" s="93" t="n"/>
      <c r="G30" s="93" t="n"/>
    </row>
    <row r="31" ht="15" customHeight="1" s="66">
      <c r="B31" s="93" t="inlineStr">
        <is>
          <t>Tunisia / تونس</t>
        </is>
      </c>
      <c r="C31" s="93" t="n"/>
      <c r="D31" s="93" t="n"/>
      <c r="E31" s="93" t="n"/>
      <c r="F31" s="93" t="n"/>
      <c r="G31" s="93" t="n"/>
    </row>
    <row r="32" ht="15" customHeight="1" s="66">
      <c r="B32" s="93" t="inlineStr">
        <is>
          <t>Algeria / الجزائر</t>
        </is>
      </c>
      <c r="C32" s="93" t="n"/>
      <c r="D32" s="93" t="n"/>
      <c r="E32" s="93" t="n"/>
      <c r="F32" s="93" t="n"/>
      <c r="G32" s="93" t="n"/>
    </row>
    <row r="33" ht="15" customHeight="1" s="66">
      <c r="B33" s="93" t="inlineStr">
        <is>
          <t>Palestine / فلسطين</t>
        </is>
      </c>
      <c r="C33" s="93" t="n"/>
      <c r="D33" s="93" t="n"/>
      <c r="E33" s="93" t="n"/>
      <c r="F33" s="93" t="n"/>
      <c r="G33" s="93" t="n"/>
    </row>
    <row r="34" ht="15" customHeight="1" s="66">
      <c r="B34" s="93" t="inlineStr">
        <is>
          <t>Turkey / تركيا</t>
        </is>
      </c>
      <c r="C34" s="93" t="n"/>
      <c r="D34" s="93" t="n"/>
      <c r="E34" s="93" t="n"/>
      <c r="F34" s="93" t="n"/>
      <c r="G34" s="93" t="n"/>
    </row>
    <row r="35" ht="15" customHeight="1" s="66">
      <c r="B35" s="93" t="inlineStr">
        <is>
          <t>UK / المملكة المتحدة</t>
        </is>
      </c>
      <c r="C35" s="93" t="n"/>
      <c r="D35" s="93" t="n"/>
      <c r="E35" s="93" t="n"/>
      <c r="F35" s="93" t="n"/>
      <c r="G35" s="93" t="n"/>
    </row>
    <row r="36" ht="15" customHeight="1" s="66">
      <c r="B36" s="93" t="inlineStr">
        <is>
          <t>USA / الولايات المتحدة</t>
        </is>
      </c>
      <c r="C36" s="93" t="n"/>
      <c r="D36" s="93" t="n"/>
      <c r="E36" s="93" t="n"/>
      <c r="F36" s="93" t="n"/>
      <c r="G36" s="93" t="n"/>
    </row>
    <row r="37" ht="15" customHeight="1" s="66">
      <c r="B37" s="93" t="inlineStr">
        <is>
          <t>Germany / ألمانيا</t>
        </is>
      </c>
      <c r="C37" s="93" t="n"/>
      <c r="D37" s="93" t="n"/>
      <c r="E37" s="93" t="n"/>
      <c r="F37" s="93" t="n"/>
      <c r="G37" s="93" t="n"/>
    </row>
    <row r="38" ht="15" customHeight="1" s="66">
      <c r="B38" s="93" t="inlineStr">
        <is>
          <t>Other / أخرى</t>
        </is>
      </c>
      <c r="C38" s="93" t="n"/>
      <c r="D38" s="93" t="n"/>
      <c r="E38" s="93" t="n"/>
      <c r="F38" s="93" t="n"/>
      <c r="G38" s="93" t="n"/>
    </row>
    <row r="39"/>
    <row r="40"/>
    <row r="41" ht="15" customHeight="1" s="66">
      <c r="A41" s="69" t="inlineStr">
        <is>
          <t>C. ADDITIONAL LOOKUPS</t>
        </is>
      </c>
    </row>
    <row r="42" ht="15" customHeight="1" s="66">
      <c r="B42" s="92" t="inlineStr">
        <is>
          <t>YesNo</t>
        </is>
      </c>
      <c r="C42" s="92" t="inlineStr">
        <is>
          <t>Genders</t>
        </is>
      </c>
      <c r="D42" s="92" t="inlineStr">
        <is>
          <t>AgeBands</t>
        </is>
      </c>
      <c r="E42" s="92" t="inlineStr">
        <is>
          <t>Availability</t>
        </is>
      </c>
    </row>
    <row r="43" ht="15" customHeight="1" s="66">
      <c r="B43" s="94" t="inlineStr">
        <is>
          <t>Yes / نعم</t>
        </is>
      </c>
      <c r="C43" s="94" t="inlineStr">
        <is>
          <t>Female / أنثى</t>
        </is>
      </c>
      <c r="D43" s="94" t="inlineStr">
        <is>
          <t>Under 18</t>
        </is>
      </c>
      <c r="E43" s="94" t="inlineStr">
        <is>
          <t>Full-time (40 hrs/wk)</t>
        </is>
      </c>
    </row>
    <row r="44" ht="15" customHeight="1" s="66">
      <c r="B44" s="94" t="inlineStr">
        <is>
          <t>No / لا</t>
        </is>
      </c>
      <c r="C44" s="94" t="inlineStr">
        <is>
          <t>Male / ذكر</t>
        </is>
      </c>
      <c r="D44" s="94" t="inlineStr">
        <is>
          <t>18-24</t>
        </is>
      </c>
      <c r="E44" s="94" t="inlineStr">
        <is>
          <t>Part-time (20 hrs/wk)</t>
        </is>
      </c>
    </row>
    <row r="45" ht="15" customHeight="1" s="66">
      <c r="C45" s="94" t="inlineStr">
        <is>
          <t>Prefer not to say / أفضل عدم القول</t>
        </is>
      </c>
      <c r="D45" s="94" t="inlineStr">
        <is>
          <t>25-34</t>
        </is>
      </c>
      <c r="E45" s="94" t="inlineStr">
        <is>
          <t>Evenings / weekends</t>
        </is>
      </c>
    </row>
    <row r="46" ht="15" customHeight="1" s="66">
      <c r="D46" s="94" t="inlineStr">
        <is>
          <t>35-44</t>
        </is>
      </c>
      <c r="E46" s="94" t="inlineStr">
        <is>
          <t>Project-based</t>
        </is>
      </c>
    </row>
    <row r="47" ht="15" customHeight="1" s="66">
      <c r="D47" s="94" t="inlineStr">
        <is>
          <t>45-54</t>
        </is>
      </c>
      <c r="E47" s="94" t="inlineStr">
        <is>
          <t>Ad-hoc</t>
        </is>
      </c>
    </row>
    <row r="48" ht="15" customHeight="1" s="66">
      <c r="D48" s="94" t="inlineStr">
        <is>
          <t>55+</t>
        </is>
      </c>
    </row>
    <row r="49"/>
    <row r="50"/>
    <row r="51"/>
    <row r="52"/>
    <row r="53"/>
    <row r="54"/>
    <row r="55"/>
    <row r="56" ht="15" customHeight="1" s="66">
      <c r="B56" s="92" t="inlineStr">
        <is>
          <t>BudgetBands</t>
        </is>
      </c>
      <c r="C56" s="92" t="inlineStr">
        <is>
          <t>Industries</t>
        </is>
      </c>
      <c r="D56" s="92" t="inlineStr">
        <is>
          <t>OrgSizes</t>
        </is>
      </c>
      <c r="E56" s="92" t="inlineStr">
        <is>
          <t>Languages</t>
        </is>
      </c>
    </row>
    <row r="57" ht="15" customHeight="1" s="66">
      <c r="B57" s="94" t="inlineStr">
        <is>
          <t>Under $500</t>
        </is>
      </c>
      <c r="C57" s="94" t="inlineStr">
        <is>
          <t>Technology / IT</t>
        </is>
      </c>
      <c r="D57" s="94" t="inlineStr">
        <is>
          <t>Sole trader</t>
        </is>
      </c>
      <c r="E57" s="94" t="inlineStr">
        <is>
          <t>Arabic native</t>
        </is>
      </c>
    </row>
    <row r="58" ht="15" customHeight="1" s="66">
      <c r="B58" s="94" t="inlineStr">
        <is>
          <t>$500-$2,000</t>
        </is>
      </c>
      <c r="C58" s="94" t="inlineStr">
        <is>
          <t>Finance / Banking</t>
        </is>
      </c>
      <c r="D58" s="94" t="inlineStr">
        <is>
          <t>2-10 staff</t>
        </is>
      </c>
      <c r="E58" s="94" t="inlineStr">
        <is>
          <t>English fluent</t>
        </is>
      </c>
    </row>
    <row r="59" ht="15" customHeight="1" s="66">
      <c r="B59" s="94" t="inlineStr">
        <is>
          <t>$2,000-$10,000</t>
        </is>
      </c>
      <c r="C59" s="94" t="inlineStr">
        <is>
          <t>Healthcare</t>
        </is>
      </c>
      <c r="D59" s="94" t="inlineStr">
        <is>
          <t>11-50 staff</t>
        </is>
      </c>
      <c r="E59" s="94" t="inlineStr">
        <is>
          <t>Arabic + English</t>
        </is>
      </c>
    </row>
    <row r="60" ht="15" customHeight="1" s="66">
      <c r="B60" s="94" t="inlineStr">
        <is>
          <t>$10,000-$50,000</t>
        </is>
      </c>
      <c r="C60" s="94" t="inlineStr">
        <is>
          <t>Education</t>
        </is>
      </c>
      <c r="D60" s="94" t="inlineStr">
        <is>
          <t>51-250 staff</t>
        </is>
      </c>
      <c r="E60" s="94" t="inlineStr">
        <is>
          <t>French</t>
        </is>
      </c>
    </row>
    <row r="61" ht="15" customHeight="1" s="66">
      <c r="B61" s="94" t="inlineStr">
        <is>
          <t>$50,000+</t>
        </is>
      </c>
      <c r="C61" s="94" t="inlineStr">
        <is>
          <t>Manufacturing</t>
        </is>
      </c>
      <c r="D61" s="94" t="inlineStr">
        <is>
          <t>251+ staff</t>
        </is>
      </c>
      <c r="E61" s="94" t="inlineStr">
        <is>
          <t>Other</t>
        </is>
      </c>
    </row>
    <row r="62" ht="15" customHeight="1" s="66">
      <c r="B62" s="94" t="inlineStr">
        <is>
          <t>Undecided</t>
        </is>
      </c>
      <c r="C62" s="94" t="inlineStr">
        <is>
          <t>Retail / E-com</t>
        </is>
      </c>
    </row>
    <row r="63" ht="15" customHeight="1" s="66">
      <c r="C63" s="94" t="inlineStr">
        <is>
          <t>Media / Creative</t>
        </is>
      </c>
    </row>
    <row r="64" ht="15" customHeight="1" s="66">
      <c r="C64" s="94" t="inlineStr">
        <is>
          <t>Government / NGO</t>
        </is>
      </c>
    </row>
    <row r="65" ht="15" customHeight="1" s="66">
      <c r="C65" s="94" t="inlineStr">
        <is>
          <t>Logistics</t>
        </is>
      </c>
    </row>
    <row r="66" ht="15" customHeight="1" s="66">
      <c r="C66" s="94" t="inlineStr">
        <is>
          <t>Energy</t>
        </is>
      </c>
    </row>
    <row r="67" ht="15" customHeight="1" s="66">
      <c r="C67" s="94" t="inlineStr">
        <is>
          <t>Agriculture</t>
        </is>
      </c>
    </row>
    <row r="68" ht="15" customHeight="1" s="66">
      <c r="C68" s="94" t="inlineStr">
        <is>
          <t>Other</t>
        </is>
      </c>
    </row>
  </sheetData>
  <mergeCells count="13">
    <mergeCell ref="D9:G9"/>
    <mergeCell ref="A1:G2"/>
    <mergeCell ref="D12:G12"/>
    <mergeCell ref="A3:G3"/>
    <mergeCell ref="D8:G8"/>
    <mergeCell ref="D7:G7"/>
    <mergeCell ref="A16:G16"/>
    <mergeCell ref="D11:G11"/>
    <mergeCell ref="D13:G13"/>
    <mergeCell ref="D10:G10"/>
    <mergeCell ref="A41:G41"/>
    <mergeCell ref="D14:G14"/>
    <mergeCell ref="A5:G5"/>
  </mergeCell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E50"/>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CLIENT — EXPRESSION OF INTEREST
نموذج اهتمام العميل التجاري</t>
        </is>
      </c>
    </row>
    <row r="2" ht="15" customHeight="1" s="66"/>
    <row r="3" ht="15" customHeight="1" s="66">
      <c r="A3" s="68" t="inlineStr">
        <is>
          <t>Sheet code: CL  ·  Version: v1.0  ·  Bilingual AR/EN  ·  Mobile + WhatsApp compatible  ·  Constitutional FX: dated Aden market rate</t>
        </is>
      </c>
    </row>
    <row r="4" ht="27.75" customHeight="1" s="66">
      <c r="A4" s="95" t="inlineStr">
        <is>
          <t>Thank you for considering Kayan. This short form starts the conversation. No commitment yet — we simply want to understand what you need so we can route you to the right pod and schedule a scoping call within 48 hours.
شكراً لاهتمامك بكيان. هذا نموذج مختصر لبدء الحوار — لا يُلزمك بشيء. نود فقط أن نفهم ما تحتاج إليه لنوجهك إلى الفريق المناسب وننظم لقاء توضيحي خلال 48 ساعة.</t>
        </is>
      </c>
    </row>
    <row r="5" ht="27.75" customHeight="1" s="66"/>
    <row r="6"/>
    <row r="7" ht="15" customHeight="1" s="66">
      <c r="A7" s="69" t="inlineStr">
        <is>
          <t>A. Contact / بيانات التواصل</t>
        </is>
      </c>
    </row>
    <row r="8" ht="21.75" customHeight="1" s="66">
      <c r="A8" s="96" t="n">
        <v>1</v>
      </c>
      <c r="B8" s="97" t="inlineStr">
        <is>
          <t>Full name
الاسم الكامل</t>
        </is>
      </c>
      <c r="C8" s="75" t="n"/>
      <c r="D8" s="98" t="n"/>
      <c r="E8" s="99" t="inlineStr">
        <is>
          <t>Required</t>
        </is>
      </c>
    </row>
    <row r="9" ht="21.75" customHeight="1" s="66">
      <c r="A9" s="96" t="n">
        <v>2</v>
      </c>
      <c r="B9" s="97" t="inlineStr">
        <is>
          <t>Role / position
المنصب</t>
        </is>
      </c>
      <c r="C9" s="75" t="n"/>
      <c r="D9" s="98" t="n"/>
      <c r="E9" s="99" t="inlineStr">
        <is>
          <t>Required</t>
        </is>
      </c>
    </row>
    <row r="10" ht="21.75" customHeight="1" s="66">
      <c r="A10" s="96" t="n">
        <v>3</v>
      </c>
      <c r="B10" s="97" t="inlineStr">
        <is>
          <t>Company name
اسم الشركة</t>
        </is>
      </c>
      <c r="C10" s="75" t="n"/>
      <c r="D10" s="98" t="n"/>
      <c r="E10" s="99" t="inlineStr">
        <is>
          <t>Required</t>
        </is>
      </c>
    </row>
    <row r="11" ht="21.75" customHeight="1" s="66">
      <c r="A11" s="96" t="n">
        <v>4</v>
      </c>
      <c r="B11" s="97" t="inlineStr">
        <is>
          <t>Work email
البريد الإلكتروني</t>
        </is>
      </c>
      <c r="C11" s="75" t="n"/>
      <c r="D11" s="98" t="n"/>
      <c r="E11" s="99" t="inlineStr">
        <is>
          <t>Required</t>
        </is>
      </c>
    </row>
    <row r="12" ht="21.75" customHeight="1" s="66">
      <c r="A12" s="96" t="n">
        <v>5</v>
      </c>
      <c r="B12" s="97" t="inlineStr">
        <is>
          <t>Mobile / WhatsApp
الجوال / واتساب</t>
        </is>
      </c>
      <c r="C12" s="75" t="n"/>
      <c r="D12" s="100" t="n"/>
      <c r="E12" s="99" t="inlineStr">
        <is>
          <t>Required</t>
        </is>
      </c>
    </row>
    <row r="13" ht="21.75" customHeight="1" s="66">
      <c r="A13" s="96" t="n">
        <v>6</v>
      </c>
      <c r="B13" s="97" t="inlineStr">
        <is>
          <t>Country
الدولة</t>
        </is>
      </c>
      <c r="C13" s="75" t="n"/>
      <c r="D13" s="98" t="n"/>
      <c r="E13" s="99" t="inlineStr">
        <is>
          <t>Required</t>
        </is>
      </c>
    </row>
    <row r="14" ht="21.75" customHeight="1" s="66">
      <c r="A14" s="96" t="n">
        <v>7</v>
      </c>
      <c r="B14" s="97" t="inlineStr">
        <is>
          <t>City
المدينة</t>
        </is>
      </c>
      <c r="C14" s="75" t="n"/>
      <c r="D14" s="98" t="n"/>
      <c r="E14" s="99" t="inlineStr">
        <is>
          <t>Required</t>
        </is>
      </c>
    </row>
    <row r="15" ht="21.75" customHeight="1" s="66">
      <c r="A15" s="96" t="n">
        <v>8</v>
      </c>
      <c r="B15" s="97" t="inlineStr">
        <is>
          <t>Preferred language
اللغة المفضلة</t>
        </is>
      </c>
      <c r="C15" s="75" t="n"/>
      <c r="D15" s="98" t="n"/>
      <c r="E15" s="99" t="inlineStr">
        <is>
          <t>Required</t>
        </is>
      </c>
    </row>
    <row r="16" ht="21.75" customHeight="1" s="66">
      <c r="A16" s="96" t="n">
        <v>9</v>
      </c>
      <c r="B16" s="97" t="inlineStr">
        <is>
          <t>Preferred contact channel
القناة المفضلة للتواصل</t>
        </is>
      </c>
      <c r="C16" s="75" t="n"/>
      <c r="D16" s="98" t="n"/>
      <c r="E16" s="99" t="inlineStr">
        <is>
          <t>Required</t>
        </is>
      </c>
    </row>
    <row r="17" ht="15" customHeight="1" s="66">
      <c r="A17" s="69" t="inlineStr">
        <is>
          <t>B. Company / عن الشركة</t>
        </is>
      </c>
    </row>
    <row r="18" ht="21.75" customHeight="1" s="66">
      <c r="A18" s="96" t="n">
        <v>10</v>
      </c>
      <c r="B18" s="97" t="inlineStr">
        <is>
          <t>Industry
القطاع</t>
        </is>
      </c>
      <c r="C18" s="75" t="n"/>
      <c r="D18" s="98" t="n"/>
      <c r="E18" s="99" t="inlineStr">
        <is>
          <t>Required</t>
        </is>
      </c>
    </row>
    <row r="19" ht="21.75" customHeight="1" s="66">
      <c r="A19" s="96" t="n">
        <v>11</v>
      </c>
      <c r="B19" s="97" t="inlineStr">
        <is>
          <t>Company size
حجم الشركة</t>
        </is>
      </c>
      <c r="C19" s="75" t="n"/>
      <c r="D19" s="98" t="n"/>
      <c r="E19" s="99" t="inlineStr">
        <is>
          <t>Required</t>
        </is>
      </c>
    </row>
    <row r="20" ht="21.75" customHeight="1" s="66">
      <c r="A20" s="96" t="n">
        <v>12</v>
      </c>
      <c r="B20" s="97" t="inlineStr">
        <is>
          <t>Website (if any)
الموقع الإلكتروني (إن وجد)</t>
        </is>
      </c>
      <c r="C20" s="75" t="n"/>
      <c r="D20" s="98" t="n"/>
      <c r="E20" s="101" t="inlineStr">
        <is>
          <t>Optional</t>
        </is>
      </c>
    </row>
    <row r="21" ht="21.75" customHeight="1" s="66">
      <c r="A21" s="96" t="n">
        <v>13</v>
      </c>
      <c r="B21" s="97" t="inlineStr">
        <is>
          <t>Is your company registered?
هل شركتك مسجلة رسمياً؟</t>
        </is>
      </c>
      <c r="C21" s="75" t="n"/>
      <c r="D21" s="98" t="n"/>
      <c r="E21" s="99" t="inlineStr">
        <is>
          <t>Required</t>
        </is>
      </c>
    </row>
    <row r="22" ht="15" customHeight="1" s="66">
      <c r="A22" s="69" t="inlineStr">
        <is>
          <t>C. Project &amp; need / المشروع والحاجة</t>
        </is>
      </c>
    </row>
    <row r="23" ht="21.75" customHeight="1" s="66">
      <c r="A23" s="96" t="n">
        <v>14</v>
      </c>
      <c r="B23" s="97" t="inlineStr">
        <is>
          <t>Headline: what do you want to get done?
عنوان مختصر: ما الذي تريد إنجازه؟</t>
        </is>
      </c>
      <c r="C23" s="75" t="n"/>
      <c r="D23" s="98" t="n"/>
      <c r="E23" s="99" t="inlineStr">
        <is>
          <t>Required</t>
        </is>
      </c>
    </row>
    <row r="24" ht="48" customHeight="1" s="66">
      <c r="A24" s="96" t="n">
        <v>15</v>
      </c>
      <c r="B24" s="97" t="inlineStr">
        <is>
          <t>Describe the project / problem
وصف المشروع / المشكلة</t>
        </is>
      </c>
      <c r="C24" s="75" t="n"/>
      <c r="D24" s="102" t="n"/>
      <c r="E24" s="99" t="inlineStr">
        <is>
          <t>Required</t>
        </is>
      </c>
    </row>
    <row r="25" ht="21.75" customHeight="1" s="66">
      <c r="A25" s="96" t="n">
        <v>16</v>
      </c>
      <c r="B25" s="97" t="inlineStr">
        <is>
          <t>Core specialization needed
التخصص الأساسي المطلوب</t>
        </is>
      </c>
      <c r="C25" s="75" t="n"/>
      <c r="D25" s="98" t="n"/>
      <c r="E25" s="99" t="inlineStr">
        <is>
          <t>Required</t>
        </is>
      </c>
    </row>
    <row r="26" ht="21.75" customHeight="1" s="66">
      <c r="A26" s="96" t="n">
        <v>17</v>
      </c>
      <c r="B26" s="97" t="inlineStr">
        <is>
          <t>Budget band
شريحة الميزانية</t>
        </is>
      </c>
      <c r="C26" s="75" t="n"/>
      <c r="D26" s="98" t="n"/>
      <c r="E26" s="99" t="inlineStr">
        <is>
          <t>Required</t>
        </is>
      </c>
    </row>
    <row r="27" ht="21.75" customHeight="1" s="66">
      <c r="A27" s="96" t="n">
        <v>18</v>
      </c>
      <c r="B27" s="97" t="inlineStr">
        <is>
          <t>Preferred currency
العملة المفضلة</t>
        </is>
      </c>
      <c r="C27" s="75" t="n"/>
      <c r="D27" s="98" t="n"/>
      <c r="E27" s="99" t="inlineStr">
        <is>
          <t>Required</t>
        </is>
      </c>
    </row>
    <row r="28" ht="21.75" customHeight="1" s="66">
      <c r="A28" s="96" t="n">
        <v>19</v>
      </c>
      <c r="B28" s="97" t="inlineStr">
        <is>
          <t>Desired start date
تاريخ البدء المطلوب</t>
        </is>
      </c>
      <c r="C28" s="75" t="n"/>
      <c r="D28" s="103" t="n"/>
      <c r="E28" s="101" t="inlineStr">
        <is>
          <t>Optional</t>
        </is>
      </c>
    </row>
    <row r="29" ht="21.75" customHeight="1" s="66">
      <c r="A29" s="96" t="n">
        <v>20</v>
      </c>
      <c r="B29" s="97" t="inlineStr">
        <is>
          <t>Desired finish date
تاريخ الإنجاز المطلوب</t>
        </is>
      </c>
      <c r="C29" s="75" t="n"/>
      <c r="D29" s="103" t="n"/>
      <c r="E29" s="101" t="inlineStr">
        <is>
          <t>Optional</t>
        </is>
      </c>
    </row>
    <row r="30" ht="21.75" customHeight="1" s="66">
      <c r="A30" s="96" t="n">
        <v>21</v>
      </c>
      <c r="B30" s="97" t="inlineStr">
        <is>
          <t>Must have escrow protection (2170)?
هل تحتاج حماية الضمان (قاعدة 2170)؟</t>
        </is>
      </c>
      <c r="C30" s="75" t="n"/>
      <c r="D30" s="98" t="n"/>
      <c r="E30" s="99" t="inlineStr">
        <is>
          <t>Required</t>
        </is>
      </c>
    </row>
    <row r="31" ht="15" customHeight="1" s="66">
      <c r="A31" s="69" t="inlineStr">
        <is>
          <t>D. How did you hear about us? / كيف سمعت عنا؟</t>
        </is>
      </c>
    </row>
    <row r="32" ht="21.75" customHeight="1" s="66">
      <c r="A32" s="96" t="n">
        <v>22</v>
      </c>
      <c r="B32" s="97" t="inlineStr">
        <is>
          <t>Channel
القناة</t>
        </is>
      </c>
      <c r="C32" s="75" t="n"/>
      <c r="D32" s="98" t="n"/>
      <c r="E32" s="99" t="inlineStr">
        <is>
          <t>Required</t>
        </is>
      </c>
    </row>
    <row r="33" ht="21.75" customHeight="1" s="66">
      <c r="A33" s="96" t="n">
        <v>23</v>
      </c>
      <c r="B33" s="97" t="inlineStr">
        <is>
          <t>Referred by (name, if any)
اسم من أوصى بنا (إن وُجد)</t>
        </is>
      </c>
      <c r="C33" s="75" t="n"/>
      <c r="D33" s="98" t="n"/>
      <c r="E33" s="101" t="inlineStr">
        <is>
          <t>Optional</t>
        </is>
      </c>
    </row>
    <row r="34"/>
    <row r="35" ht="15" customHeight="1" s="66">
      <c r="A35" s="69" t="inlineStr">
        <is>
          <t>CONSENT &amp; SUBMISSION META / الموافقة وبيانات الإرسال</t>
        </is>
      </c>
    </row>
    <row r="36" ht="36" customHeight="1" s="66">
      <c r="A36" s="104" t="inlineStr">
        <is>
          <t>☐</t>
        </is>
      </c>
      <c r="B36" s="74" t="inlineStr">
        <is>
          <t>I consent to Kayan storing my data for EOI processing.
أوافق على احتفاظ كيان ببياناتي لمعالجة اهتمامي.</t>
        </is>
      </c>
      <c r="C36" s="75" t="n"/>
      <c r="D36" s="75" t="n"/>
      <c r="E36" s="105" t="inlineStr">
        <is>
          <t>Required</t>
        </is>
      </c>
    </row>
    <row r="37" ht="36" customHeight="1" s="66">
      <c r="A37" s="104" t="inlineStr">
        <is>
          <t>☐</t>
        </is>
      </c>
      <c r="B37" s="74" t="inlineStr">
        <is>
          <t>I agree to be contacted by Kayan through the channel I specified.
أوافق على أن تتواصل كيان معي عبر القناة التي اخترتها.</t>
        </is>
      </c>
      <c r="C37" s="75" t="n"/>
      <c r="D37" s="75" t="n"/>
      <c r="E37" s="105" t="inlineStr">
        <is>
          <t>Required</t>
        </is>
      </c>
    </row>
    <row r="38" ht="36" customHeight="1" s="66">
      <c r="A38" s="104" t="inlineStr">
        <is>
          <t>☐</t>
        </is>
      </c>
      <c r="B38" s="74" t="inlineStr">
        <is>
          <t>I confirm that all information provided is accurate to the best of my knowledge.
أؤكد أن جميع المعلومات دقيقة حسب معرفتي.</t>
        </is>
      </c>
      <c r="C38" s="75" t="n"/>
      <c r="D38" s="75" t="n"/>
      <c r="E38" s="105" t="inlineStr">
        <is>
          <t>Required</t>
        </is>
      </c>
    </row>
    <row r="39" ht="36" customHeight="1" s="66">
      <c r="A39" s="104" t="inlineStr">
        <is>
          <t>☐</t>
        </is>
      </c>
      <c r="B39" s="74" t="inlineStr">
        <is>
          <t>I am happy to receive updates (newsletter, events, opportunities).
أرغب في تلقي التحديثات (النشرة والأحداث والفرص).</t>
        </is>
      </c>
      <c r="C39" s="75" t="n"/>
      <c r="D39" s="75" t="n"/>
      <c r="E39" s="106" t="inlineStr">
        <is>
          <t>Optional</t>
        </is>
      </c>
    </row>
    <row r="40"/>
    <row r="41" ht="15" customHeight="1" s="66">
      <c r="A41" s="107" t="inlineStr">
        <is>
          <t>INTERNAL USE ONLY / لاستعمال الفريق فقط</t>
        </is>
      </c>
    </row>
    <row r="42" ht="24" customHeight="1" s="66">
      <c r="A42" s="108" t="n"/>
      <c r="B42" s="109" t="inlineStr">
        <is>
          <t>Submission ID (auto)
معرّف الطلب</t>
        </is>
      </c>
      <c r="C42" s="75" t="n"/>
      <c r="D42" s="110">
        <f>"KYN-CL-"&amp;TEXT(TODAY(),"YYYYMMDD")&amp;"-"&amp;TEXT(RANDBETWEEN(1000,9999),"0000")</f>
        <v/>
      </c>
      <c r="E42" s="111" t="inlineStr">
        <is>
          <t>Internal</t>
        </is>
      </c>
    </row>
    <row r="43" ht="24" customHeight="1" s="66">
      <c r="A43" s="108" t="n"/>
      <c r="B43" s="109" t="inlineStr">
        <is>
          <t>Received timestamp
تاريخ الاستلام</t>
        </is>
      </c>
      <c r="C43" s="75" t="n"/>
      <c r="D43" s="112">
        <f>NOW()</f>
        <v/>
      </c>
      <c r="E43" s="111" t="inlineStr">
        <is>
          <t>Internal</t>
        </is>
      </c>
    </row>
    <row r="44" ht="24" customHeight="1" s="66">
      <c r="A44" s="108" t="n"/>
      <c r="B44" s="109" t="inlineStr">
        <is>
          <t>Intake channel
قناة الاستلام</t>
        </is>
      </c>
      <c r="C44" s="75" t="n"/>
      <c r="D44" s="98" t="n"/>
      <c r="E44" s="111" t="inlineStr">
        <is>
          <t>Internal</t>
        </is>
      </c>
    </row>
    <row r="45" ht="24" customHeight="1" s="66">
      <c r="A45" s="108" t="n"/>
      <c r="B45" s="109" t="inlineStr">
        <is>
          <t>Assigned handler
الموظف المسؤول</t>
        </is>
      </c>
      <c r="C45" s="75" t="n"/>
      <c r="D45" s="98" t="n"/>
      <c r="E45" s="111" t="inlineStr">
        <is>
          <t>Internal</t>
        </is>
      </c>
    </row>
    <row r="46" ht="24" customHeight="1" s="66">
      <c r="A46" s="108" t="n"/>
      <c r="B46" s="109" t="inlineStr">
        <is>
          <t>Status
الحالة</t>
        </is>
      </c>
      <c r="C46" s="75" t="n"/>
      <c r="D46" s="98" t="n"/>
      <c r="E46" s="111" t="inlineStr">
        <is>
          <t>Internal</t>
        </is>
      </c>
    </row>
    <row r="47" ht="24" customHeight="1" s="66">
      <c r="A47" s="108" t="n"/>
      <c r="B47" s="109" t="inlineStr">
        <is>
          <t>Next action + due date
الإجراء التالي وتاريخه</t>
        </is>
      </c>
      <c r="C47" s="75" t="n"/>
      <c r="D47" s="98" t="n"/>
      <c r="E47" s="111" t="inlineStr">
        <is>
          <t>Internal</t>
        </is>
      </c>
    </row>
    <row r="48" ht="24" customHeight="1" s="66">
      <c r="A48" s="108" t="n"/>
      <c r="B48" s="109" t="inlineStr">
        <is>
          <t>Notes / comments
ملاحظات</t>
        </is>
      </c>
      <c r="C48" s="75" t="n"/>
      <c r="D48" s="98" t="n"/>
      <c r="E48" s="111" t="inlineStr">
        <is>
          <t>Internal</t>
        </is>
      </c>
    </row>
    <row r="49"/>
    <row r="50" ht="25.5" customHeight="1" s="66">
      <c r="A50" s="113" t="inlineStr">
        <is>
          <t>✦  PRE-LAUNCH TARGET: 30 qualified client EOIs by 31 May 2026  ·  Measured weekly on 17_KPI_DASH</t>
        </is>
      </c>
    </row>
  </sheetData>
  <mergeCells count="44">
    <mergeCell ref="B47:C47"/>
    <mergeCell ref="B16:C16"/>
    <mergeCell ref="B25:C25"/>
    <mergeCell ref="B46:C46"/>
    <mergeCell ref="B27:C27"/>
    <mergeCell ref="B18:C18"/>
    <mergeCell ref="B38:D38"/>
    <mergeCell ref="B43:C43"/>
    <mergeCell ref="B12:C12"/>
    <mergeCell ref="B21:C21"/>
    <mergeCell ref="B48:C48"/>
    <mergeCell ref="B37:D37"/>
    <mergeCell ref="A4:E5"/>
    <mergeCell ref="B11:C11"/>
    <mergeCell ref="A7:E7"/>
    <mergeCell ref="A41:E41"/>
    <mergeCell ref="B42:C42"/>
    <mergeCell ref="B23:C23"/>
    <mergeCell ref="B14:C14"/>
    <mergeCell ref="B8:C8"/>
    <mergeCell ref="A3:E3"/>
    <mergeCell ref="B13:C13"/>
    <mergeCell ref="B44:C44"/>
    <mergeCell ref="B36:D36"/>
    <mergeCell ref="A50:E50"/>
    <mergeCell ref="B29:C29"/>
    <mergeCell ref="B19:C19"/>
    <mergeCell ref="B10:C10"/>
    <mergeCell ref="B28:C28"/>
    <mergeCell ref="A1:E2"/>
    <mergeCell ref="B9:C9"/>
    <mergeCell ref="A22:E22"/>
    <mergeCell ref="A17:E17"/>
    <mergeCell ref="B24:C24"/>
    <mergeCell ref="B30:C30"/>
    <mergeCell ref="A35:E35"/>
    <mergeCell ref="B15:C15"/>
    <mergeCell ref="B33:C33"/>
    <mergeCell ref="B20:C20"/>
    <mergeCell ref="B45:C45"/>
    <mergeCell ref="B32:C32"/>
    <mergeCell ref="B26:C26"/>
    <mergeCell ref="B39:D39"/>
    <mergeCell ref="A31:E31"/>
  </mergeCells>
  <dataValidations count="16">
    <dataValidation sqref="D11" showDropDown="0" showInputMessage="0" showErrorMessage="0" allowBlank="1" errorTitle="Email" error="Enter a valid email" type="custom" errorStyle="stop" operator="between">
      <formula1>ISNUMBER(SEARCH("@",D11))</formula1>
      <formula2>0</formula2>
    </dataValidation>
    <dataValidation sqref="D13" showDropDown="0" showInputMessage="0" showErrorMessage="0" allowBlank="1" type="list" errorStyle="stop" operator="between">
      <formula1>Countries</formula1>
      <formula2>0</formula2>
    </dataValidation>
    <dataValidation sqref="D15" showDropDown="0" showInputMessage="0" showErrorMessage="0" allowBlank="1" type="list" errorStyle="stop" operator="between">
      <formula1>Languages</formula1>
      <formula2>0</formula2>
    </dataValidation>
    <dataValidation sqref="D16" showDropDown="0" showInputMessage="0" showErrorMessage="0" allowBlank="1" type="list" errorStyle="stop" operator="between">
      <formula1>Channels</formula1>
      <formula2>0</formula2>
    </dataValidation>
    <dataValidation sqref="D18" showDropDown="0" showInputMessage="0" showErrorMessage="0" allowBlank="1" type="list" errorStyle="stop" operator="between">
      <formula1>Industries</formula1>
      <formula2>0</formula2>
    </dataValidation>
    <dataValidation sqref="D19" showDropDown="0" showInputMessage="0" showErrorMessage="0" allowBlank="1" type="list" errorStyle="stop" operator="between">
      <formula1>OrgSizes</formula1>
      <formula2>0</formula2>
    </dataValidation>
    <dataValidation sqref="D21" showDropDown="0" showInputMessage="0" showErrorMessage="0" allowBlank="1" type="list" errorStyle="stop" operator="between">
      <formula1>YesNo</formula1>
      <formula2>0</formula2>
    </dataValidation>
    <dataValidation sqref="D25" showDropDown="0" showInputMessage="0" showErrorMessage="0" allowBlank="1" type="list" errorStyle="stop" operator="between">
      <formula1>Domains</formula1>
      <formula2>0</formula2>
    </dataValidation>
    <dataValidation sqref="D26" showDropDown="0" showInputMessage="0" showErrorMessage="0" allowBlank="1" type="list" errorStyle="stop" operator="between">
      <formula1>BudgetBands</formula1>
      <formula2>0</formula2>
    </dataValidation>
    <dataValidation sqref="D27" showDropDown="0" showInputMessage="0" showErrorMessage="0" allowBlank="1" type="list" errorStyle="stop" operator="between">
      <formula1>Currencies</formula1>
      <formula2>0</formula2>
    </dataValidation>
    <dataValidation sqref="D28" showDropDown="0" showInputMessage="0" showErrorMessage="0" allowBlank="1" errorTitle="Date" error="Enter a valid date" type="date" errorStyle="stop" operator="between">
      <formula1>DATE(2020,1,1)</formula1>
      <formula2>DATE(2035,12,31)</formula2>
    </dataValidation>
    <dataValidation sqref="D29" showDropDown="0" showInputMessage="0" showErrorMessage="0" allowBlank="1" errorTitle="Date" error="Enter a valid date" type="date" errorStyle="stop" operator="between">
      <formula1>DATE(2020,1,1)</formula1>
      <formula2>DATE(2035,12,31)</formula2>
    </dataValidation>
    <dataValidation sqref="D30" showDropDown="0" showInputMessage="0" showErrorMessage="0" allowBlank="1" type="list" errorStyle="stop" operator="between">
      <formula1>YesNo</formula1>
      <formula2>0</formula2>
    </dataValidation>
    <dataValidation sqref="D32" showDropDown="0" showInputMessage="0" showErrorMessage="0" allowBlank="1" type="list" errorStyle="stop" operator="between">
      <formula1>Channels</formula1>
      <formula2>0</formula2>
    </dataValidation>
    <dataValidation sqref="D44" showDropDown="0" showInputMessage="0" showErrorMessage="0" allowBlank="1" type="list" errorStyle="stop" operator="between">
      <formula1>Channels</formula1>
      <formula2>0</formula2>
    </dataValidation>
    <dataValidation sqref="D46"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E54"/>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FREELANCER / TALENT — EXPRESSION OF INTEREST
نموذج اهتمام المستقل / الموهبة</t>
        </is>
      </c>
    </row>
    <row r="2" ht="15" customHeight="1" s="66"/>
    <row r="3" ht="15" customHeight="1" s="66">
      <c r="A3" s="68" t="inlineStr">
        <is>
          <t>Sheet code: TL  ·  Version: v1.0  ·  Bilingual AR/EN  ·  Mobile + WhatsApp compatible  ·  Constitutional FX: dated Aden market rate</t>
        </is>
      </c>
    </row>
    <row r="4" ht="27.75" customHeight="1" s="66">
      <c r="A4" s="95" t="inlineStr">
        <is>
          <t>Kayan is building a verified, escrow-protected talent network. This EOI is the doorway. We do not hide behind forms — once you submit, a human handler will reach you within 48 hours to walk you through verification and, if you are a fit, issue your Kayan Card (T2).
كيان تبني شبكة موثوقة من المستقلين بحماية ضمان. هذا النموذج هو البداية. بمجرد إرسال اهتمامك سيتواصل معك أحد أعضاء الفريق خلال 48 ساعة لشرح خطوات التحقق، وإن كنتَ مناسباً نُصدر لك بطاقة كيان (المستوى T2).</t>
        </is>
      </c>
    </row>
    <row r="5" ht="27.75" customHeight="1" s="66"/>
    <row r="6"/>
    <row r="7" ht="15" customHeight="1" s="66">
      <c r="A7" s="69" t="inlineStr">
        <is>
          <t>A. Personal / بياناتك</t>
        </is>
      </c>
    </row>
    <row r="8" ht="21.75" customHeight="1" s="66">
      <c r="A8" s="96" t="n">
        <v>1</v>
      </c>
      <c r="B8" s="97" t="inlineStr">
        <is>
          <t>Full name
الاسم الكامل</t>
        </is>
      </c>
      <c r="C8" s="75" t="n"/>
      <c r="D8" s="98" t="n"/>
      <c r="E8" s="99" t="inlineStr">
        <is>
          <t>Required</t>
        </is>
      </c>
    </row>
    <row r="9" ht="21.75" customHeight="1" s="66">
      <c r="A9" s="96" t="n">
        <v>2</v>
      </c>
      <c r="B9" s="97" t="inlineStr">
        <is>
          <t>Gender
الجنس</t>
        </is>
      </c>
      <c r="C9" s="75" t="n"/>
      <c r="D9" s="98" t="n"/>
      <c r="E9" s="101" t="inlineStr">
        <is>
          <t>Optional</t>
        </is>
      </c>
    </row>
    <row r="10" ht="21.75" customHeight="1" s="66">
      <c r="A10" s="96" t="n">
        <v>3</v>
      </c>
      <c r="B10" s="97" t="inlineStr">
        <is>
          <t>Age band
الفئة العمرية</t>
        </is>
      </c>
      <c r="C10" s="75" t="n"/>
      <c r="D10" s="98" t="n"/>
      <c r="E10" s="99" t="inlineStr">
        <is>
          <t>Required</t>
        </is>
      </c>
    </row>
    <row r="11" ht="21.75" customHeight="1" s="66">
      <c r="A11" s="96" t="n">
        <v>4</v>
      </c>
      <c r="B11" s="97" t="inlineStr">
        <is>
          <t>Email
البريد الإلكتروني</t>
        </is>
      </c>
      <c r="C11" s="75" t="n"/>
      <c r="D11" s="98" t="n"/>
      <c r="E11" s="99" t="inlineStr">
        <is>
          <t>Required</t>
        </is>
      </c>
    </row>
    <row r="12" ht="21.75" customHeight="1" s="66">
      <c r="A12" s="96" t="n">
        <v>5</v>
      </c>
      <c r="B12" s="97" t="inlineStr">
        <is>
          <t>Mobile / WhatsApp
الجوال / واتساب</t>
        </is>
      </c>
      <c r="C12" s="75" t="n"/>
      <c r="D12" s="100" t="n"/>
      <c r="E12" s="99" t="inlineStr">
        <is>
          <t>Required</t>
        </is>
      </c>
    </row>
    <row r="13" ht="21.75" customHeight="1" s="66">
      <c r="A13" s="96" t="n">
        <v>6</v>
      </c>
      <c r="B13" s="97" t="inlineStr">
        <is>
          <t>Country of residence
بلد الإقامة</t>
        </is>
      </c>
      <c r="C13" s="75" t="n"/>
      <c r="D13" s="98" t="n"/>
      <c r="E13" s="99" t="inlineStr">
        <is>
          <t>Required</t>
        </is>
      </c>
    </row>
    <row r="14" ht="21.75" customHeight="1" s="66">
      <c r="A14" s="96" t="n">
        <v>7</v>
      </c>
      <c r="B14" s="97" t="inlineStr">
        <is>
          <t>City
المدينة</t>
        </is>
      </c>
      <c r="C14" s="75" t="n"/>
      <c r="D14" s="98" t="n"/>
      <c r="E14" s="99" t="inlineStr">
        <is>
          <t>Required</t>
        </is>
      </c>
    </row>
    <row r="15" ht="21.75" customHeight="1" s="66">
      <c r="A15" s="96" t="n">
        <v>8</v>
      </c>
      <c r="B15" s="97" t="inlineStr">
        <is>
          <t>Working languages
لغات العمل</t>
        </is>
      </c>
      <c r="C15" s="75" t="n"/>
      <c r="D15" s="98" t="n"/>
      <c r="E15" s="99" t="inlineStr">
        <is>
          <t>Required</t>
        </is>
      </c>
    </row>
    <row r="16" ht="15" customHeight="1" s="66">
      <c r="A16" s="69" t="inlineStr">
        <is>
          <t>B. Skill &amp; specialization / المهارة والتخصص</t>
        </is>
      </c>
    </row>
    <row r="17" ht="21.75" customHeight="1" s="66">
      <c r="A17" s="96" t="n">
        <v>9</v>
      </c>
      <c r="B17" s="97" t="inlineStr">
        <is>
          <t>Primary domain
القطاع الأساسي</t>
        </is>
      </c>
      <c r="C17" s="75" t="n"/>
      <c r="D17" s="98" t="n"/>
      <c r="E17" s="99" t="inlineStr">
        <is>
          <t>Required</t>
        </is>
      </c>
    </row>
    <row r="18" ht="21.75" customHeight="1" s="66">
      <c r="A18" s="96" t="n">
        <v>10</v>
      </c>
      <c r="B18" s="97" t="inlineStr">
        <is>
          <t>Top 3 micro-specializations (codes)
أبرز 3 تخصصات دقيقة (الرموز)</t>
        </is>
      </c>
      <c r="C18" s="75" t="n"/>
      <c r="D18" s="98" t="n"/>
      <c r="E18" s="99" t="inlineStr">
        <is>
          <t>Required</t>
        </is>
      </c>
    </row>
    <row r="19" ht="21.75" customHeight="1" s="66">
      <c r="A19" s="96" t="n">
        <v>11</v>
      </c>
      <c r="B19" s="97" t="inlineStr">
        <is>
          <t>Years of professional experience
سنوات الخبرة المهنية</t>
        </is>
      </c>
      <c r="C19" s="75" t="n"/>
      <c r="D19" s="98" t="n"/>
      <c r="E19" s="99" t="inlineStr">
        <is>
          <t>Required</t>
        </is>
      </c>
    </row>
    <row r="20" ht="21.75" customHeight="1" s="66">
      <c r="A20" s="96" t="n">
        <v>12</v>
      </c>
      <c r="B20" s="97" t="inlineStr">
        <is>
          <t>Current title / role
المسمى الوظيفي الحالي</t>
        </is>
      </c>
      <c r="C20" s="75" t="n"/>
      <c r="D20" s="98" t="n"/>
      <c r="E20" s="99" t="inlineStr">
        <is>
          <t>Required</t>
        </is>
      </c>
    </row>
    <row r="21" ht="21.75" customHeight="1" s="66">
      <c r="A21" s="96" t="n">
        <v>13</v>
      </c>
      <c r="B21" s="97" t="inlineStr">
        <is>
          <t>Portfolio / GitHub / Behance URL
رابط أعمالك</t>
        </is>
      </c>
      <c r="C21" s="75" t="n"/>
      <c r="D21" s="98" t="n"/>
      <c r="E21" s="101" t="inlineStr">
        <is>
          <t>Optional</t>
        </is>
      </c>
    </row>
    <row r="22" ht="21.75" customHeight="1" s="66">
      <c r="A22" s="96" t="n">
        <v>14</v>
      </c>
      <c r="B22" s="97" t="inlineStr">
        <is>
          <t>LinkedIn URL
رابط لينكدإن</t>
        </is>
      </c>
      <c r="C22" s="75" t="n"/>
      <c r="D22" s="98" t="n"/>
      <c r="E22" s="101" t="inlineStr">
        <is>
          <t>Optional</t>
        </is>
      </c>
    </row>
    <row r="23" ht="48" customHeight="1" s="66">
      <c r="A23" s="96" t="n">
        <v>15</v>
      </c>
      <c r="B23" s="97" t="inlineStr">
        <is>
          <t>Short bio (3-5 sentences)
نبذة تعريفية (3-5 جُمل)</t>
        </is>
      </c>
      <c r="C23" s="75" t="n"/>
      <c r="D23" s="102" t="n"/>
      <c r="E23" s="99" t="inlineStr">
        <is>
          <t>Required</t>
        </is>
      </c>
    </row>
    <row r="24" ht="15" customHeight="1" s="66">
      <c r="A24" s="69" t="inlineStr">
        <is>
          <t>C. Availability &amp; rate / التوفر والأجر</t>
        </is>
      </c>
    </row>
    <row r="25" ht="21.75" customHeight="1" s="66">
      <c r="A25" s="96" t="n">
        <v>16</v>
      </c>
      <c r="B25" s="97" t="inlineStr">
        <is>
          <t>Availability
التوفر</t>
        </is>
      </c>
      <c r="C25" s="75" t="n"/>
      <c r="D25" s="98" t="n"/>
      <c r="E25" s="99" t="inlineStr">
        <is>
          <t>Required</t>
        </is>
      </c>
    </row>
    <row r="26" ht="21.75" customHeight="1" s="66">
      <c r="A26" s="96" t="n">
        <v>17</v>
      </c>
      <c r="B26" s="97" t="inlineStr">
        <is>
          <t>Hours per week you can commit
عدد الساعات أسبوعياً</t>
        </is>
      </c>
      <c r="C26" s="75" t="n"/>
      <c r="D26" s="98" t="n"/>
      <c r="E26" s="99" t="inlineStr">
        <is>
          <t>Required</t>
        </is>
      </c>
    </row>
    <row r="27" ht="21.75" customHeight="1" s="66">
      <c r="A27" s="96" t="n">
        <v>18</v>
      </c>
      <c r="B27" s="97" t="inlineStr">
        <is>
          <t>Preferred currency
العملة المفضلة</t>
        </is>
      </c>
      <c r="C27" s="75" t="n"/>
      <c r="D27" s="98" t="n"/>
      <c r="E27" s="99" t="inlineStr">
        <is>
          <t>Required</t>
        </is>
      </c>
    </row>
    <row r="28" ht="21.75" customHeight="1" s="66">
      <c r="A28" s="96" t="n">
        <v>19</v>
      </c>
      <c r="B28" s="97" t="inlineStr">
        <is>
          <t>Hourly rate (in preferred currency)
السعر بالساعة</t>
        </is>
      </c>
      <c r="C28" s="75" t="n"/>
      <c r="D28" s="98" t="n"/>
      <c r="E28" s="99" t="inlineStr">
        <is>
          <t>Required</t>
        </is>
      </c>
    </row>
    <row r="29" ht="21.75" customHeight="1" s="66">
      <c r="A29" s="96" t="n">
        <v>20</v>
      </c>
      <c r="B29" s="97" t="inlineStr">
        <is>
          <t>Open to pod / team collaboration?
هل ترغب بالعمل ضمن فريق؟</t>
        </is>
      </c>
      <c r="C29" s="75" t="n"/>
      <c r="D29" s="98" t="n"/>
      <c r="E29" s="99" t="inlineStr">
        <is>
          <t>Required</t>
        </is>
      </c>
    </row>
    <row r="30" ht="21.75" customHeight="1" s="66">
      <c r="A30" s="96" t="n">
        <v>21</v>
      </c>
      <c r="B30" s="97" t="inlineStr">
        <is>
          <t>Ready to accept escrow terms (2170)?
هل تقبل شروط الضمان (2170)؟</t>
        </is>
      </c>
      <c r="C30" s="75" t="n"/>
      <c r="D30" s="98" t="n"/>
      <c r="E30" s="99" t="inlineStr">
        <is>
          <t>Required</t>
        </is>
      </c>
    </row>
    <row r="31" ht="15" customHeight="1" s="66">
      <c r="A31" s="69" t="inlineStr">
        <is>
          <t>D. Verification prep / تمهيد التحقق</t>
        </is>
      </c>
    </row>
    <row r="32" ht="21.75" customHeight="1" s="66">
      <c r="A32" s="96" t="n">
        <v>22</v>
      </c>
      <c r="B32" s="97" t="inlineStr">
        <is>
          <t>Government-issued ID available?
هل لديك هوية رسمية؟</t>
        </is>
      </c>
      <c r="C32" s="75" t="n"/>
      <c r="D32" s="98" t="n"/>
      <c r="E32" s="99" t="inlineStr">
        <is>
          <t>Required</t>
        </is>
      </c>
    </row>
    <row r="33" ht="21.75" customHeight="1" s="66">
      <c r="A33" s="96" t="n">
        <v>23</v>
      </c>
      <c r="B33" s="97" t="inlineStr">
        <is>
          <t>Willing to complete a short skill test?
هل توافق على اختبار مهاري قصير؟</t>
        </is>
      </c>
      <c r="C33" s="75" t="n"/>
      <c r="D33" s="98" t="n"/>
      <c r="E33" s="99" t="inlineStr">
        <is>
          <t>Required</t>
        </is>
      </c>
    </row>
    <row r="34" ht="21.75" customHeight="1" s="66">
      <c r="A34" s="96" t="n">
        <v>24</v>
      </c>
      <c r="B34" s="97" t="inlineStr">
        <is>
          <t>References available on request?
هل بالإمكان تقديم مراجع؟</t>
        </is>
      </c>
      <c r="C34" s="75" t="n"/>
      <c r="D34" s="98" t="n"/>
      <c r="E34" s="101" t="inlineStr">
        <is>
          <t>Optional</t>
        </is>
      </c>
    </row>
    <row r="35" ht="15" customHeight="1" s="66">
      <c r="A35" s="69" t="inlineStr">
        <is>
          <t>E. Discovery / كيف عرفت كيان</t>
        </is>
      </c>
    </row>
    <row r="36" ht="21.75" customHeight="1" s="66">
      <c r="A36" s="96" t="n">
        <v>25</v>
      </c>
      <c r="B36" s="97" t="inlineStr">
        <is>
          <t>Channel
القناة</t>
        </is>
      </c>
      <c r="C36" s="75" t="n"/>
      <c r="D36" s="98" t="n"/>
      <c r="E36" s="99" t="inlineStr">
        <is>
          <t>Required</t>
        </is>
      </c>
    </row>
    <row r="37" ht="21.75" customHeight="1" s="66">
      <c r="A37" s="96" t="n">
        <v>26</v>
      </c>
      <c r="B37" s="97" t="inlineStr">
        <is>
          <t>Referred by
بواسطة</t>
        </is>
      </c>
      <c r="C37" s="75" t="n"/>
      <c r="D37" s="98" t="n"/>
      <c r="E37" s="101" t="inlineStr">
        <is>
          <t>Optional</t>
        </is>
      </c>
    </row>
    <row r="38"/>
    <row r="39" ht="15" customHeight="1" s="66">
      <c r="A39" s="69" t="inlineStr">
        <is>
          <t>CONSENT &amp; SUBMISSION META / الموافقة وبيانات الإرسال</t>
        </is>
      </c>
    </row>
    <row r="40" ht="36" customHeight="1" s="66">
      <c r="A40" s="104" t="inlineStr">
        <is>
          <t>☐</t>
        </is>
      </c>
      <c r="B40" s="74" t="inlineStr">
        <is>
          <t>I consent to Kayan storing my data for EOI processing.
أوافق على احتفاظ كيان ببياناتي لمعالجة اهتمامي.</t>
        </is>
      </c>
      <c r="C40" s="75" t="n"/>
      <c r="D40" s="75" t="n"/>
      <c r="E40" s="105" t="inlineStr">
        <is>
          <t>Required</t>
        </is>
      </c>
    </row>
    <row r="41" ht="36" customHeight="1" s="66">
      <c r="A41" s="104" t="inlineStr">
        <is>
          <t>☐</t>
        </is>
      </c>
      <c r="B41" s="74" t="inlineStr">
        <is>
          <t>I agree to be contacted by Kayan through the channel I specified.
أوافق على أن تتواصل كيان معي عبر القناة التي اخترتها.</t>
        </is>
      </c>
      <c r="C41" s="75" t="n"/>
      <c r="D41" s="75" t="n"/>
      <c r="E41" s="105" t="inlineStr">
        <is>
          <t>Required</t>
        </is>
      </c>
    </row>
    <row r="42" ht="36" customHeight="1" s="66">
      <c r="A42" s="104" t="inlineStr">
        <is>
          <t>☐</t>
        </is>
      </c>
      <c r="B42" s="74" t="inlineStr">
        <is>
          <t>I confirm that all information provided is accurate to the best of my knowledge.
أؤكد أن جميع المعلومات دقيقة حسب معرفتي.</t>
        </is>
      </c>
      <c r="C42" s="75" t="n"/>
      <c r="D42" s="75" t="n"/>
      <c r="E42" s="105" t="inlineStr">
        <is>
          <t>Required</t>
        </is>
      </c>
    </row>
    <row r="43" ht="36" customHeight="1" s="66">
      <c r="A43" s="104" t="inlineStr">
        <is>
          <t>☐</t>
        </is>
      </c>
      <c r="B43" s="74" t="inlineStr">
        <is>
          <t>I am happy to receive updates (newsletter, events, opportunities).
أرغب في تلقي التحديثات (النشرة والأحداث والفرص).</t>
        </is>
      </c>
      <c r="C43" s="75" t="n"/>
      <c r="D43" s="75" t="n"/>
      <c r="E43" s="106" t="inlineStr">
        <is>
          <t>Optional</t>
        </is>
      </c>
    </row>
    <row r="44"/>
    <row r="45" ht="15" customHeight="1" s="66">
      <c r="A45" s="107" t="inlineStr">
        <is>
          <t>INTERNAL USE ONLY / لاستعمال الفريق فقط</t>
        </is>
      </c>
    </row>
    <row r="46" ht="24" customHeight="1" s="66">
      <c r="A46" s="108" t="n"/>
      <c r="B46" s="109" t="inlineStr">
        <is>
          <t>Submission ID (auto)
معرّف الطلب</t>
        </is>
      </c>
      <c r="C46" s="75" t="n"/>
      <c r="D46" s="110">
        <f>"KYN-TL-"&amp;TEXT(TODAY(),"YYYYMMDD")&amp;"-"&amp;TEXT(RANDBETWEEN(1000,9999),"0000")</f>
        <v/>
      </c>
      <c r="E46" s="111" t="inlineStr">
        <is>
          <t>Internal</t>
        </is>
      </c>
    </row>
    <row r="47" ht="24" customHeight="1" s="66">
      <c r="A47" s="108" t="n"/>
      <c r="B47" s="109" t="inlineStr">
        <is>
          <t>Received timestamp
تاريخ الاستلام</t>
        </is>
      </c>
      <c r="C47" s="75" t="n"/>
      <c r="D47" s="112">
        <f>NOW()</f>
        <v/>
      </c>
      <c r="E47" s="111" t="inlineStr">
        <is>
          <t>Internal</t>
        </is>
      </c>
    </row>
    <row r="48" ht="24" customHeight="1" s="66">
      <c r="A48" s="108" t="n"/>
      <c r="B48" s="109" t="inlineStr">
        <is>
          <t>Intake channel
قناة الاستلام</t>
        </is>
      </c>
      <c r="C48" s="75" t="n"/>
      <c r="D48" s="98" t="n"/>
      <c r="E48" s="111" t="inlineStr">
        <is>
          <t>Internal</t>
        </is>
      </c>
    </row>
    <row r="49" ht="24" customHeight="1" s="66">
      <c r="A49" s="108" t="n"/>
      <c r="B49" s="109" t="inlineStr">
        <is>
          <t>Assigned handler
الموظف المسؤول</t>
        </is>
      </c>
      <c r="C49" s="75" t="n"/>
      <c r="D49" s="98" t="n"/>
      <c r="E49" s="111" t="inlineStr">
        <is>
          <t>Internal</t>
        </is>
      </c>
    </row>
    <row r="50" ht="24" customHeight="1" s="66">
      <c r="A50" s="108" t="n"/>
      <c r="B50" s="109" t="inlineStr">
        <is>
          <t>Status
الحالة</t>
        </is>
      </c>
      <c r="C50" s="75" t="n"/>
      <c r="D50" s="98" t="n"/>
      <c r="E50" s="111" t="inlineStr">
        <is>
          <t>Internal</t>
        </is>
      </c>
    </row>
    <row r="51" ht="24" customHeight="1" s="66">
      <c r="A51" s="108" t="n"/>
      <c r="B51" s="109" t="inlineStr">
        <is>
          <t>Next action + due date
الإجراء التالي وتاريخه</t>
        </is>
      </c>
      <c r="C51" s="75" t="n"/>
      <c r="D51" s="98" t="n"/>
      <c r="E51" s="111" t="inlineStr">
        <is>
          <t>Internal</t>
        </is>
      </c>
    </row>
    <row r="52" ht="24" customHeight="1" s="66">
      <c r="A52" s="108" t="n"/>
      <c r="B52" s="109" t="inlineStr">
        <is>
          <t>Notes / comments
ملاحظات</t>
        </is>
      </c>
      <c r="C52" s="75" t="n"/>
      <c r="D52" s="98" t="n"/>
      <c r="E52" s="111" t="inlineStr">
        <is>
          <t>Internal</t>
        </is>
      </c>
    </row>
    <row r="53"/>
    <row r="54" ht="25.5" customHeight="1" s="66">
      <c r="A54" s="113" t="inlineStr">
        <is>
          <t>✦  PRE-LAUNCH TARGET: 150 talent EOIs / 50 T2 verified by 31 May 2026  ·  Measured weekly on 17_KPI_DASH</t>
        </is>
      </c>
    </row>
  </sheetData>
  <mergeCells count="48">
    <mergeCell ref="A39:E39"/>
    <mergeCell ref="B42:D42"/>
    <mergeCell ref="B47:C47"/>
    <mergeCell ref="A24:E24"/>
    <mergeCell ref="B25:C25"/>
    <mergeCell ref="B46:C46"/>
    <mergeCell ref="B22:C22"/>
    <mergeCell ref="A45:E45"/>
    <mergeCell ref="B27:C27"/>
    <mergeCell ref="B18:C18"/>
    <mergeCell ref="B12:C12"/>
    <mergeCell ref="B52:C52"/>
    <mergeCell ref="B21:C21"/>
    <mergeCell ref="B48:C48"/>
    <mergeCell ref="A4:E5"/>
    <mergeCell ref="B11:C11"/>
    <mergeCell ref="A16:E16"/>
    <mergeCell ref="A54:E54"/>
    <mergeCell ref="A7:E7"/>
    <mergeCell ref="B23:C23"/>
    <mergeCell ref="B40:D40"/>
    <mergeCell ref="B14:C14"/>
    <mergeCell ref="B17:C17"/>
    <mergeCell ref="B8:C8"/>
    <mergeCell ref="A3:E3"/>
    <mergeCell ref="B13:C13"/>
    <mergeCell ref="B29:C29"/>
    <mergeCell ref="B41:D41"/>
    <mergeCell ref="B19:C19"/>
    <mergeCell ref="B34:C34"/>
    <mergeCell ref="B37:C37"/>
    <mergeCell ref="B10:C10"/>
    <mergeCell ref="B28:C28"/>
    <mergeCell ref="A1:E2"/>
    <mergeCell ref="B9:C9"/>
    <mergeCell ref="B49:C49"/>
    <mergeCell ref="B30:C30"/>
    <mergeCell ref="A35:E35"/>
    <mergeCell ref="B15:C15"/>
    <mergeCell ref="B33:C33"/>
    <mergeCell ref="B26:C26"/>
    <mergeCell ref="B51:C51"/>
    <mergeCell ref="B20:C20"/>
    <mergeCell ref="B36:C36"/>
    <mergeCell ref="B32:C32"/>
    <mergeCell ref="B50:C50"/>
    <mergeCell ref="B43:D43"/>
    <mergeCell ref="A31:E31"/>
  </mergeCells>
  <dataValidations count="17">
    <dataValidation sqref="D9" showDropDown="0" showInputMessage="0" showErrorMessage="0" allowBlank="1" type="list" errorStyle="stop" operator="between">
      <formula1>Genders</formula1>
      <formula2>0</formula2>
    </dataValidation>
    <dataValidation sqref="D10" showDropDown="0" showInputMessage="0" showErrorMessage="0" allowBlank="1" type="list" errorStyle="stop" operator="between">
      <formula1>AgeBands</formula1>
      <formula2>0</formula2>
    </dataValidation>
    <dataValidation sqref="D11" showDropDown="0" showInputMessage="0" showErrorMessage="0" allowBlank="1" errorTitle="Email" error="Enter a valid email" type="custom" errorStyle="stop" operator="between">
      <formula1>ISNUMBER(SEARCH("@",D11))</formula1>
      <formula2>0</formula2>
    </dataValidation>
    <dataValidation sqref="D13" showDropDown="0" showInputMessage="0" showErrorMessage="0" allowBlank="1" type="list" errorStyle="stop" operator="between">
      <formula1>Countries</formula1>
      <formula2>0</formula2>
    </dataValidation>
    <dataValidation sqref="D15" showDropDown="0" showInputMessage="0" showErrorMessage="0" allowBlank="1" type="list" errorStyle="stop" operator="between">
      <formula1>Languages</formula1>
      <formula2>0</formula2>
    </dataValidation>
    <dataValidation sqref="D17" showDropDown="0" showInputMessage="0" showErrorMessage="0" allowBlank="1" type="list" errorStyle="stop" operator="between">
      <formula1>Domains</formula1>
      <formula2>0</formula2>
    </dataValidation>
    <dataValidation sqref="D19 D26 D28" showDropDown="0" showInputMessage="0" showErrorMessage="0" allowBlank="1" errorTitle="Number" error="Numbers only" type="decimal" errorStyle="stop" operator="greaterThanOrEqual">
      <formula1>0</formula1>
      <formula2>0</formula2>
    </dataValidation>
    <dataValidation sqref="D25" showDropDown="0" showInputMessage="0" showErrorMessage="0" allowBlank="1" type="list" errorStyle="stop" operator="between">
      <formula1>Availability</formula1>
      <formula2>0</formula2>
    </dataValidation>
    <dataValidation sqref="D27" showDropDown="0" showInputMessage="0" showErrorMessage="0" allowBlank="1" type="list" errorStyle="stop" operator="between">
      <formula1>Currencies</formula1>
      <formula2>0</formula2>
    </dataValidation>
    <dataValidation sqref="D29" showDropDown="0" showInputMessage="0" showErrorMessage="0" allowBlank="1" type="list" errorStyle="stop" operator="between">
      <formula1>YesNo</formula1>
      <formula2>0</formula2>
    </dataValidation>
    <dataValidation sqref="D30" showDropDown="0" showInputMessage="0" showErrorMessage="0" allowBlank="1" type="list" errorStyle="stop" operator="between">
      <formula1>YesNo</formula1>
      <formula2>0</formula2>
    </dataValidation>
    <dataValidation sqref="D32" showDropDown="0" showInputMessage="0" showErrorMessage="0" allowBlank="1" type="list" errorStyle="stop" operator="between">
      <formula1>YesNo</formula1>
      <formula2>0</formula2>
    </dataValidation>
    <dataValidation sqref="D33" showDropDown="0" showInputMessage="0" showErrorMessage="0" allowBlank="1" type="list" errorStyle="stop" operator="between">
      <formula1>YesNo</formula1>
      <formula2>0</formula2>
    </dataValidation>
    <dataValidation sqref="D34" showDropDown="0" showInputMessage="0" showErrorMessage="0" allowBlank="1" type="list" errorStyle="stop" operator="between">
      <formula1>YesNo</formula1>
      <formula2>0</formula2>
    </dataValidation>
    <dataValidation sqref="D36" showDropDown="0" showInputMessage="0" showErrorMessage="0" allowBlank="1" type="list" errorStyle="stop" operator="between">
      <formula1>Channels</formula1>
      <formula2>0</formula2>
    </dataValidation>
    <dataValidation sqref="D48" showDropDown="0" showInputMessage="0" showErrorMessage="0" allowBlank="1" type="list" errorStyle="stop" operator="between">
      <formula1>Channels</formula1>
      <formula2>0</formula2>
    </dataValidation>
    <dataValidation sqref="D50"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E51"/>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BUSINESS / PARTNER — EXPRESSION OF INTEREST
نموذج اهتمام الشركات والشركاء</t>
        </is>
      </c>
    </row>
    <row r="2" ht="15" customHeight="1" s="66"/>
    <row r="3" ht="15" customHeight="1" s="66">
      <c r="A3" s="68" t="inlineStr">
        <is>
          <t>Sheet code: BZ  ·  Version: v1.0  ·  Bilingual AR/EN  ·  Mobile + WhatsApp compatible  ·  Constitutional FX: dated Aden market rate</t>
        </is>
      </c>
    </row>
    <row r="4" ht="27.75" customHeight="1" s="66">
      <c r="A4" s="95" t="inlineStr">
        <is>
          <t>Kayan is a complete business system — managed delivery, verified talent pods, co-working hub, and Kayan Forge. This form helps us see which of these matters most to your company so we can send the most relevant package, not a generic pitch.
كيان نظام أعمال متكامل: تنفيذ مُدار، فرق موهبة موثّقة، مساحة عمل، أكاديمية تدريب. هذا النموذج يساعدنا على إرسال الحزمة الأنسب لشركتك فعلاً — لا عرضاً عاماً.</t>
        </is>
      </c>
    </row>
    <row r="5" ht="27.75" customHeight="1" s="66"/>
    <row r="6"/>
    <row r="7" ht="15" customHeight="1" s="66">
      <c r="A7" s="69" t="inlineStr">
        <is>
          <t>A. Contact / جهة التواصل</t>
        </is>
      </c>
    </row>
    <row r="8" ht="21.75" customHeight="1" s="66">
      <c r="A8" s="96" t="n">
        <v>1</v>
      </c>
      <c r="B8" s="97" t="inlineStr">
        <is>
          <t>Decision-maker full name
الاسم الكامل لصاحب القرار</t>
        </is>
      </c>
      <c r="C8" s="75" t="n"/>
      <c r="D8" s="98" t="n"/>
      <c r="E8" s="99" t="inlineStr">
        <is>
          <t>Required</t>
        </is>
      </c>
    </row>
    <row r="9" ht="21.75" customHeight="1" s="66">
      <c r="A9" s="96" t="n">
        <v>2</v>
      </c>
      <c r="B9" s="97" t="inlineStr">
        <is>
          <t>Role
المنصب</t>
        </is>
      </c>
      <c r="C9" s="75" t="n"/>
      <c r="D9" s="98" t="n"/>
      <c r="E9" s="99" t="inlineStr">
        <is>
          <t>Required</t>
        </is>
      </c>
    </row>
    <row r="10" ht="21.75" customHeight="1" s="66">
      <c r="A10" s="96" t="n">
        <v>3</v>
      </c>
      <c r="B10" s="97" t="inlineStr">
        <is>
          <t>Company name
اسم الشركة</t>
        </is>
      </c>
      <c r="C10" s="75" t="n"/>
      <c r="D10" s="98" t="n"/>
      <c r="E10" s="99" t="inlineStr">
        <is>
          <t>Required</t>
        </is>
      </c>
    </row>
    <row r="11" ht="21.75" customHeight="1" s="66">
      <c r="A11" s="96" t="n">
        <v>4</v>
      </c>
      <c r="B11" s="97" t="inlineStr">
        <is>
          <t>Work email
البريد الإلكتروني</t>
        </is>
      </c>
      <c r="C11" s="75" t="n"/>
      <c r="D11" s="98" t="n"/>
      <c r="E11" s="99" t="inlineStr">
        <is>
          <t>Required</t>
        </is>
      </c>
    </row>
    <row r="12" ht="21.75" customHeight="1" s="66">
      <c r="A12" s="96" t="n">
        <v>5</v>
      </c>
      <c r="B12" s="97" t="inlineStr">
        <is>
          <t>Mobile / WhatsApp
الجوال / واتساب</t>
        </is>
      </c>
      <c r="C12" s="75" t="n"/>
      <c r="D12" s="100" t="n"/>
      <c r="E12" s="99" t="inlineStr">
        <is>
          <t>Required</t>
        </is>
      </c>
    </row>
    <row r="13" ht="21.75" customHeight="1" s="66">
      <c r="A13" s="96" t="n">
        <v>6</v>
      </c>
      <c r="B13" s="97" t="inlineStr">
        <is>
          <t>Country
الدولة</t>
        </is>
      </c>
      <c r="C13" s="75" t="n"/>
      <c r="D13" s="98" t="n"/>
      <c r="E13" s="99" t="inlineStr">
        <is>
          <t>Required</t>
        </is>
      </c>
    </row>
    <row r="14" ht="21.75" customHeight="1" s="66">
      <c r="A14" s="96" t="n">
        <v>7</v>
      </c>
      <c r="B14" s="97" t="inlineStr">
        <is>
          <t>City
المدينة</t>
        </is>
      </c>
      <c r="C14" s="75" t="n"/>
      <c r="D14" s="98" t="n"/>
      <c r="E14" s="99" t="inlineStr">
        <is>
          <t>Required</t>
        </is>
      </c>
    </row>
    <row r="15" ht="15" customHeight="1" s="66">
      <c r="A15" s="69" t="inlineStr">
        <is>
          <t>B. Company profile / ملف الشركة</t>
        </is>
      </c>
    </row>
    <row r="16" ht="21.75" customHeight="1" s="66">
      <c r="A16" s="96" t="n">
        <v>8</v>
      </c>
      <c r="B16" s="97" t="inlineStr">
        <is>
          <t>Industry
القطاع</t>
        </is>
      </c>
      <c r="C16" s="75" t="n"/>
      <c r="D16" s="98" t="n"/>
      <c r="E16" s="99" t="inlineStr">
        <is>
          <t>Required</t>
        </is>
      </c>
    </row>
    <row r="17" ht="21.75" customHeight="1" s="66">
      <c r="A17" s="96" t="n">
        <v>9</v>
      </c>
      <c r="B17" s="97" t="inlineStr">
        <is>
          <t>Company size
حجم الشركة</t>
        </is>
      </c>
      <c r="C17" s="75" t="n"/>
      <c r="D17" s="98" t="n"/>
      <c r="E17" s="99" t="inlineStr">
        <is>
          <t>Required</t>
        </is>
      </c>
    </row>
    <row r="18" ht="21.75" customHeight="1" s="66">
      <c r="A18" s="96" t="n">
        <v>10</v>
      </c>
      <c r="B18" s="97" t="inlineStr">
        <is>
          <t>Year founded
سنة التأسيس</t>
        </is>
      </c>
      <c r="C18" s="75" t="n"/>
      <c r="D18" s="98" t="n"/>
      <c r="E18" s="99" t="inlineStr">
        <is>
          <t>Required</t>
        </is>
      </c>
    </row>
    <row r="19" ht="21.75" customHeight="1" s="66">
      <c r="A19" s="96" t="n">
        <v>11</v>
      </c>
      <c r="B19" s="97" t="inlineStr">
        <is>
          <t>Website
الموقع الإلكتروني</t>
        </is>
      </c>
      <c r="C19" s="75" t="n"/>
      <c r="D19" s="98" t="n"/>
      <c r="E19" s="101" t="inlineStr">
        <is>
          <t>Optional</t>
        </is>
      </c>
    </row>
    <row r="20" ht="21.75" customHeight="1" s="66">
      <c r="A20" s="96" t="n">
        <v>12</v>
      </c>
      <c r="B20" s="97" t="inlineStr">
        <is>
          <t>One-line business description
وصف الشركة في سطر</t>
        </is>
      </c>
      <c r="C20" s="75" t="n"/>
      <c r="D20" s="98" t="n"/>
      <c r="E20" s="99" t="inlineStr">
        <is>
          <t>Required</t>
        </is>
      </c>
    </row>
    <row r="21" ht="15" customHeight="1" s="66">
      <c r="A21" s="69" t="inlineStr">
        <is>
          <t>C. Interest in Kayan / الاهتمام بكيان</t>
        </is>
      </c>
    </row>
    <row r="22" ht="21.75" customHeight="1" s="66">
      <c r="A22" s="96" t="n">
        <v>13</v>
      </c>
      <c r="B22" s="97" t="inlineStr">
        <is>
          <t>Interested in managed delivery (projects)?
مهتم بخدمة التنفيذ المُدار؟</t>
        </is>
      </c>
      <c r="C22" s="75" t="n"/>
      <c r="D22" s="98" t="n"/>
      <c r="E22" s="99" t="inlineStr">
        <is>
          <t>Required</t>
        </is>
      </c>
    </row>
    <row r="23" ht="21.75" customHeight="1" s="66">
      <c r="A23" s="96" t="n">
        <v>14</v>
      </c>
      <c r="B23" s="97" t="inlineStr">
        <is>
          <t>Interested in hiring talent pods?
مهتم بتوظيف فرق عمل (Pods)؟</t>
        </is>
      </c>
      <c r="C23" s="75" t="n"/>
      <c r="D23" s="98" t="n"/>
      <c r="E23" s="99" t="inlineStr">
        <is>
          <t>Required</t>
        </is>
      </c>
    </row>
    <row r="24" ht="21.75" customHeight="1" s="66">
      <c r="A24" s="96" t="n">
        <v>15</v>
      </c>
      <c r="B24" s="97" t="inlineStr">
        <is>
          <t>Interested in hub / co-working space?
مهتم بمساحة العمل المشتركة؟</t>
        </is>
      </c>
      <c r="C24" s="75" t="n"/>
      <c r="D24" s="98" t="n"/>
      <c r="E24" s="99" t="inlineStr">
        <is>
          <t>Required</t>
        </is>
      </c>
    </row>
    <row r="25" ht="21.75" customHeight="1" s="66">
      <c r="A25" s="96" t="n">
        <v>16</v>
      </c>
      <c r="B25" s="97" t="inlineStr">
        <is>
          <t>Interested in Kayan Forge training for your team?
مهتم بتدريب الفريق عبر كيان فورج؟</t>
        </is>
      </c>
      <c r="C25" s="75" t="n"/>
      <c r="D25" s="98" t="n"/>
      <c r="E25" s="99" t="inlineStr">
        <is>
          <t>Required</t>
        </is>
      </c>
    </row>
    <row r="26" ht="21.75" customHeight="1" s="66">
      <c r="A26" s="96" t="n">
        <v>17</v>
      </c>
      <c r="B26" s="97" t="inlineStr">
        <is>
          <t>Interested in Kayan as a supplier / vendor?
مهتم بكيان كمورّد / متعاقد؟</t>
        </is>
      </c>
      <c r="C26" s="75" t="n"/>
      <c r="D26" s="98" t="n"/>
      <c r="E26" s="99" t="inlineStr">
        <is>
          <t>Required</t>
        </is>
      </c>
    </row>
    <row r="27" ht="21.75" customHeight="1" s="66">
      <c r="A27" s="96" t="n">
        <v>18</v>
      </c>
      <c r="B27" s="97" t="inlineStr">
        <is>
          <t>Interested in co-marketing / partnership?
مهتم بالشراكة التسويقية؟</t>
        </is>
      </c>
      <c r="C27" s="75" t="n"/>
      <c r="D27" s="98" t="n"/>
      <c r="E27" s="99" t="inlineStr">
        <is>
          <t>Required</t>
        </is>
      </c>
    </row>
    <row r="28" ht="21.75" customHeight="1" s="66">
      <c r="A28" s="96" t="n">
        <v>19</v>
      </c>
      <c r="B28" s="97" t="inlineStr">
        <is>
          <t>Annual spend estimate for managed services (USD)
الإنفاق السنوي التقديري على الخدمات ($)</t>
        </is>
      </c>
      <c r="C28" s="75" t="n"/>
      <c r="D28" s="98" t="n"/>
      <c r="E28" s="101" t="inlineStr">
        <is>
          <t>Optional</t>
        </is>
      </c>
    </row>
    <row r="29" ht="15" customHeight="1" s="66">
      <c r="A29" s="69" t="inlineStr">
        <is>
          <t>D. Need detail / تفاصيل الحاجة</t>
        </is>
      </c>
    </row>
    <row r="30" ht="48" customHeight="1" s="66">
      <c r="A30" s="96" t="n">
        <v>20</v>
      </c>
      <c r="B30" s="97" t="inlineStr">
        <is>
          <t>What are your top 3 priorities in the next 6 months?
ما أبرز ثلاث أولويات خلال 6 أشهر؟</t>
        </is>
      </c>
      <c r="C30" s="75" t="n"/>
      <c r="D30" s="102" t="n"/>
      <c r="E30" s="99" t="inlineStr">
        <is>
          <t>Required</t>
        </is>
      </c>
    </row>
    <row r="31" ht="48" customHeight="1" s="66">
      <c r="A31" s="96" t="n">
        <v>21</v>
      </c>
      <c r="B31" s="97" t="inlineStr">
        <is>
          <t>Are there active projects we can quote on now?
هل هناك مشاريع نشطة يمكننا تسعيرها الآن؟</t>
        </is>
      </c>
      <c r="C31" s="75" t="n"/>
      <c r="D31" s="102" t="n"/>
      <c r="E31" s="101" t="inlineStr">
        <is>
          <t>Optional</t>
        </is>
      </c>
    </row>
    <row r="32" ht="15" customHeight="1" s="66">
      <c r="A32" s="69" t="inlineStr">
        <is>
          <t>E. Discovery / كيف عرفت كيان</t>
        </is>
      </c>
    </row>
    <row r="33" ht="21.75" customHeight="1" s="66">
      <c r="A33" s="96" t="n">
        <v>22</v>
      </c>
      <c r="B33" s="97" t="inlineStr">
        <is>
          <t>Channel
القناة</t>
        </is>
      </c>
      <c r="C33" s="75" t="n"/>
      <c r="D33" s="98" t="n"/>
      <c r="E33" s="99" t="inlineStr">
        <is>
          <t>Required</t>
        </is>
      </c>
    </row>
    <row r="34" ht="21.75" customHeight="1" s="66">
      <c r="A34" s="96" t="n">
        <v>23</v>
      </c>
      <c r="B34" s="97" t="inlineStr">
        <is>
          <t>Referred by
بواسطة</t>
        </is>
      </c>
      <c r="C34" s="75" t="n"/>
      <c r="D34" s="98" t="n"/>
      <c r="E34" s="101" t="inlineStr">
        <is>
          <t>Optional</t>
        </is>
      </c>
    </row>
    <row r="35"/>
    <row r="36" ht="15" customHeight="1" s="66">
      <c r="A36" s="69" t="inlineStr">
        <is>
          <t>CONSENT &amp; SUBMISSION META / الموافقة وبيانات الإرسال</t>
        </is>
      </c>
    </row>
    <row r="37" ht="36" customHeight="1" s="66">
      <c r="A37" s="104" t="inlineStr">
        <is>
          <t>☐</t>
        </is>
      </c>
      <c r="B37" s="74" t="inlineStr">
        <is>
          <t>I consent to Kayan storing my data for EOI processing.
أوافق على احتفاظ كيان ببياناتي لمعالجة اهتمامي.</t>
        </is>
      </c>
      <c r="C37" s="75" t="n"/>
      <c r="D37" s="75" t="n"/>
      <c r="E37" s="105" t="inlineStr">
        <is>
          <t>Required</t>
        </is>
      </c>
    </row>
    <row r="38" ht="36" customHeight="1" s="66">
      <c r="A38" s="104" t="inlineStr">
        <is>
          <t>☐</t>
        </is>
      </c>
      <c r="B38" s="74" t="inlineStr">
        <is>
          <t>I agree to be contacted by Kayan through the channel I specified.
أوافق على أن تتواصل كيان معي عبر القناة التي اخترتها.</t>
        </is>
      </c>
      <c r="C38" s="75" t="n"/>
      <c r="D38" s="75" t="n"/>
      <c r="E38" s="105" t="inlineStr">
        <is>
          <t>Required</t>
        </is>
      </c>
    </row>
    <row r="39" ht="36" customHeight="1" s="66">
      <c r="A39" s="104" t="inlineStr">
        <is>
          <t>☐</t>
        </is>
      </c>
      <c r="B39" s="74" t="inlineStr">
        <is>
          <t>I confirm that all information provided is accurate to the best of my knowledge.
أؤكد أن جميع المعلومات دقيقة حسب معرفتي.</t>
        </is>
      </c>
      <c r="C39" s="75" t="n"/>
      <c r="D39" s="75" t="n"/>
      <c r="E39" s="105" t="inlineStr">
        <is>
          <t>Required</t>
        </is>
      </c>
    </row>
    <row r="40" ht="36" customHeight="1" s="66">
      <c r="A40" s="104" t="inlineStr">
        <is>
          <t>☐</t>
        </is>
      </c>
      <c r="B40" s="74" t="inlineStr">
        <is>
          <t>I am happy to receive updates (newsletter, events, opportunities).
أرغب في تلقي التحديثات (النشرة والأحداث والفرص).</t>
        </is>
      </c>
      <c r="C40" s="75" t="n"/>
      <c r="D40" s="75" t="n"/>
      <c r="E40" s="106" t="inlineStr">
        <is>
          <t>Optional</t>
        </is>
      </c>
    </row>
    <row r="41"/>
    <row r="42" ht="15" customHeight="1" s="66">
      <c r="A42" s="107" t="inlineStr">
        <is>
          <t>INTERNAL USE ONLY / لاستعمال الفريق فقط</t>
        </is>
      </c>
    </row>
    <row r="43" ht="24" customHeight="1" s="66">
      <c r="A43" s="108" t="n"/>
      <c r="B43" s="109" t="inlineStr">
        <is>
          <t>Submission ID (auto)
معرّف الطلب</t>
        </is>
      </c>
      <c r="C43" s="75" t="n"/>
      <c r="D43" s="110">
        <f>"KYN-BZ-"&amp;TEXT(TODAY(),"YYYYMMDD")&amp;"-"&amp;TEXT(RANDBETWEEN(1000,9999),"0000")</f>
        <v/>
      </c>
      <c r="E43" s="111" t="inlineStr">
        <is>
          <t>Internal</t>
        </is>
      </c>
    </row>
    <row r="44" ht="24" customHeight="1" s="66">
      <c r="A44" s="108" t="n"/>
      <c r="B44" s="109" t="inlineStr">
        <is>
          <t>Received timestamp
تاريخ الاستلام</t>
        </is>
      </c>
      <c r="C44" s="75" t="n"/>
      <c r="D44" s="112">
        <f>NOW()</f>
        <v/>
      </c>
      <c r="E44" s="111" t="inlineStr">
        <is>
          <t>Internal</t>
        </is>
      </c>
    </row>
    <row r="45" ht="24" customHeight="1" s="66">
      <c r="A45" s="108" t="n"/>
      <c r="B45" s="109" t="inlineStr">
        <is>
          <t>Intake channel
قناة الاستلام</t>
        </is>
      </c>
      <c r="C45" s="75" t="n"/>
      <c r="D45" s="98" t="n"/>
      <c r="E45" s="111" t="inlineStr">
        <is>
          <t>Internal</t>
        </is>
      </c>
    </row>
    <row r="46" ht="24" customHeight="1" s="66">
      <c r="A46" s="108" t="n"/>
      <c r="B46" s="109" t="inlineStr">
        <is>
          <t>Assigned handler
الموظف المسؤول</t>
        </is>
      </c>
      <c r="C46" s="75" t="n"/>
      <c r="D46" s="98" t="n"/>
      <c r="E46" s="111" t="inlineStr">
        <is>
          <t>Internal</t>
        </is>
      </c>
    </row>
    <row r="47" ht="24" customHeight="1" s="66">
      <c r="A47" s="108" t="n"/>
      <c r="B47" s="109" t="inlineStr">
        <is>
          <t>Status
الحالة</t>
        </is>
      </c>
      <c r="C47" s="75" t="n"/>
      <c r="D47" s="98" t="n"/>
      <c r="E47" s="111" t="inlineStr">
        <is>
          <t>Internal</t>
        </is>
      </c>
    </row>
    <row r="48" ht="24" customHeight="1" s="66">
      <c r="A48" s="108" t="n"/>
      <c r="B48" s="109" t="inlineStr">
        <is>
          <t>Next action + due date
الإجراء التالي وتاريخه</t>
        </is>
      </c>
      <c r="C48" s="75" t="n"/>
      <c r="D48" s="98" t="n"/>
      <c r="E48" s="111" t="inlineStr">
        <is>
          <t>Internal</t>
        </is>
      </c>
    </row>
    <row r="49" ht="24" customHeight="1" s="66">
      <c r="A49" s="108" t="n"/>
      <c r="B49" s="109" t="inlineStr">
        <is>
          <t>Notes / comments
ملاحظات</t>
        </is>
      </c>
      <c r="C49" s="75" t="n"/>
      <c r="D49" s="98" t="n"/>
      <c r="E49" s="111" t="inlineStr">
        <is>
          <t>Internal</t>
        </is>
      </c>
    </row>
    <row r="50"/>
    <row r="51" ht="25.5" customHeight="1" s="66">
      <c r="A51" s="113" t="inlineStr">
        <is>
          <t>✦  PRE-LAUNCH TARGET: 40 business / partner EOIs by 31 May 2026  ·  Measured weekly on 17_KPI_DASH</t>
        </is>
      </c>
    </row>
  </sheetData>
  <mergeCells count="45">
    <mergeCell ref="B47:C47"/>
    <mergeCell ref="B16:C16"/>
    <mergeCell ref="B25:C25"/>
    <mergeCell ref="A15:E15"/>
    <mergeCell ref="B46:C46"/>
    <mergeCell ref="A51:E51"/>
    <mergeCell ref="B22:C22"/>
    <mergeCell ref="B31:C31"/>
    <mergeCell ref="A36:E36"/>
    <mergeCell ref="B27:C27"/>
    <mergeCell ref="B18:C18"/>
    <mergeCell ref="B38:D38"/>
    <mergeCell ref="B43:C43"/>
    <mergeCell ref="B12:C12"/>
    <mergeCell ref="B48:C48"/>
    <mergeCell ref="B37:D37"/>
    <mergeCell ref="A4:E5"/>
    <mergeCell ref="B11:C11"/>
    <mergeCell ref="A7:E7"/>
    <mergeCell ref="B23:C23"/>
    <mergeCell ref="B40:D40"/>
    <mergeCell ref="B14:C14"/>
    <mergeCell ref="B17:C17"/>
    <mergeCell ref="B8:C8"/>
    <mergeCell ref="A3:E3"/>
    <mergeCell ref="B13:C13"/>
    <mergeCell ref="A21:E21"/>
    <mergeCell ref="B44:C44"/>
    <mergeCell ref="B19:C19"/>
    <mergeCell ref="B34:C34"/>
    <mergeCell ref="A42:E42"/>
    <mergeCell ref="B10:C10"/>
    <mergeCell ref="B28:C28"/>
    <mergeCell ref="A1:E2"/>
    <mergeCell ref="A32:E32"/>
    <mergeCell ref="B9:C9"/>
    <mergeCell ref="B49:C49"/>
    <mergeCell ref="B24:C24"/>
    <mergeCell ref="A29:E29"/>
    <mergeCell ref="B30:C30"/>
    <mergeCell ref="B33:C33"/>
    <mergeCell ref="B20:C20"/>
    <mergeCell ref="B45:C45"/>
    <mergeCell ref="B26:C26"/>
    <mergeCell ref="B39:D39"/>
  </mergeCells>
  <dataValidations count="15">
    <dataValidation sqref="D18" showDropDown="0" showInputMessage="0" showErrorMessage="0" allowBlank="1" errorTitle="Number" error="Numbers only" type="decimal" errorStyle="stop" operator="greaterThanOrEqual">
      <formula1>0</formula1>
      <formula2>0</formula2>
    </dataValidation>
    <dataValidation sqref="D11" showDropDown="0" showInputMessage="0" showErrorMessage="0" allowBlank="1" errorTitle="Email" error="Enter a valid email" type="custom" errorStyle="stop" operator="between">
      <formula1>ISNUMBER(SEARCH("@",D11))</formula1>
      <formula2>0</formula2>
    </dataValidation>
    <dataValidation sqref="D13" showDropDown="0" showInputMessage="0" showErrorMessage="0" allowBlank="1" type="list" errorStyle="stop" operator="between">
      <formula1>Countries</formula1>
      <formula2>0</formula2>
    </dataValidation>
    <dataValidation sqref="D16" showDropDown="0" showInputMessage="0" showErrorMessage="0" allowBlank="1" type="list" errorStyle="stop" operator="between">
      <formula1>Industries</formula1>
      <formula2>0</formula2>
    </dataValidation>
    <dataValidation sqref="D17" showDropDown="0" showInputMessage="0" showErrorMessage="0" allowBlank="1" type="list" errorStyle="stop" operator="between">
      <formula1>OrgSizes</formula1>
      <formula2>0</formula2>
    </dataValidation>
    <dataValidation sqref="D22" showDropDown="0" showInputMessage="0" showErrorMessage="0" allowBlank="1" type="list" errorStyle="stop" operator="between">
      <formula1>YesNo</formula1>
      <formula2>0</formula2>
    </dataValidation>
    <dataValidation sqref="D23" showDropDown="0" showInputMessage="0" showErrorMessage="0" allowBlank="1" type="list" errorStyle="stop" operator="between">
      <formula1>YesNo</formula1>
      <formula2>0</formula2>
    </dataValidation>
    <dataValidation sqref="D24" showDropDown="0" showInputMessage="0" showErrorMessage="0" allowBlank="1" type="list" errorStyle="stop" operator="between">
      <formula1>YesNo</formula1>
      <formula2>0</formula2>
    </dataValidation>
    <dataValidation sqref="D25" showDropDown="0" showInputMessage="0" showErrorMessage="0" allowBlank="1" type="list" errorStyle="stop" operator="between">
      <formula1>YesNo</formula1>
      <formula2>0</formula2>
    </dataValidation>
    <dataValidation sqref="D26" showDropDown="0" showInputMessage="0" showErrorMessage="0" allowBlank="1" type="list" errorStyle="stop" operator="between">
      <formula1>YesNo</formula1>
      <formula2>0</formula2>
    </dataValidation>
    <dataValidation sqref="D27" showDropDown="0" showInputMessage="0" showErrorMessage="0" allowBlank="1" type="list" errorStyle="stop" operator="between">
      <formula1>YesNo</formula1>
      <formula2>0</formula2>
    </dataValidation>
    <dataValidation sqref="D28" showDropDown="0" showInputMessage="0" showErrorMessage="0" allowBlank="1" type="list" errorStyle="stop" operator="between">
      <formula1>BudgetBands</formula1>
      <formula2>0</formula2>
    </dataValidation>
    <dataValidation sqref="D33" showDropDown="0" showInputMessage="0" showErrorMessage="0" allowBlank="1" type="list" errorStyle="stop" operator="between">
      <formula1>Channels</formula1>
      <formula2>0</formula2>
    </dataValidation>
    <dataValidation sqref="D45" showDropDown="0" showInputMessage="0" showErrorMessage="0" allowBlank="1" type="list" errorStyle="stop" operator="between">
      <formula1>Channels</formula1>
      <formula2>0</formula2>
    </dataValidation>
    <dataValidation sqref="D47"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E56"/>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Kayan for Yemen VOLUNTEER — EXPRESSION OF INTEREST
نموذج اهتمام متطوع كيان لليمن</t>
        </is>
      </c>
    </row>
    <row r="2" ht="15" customHeight="1" s="66"/>
    <row r="3" ht="15" customHeight="1" s="66">
      <c r="A3" s="68" t="inlineStr">
        <is>
          <t>Sheet code: VL  ·  Version: v1.0  ·  Bilingual AR/EN  ·  Mobile + WhatsApp compatible  ·  Constitutional FX: dated Aden market rate</t>
        </is>
      </c>
    </row>
    <row r="4" ht="27.75" customHeight="1" s="66">
      <c r="A4" s="95" t="inlineStr">
        <is>
          <t>Kayan for Yemen is Kayan's community-impact arm — volunteers who turn goodwill into measurable action. Tell us which causes move you, what you can offer, and how much time you can give. Every volunteer is matched to a mission where their specific skills land.
كيان لليمن هو الذراع المجتمعية لكيان — متطوعون يحوّلون النية الطيبة إلى أثر قابل للقياس. أخبرنا بالقضايا التي تهمك، وماذا يمكنك تقديمه، وكم من الوقت لديك. كل متطوع يُطابق مع مهمة تتناسب مع مهاراته.</t>
        </is>
      </c>
    </row>
    <row r="5" ht="27.75" customHeight="1" s="66"/>
    <row r="6"/>
    <row r="7" ht="15" customHeight="1" s="66">
      <c r="A7" s="69" t="inlineStr">
        <is>
          <t>A. Personal / بياناتك</t>
        </is>
      </c>
    </row>
    <row r="8" ht="21.75" customHeight="1" s="66">
      <c r="A8" s="96" t="n">
        <v>1</v>
      </c>
      <c r="B8" s="97" t="inlineStr">
        <is>
          <t>Full name
الاسم الكامل</t>
        </is>
      </c>
      <c r="C8" s="75" t="n"/>
      <c r="D8" s="98" t="n"/>
      <c r="E8" s="99" t="inlineStr">
        <is>
          <t>Required</t>
        </is>
      </c>
    </row>
    <row r="9" ht="21.75" customHeight="1" s="66">
      <c r="A9" s="96" t="n">
        <v>2</v>
      </c>
      <c r="B9" s="97" t="inlineStr">
        <is>
          <t>Gender
الجنس</t>
        </is>
      </c>
      <c r="C9" s="75" t="n"/>
      <c r="D9" s="98" t="n"/>
      <c r="E9" s="101" t="inlineStr">
        <is>
          <t>Optional</t>
        </is>
      </c>
    </row>
    <row r="10" ht="21.75" customHeight="1" s="66">
      <c r="A10" s="96" t="n">
        <v>3</v>
      </c>
      <c r="B10" s="97" t="inlineStr">
        <is>
          <t>Age band
الفئة العمرية</t>
        </is>
      </c>
      <c r="C10" s="75" t="n"/>
      <c r="D10" s="98" t="n"/>
      <c r="E10" s="99" t="inlineStr">
        <is>
          <t>Required</t>
        </is>
      </c>
    </row>
    <row r="11" ht="21.75" customHeight="1" s="66">
      <c r="A11" s="96" t="n">
        <v>4</v>
      </c>
      <c r="B11" s="97" t="inlineStr">
        <is>
          <t>Email
البريد الإلكتروني</t>
        </is>
      </c>
      <c r="C11" s="75" t="n"/>
      <c r="D11" s="98" t="n"/>
      <c r="E11" s="99" t="inlineStr">
        <is>
          <t>Required</t>
        </is>
      </c>
    </row>
    <row r="12" ht="21.75" customHeight="1" s="66">
      <c r="A12" s="96" t="n">
        <v>5</v>
      </c>
      <c r="B12" s="97" t="inlineStr">
        <is>
          <t>Mobile / WhatsApp
الجوال / واتساب</t>
        </is>
      </c>
      <c r="C12" s="75" t="n"/>
      <c r="D12" s="100" t="n"/>
      <c r="E12" s="99" t="inlineStr">
        <is>
          <t>Required</t>
        </is>
      </c>
    </row>
    <row r="13" ht="21.75" customHeight="1" s="66">
      <c r="A13" s="96" t="n">
        <v>6</v>
      </c>
      <c r="B13" s="97" t="inlineStr">
        <is>
          <t>Country
الدولة</t>
        </is>
      </c>
      <c r="C13" s="75" t="n"/>
      <c r="D13" s="98" t="n"/>
      <c r="E13" s="99" t="inlineStr">
        <is>
          <t>Required</t>
        </is>
      </c>
    </row>
    <row r="14" ht="21.75" customHeight="1" s="66">
      <c r="A14" s="96" t="n">
        <v>7</v>
      </c>
      <c r="B14" s="97" t="inlineStr">
        <is>
          <t>City / district
المدينة / الحي</t>
        </is>
      </c>
      <c r="C14" s="75" t="n"/>
      <c r="D14" s="98" t="n"/>
      <c r="E14" s="99" t="inlineStr">
        <is>
          <t>Required</t>
        </is>
      </c>
    </row>
    <row r="15" ht="15" customHeight="1" s="66">
      <c r="A15" s="69" t="inlineStr">
        <is>
          <t>B. Causes you care about / القضايا التي تهمك</t>
        </is>
      </c>
    </row>
    <row r="16" ht="21.75" customHeight="1" s="66">
      <c r="A16" s="96" t="n">
        <v>8</v>
      </c>
      <c r="B16" s="97" t="inlineStr">
        <is>
          <t>Education &amp; literacy
التعليم ومحو الأمية</t>
        </is>
      </c>
      <c r="C16" s="75" t="n"/>
      <c r="D16" s="98" t="n"/>
      <c r="E16" s="101" t="inlineStr">
        <is>
          <t>Optional</t>
        </is>
      </c>
    </row>
    <row r="17" ht="21.75" customHeight="1" s="66">
      <c r="A17" s="96" t="n">
        <v>9</v>
      </c>
      <c r="B17" s="97" t="inlineStr">
        <is>
          <t>Youth employment
توظيف الشباب</t>
        </is>
      </c>
      <c r="C17" s="75" t="n"/>
      <c r="D17" s="98" t="n"/>
      <c r="E17" s="101" t="inlineStr">
        <is>
          <t>Optional</t>
        </is>
      </c>
    </row>
    <row r="18" ht="21.75" customHeight="1" s="66">
      <c r="A18" s="96" t="n">
        <v>10</v>
      </c>
      <c r="B18" s="97" t="inlineStr">
        <is>
          <t>Women's economic empowerment
تمكين المرأة اقتصادياً</t>
        </is>
      </c>
      <c r="C18" s="75" t="n"/>
      <c r="D18" s="98" t="n"/>
      <c r="E18" s="101" t="inlineStr">
        <is>
          <t>Optional</t>
        </is>
      </c>
    </row>
    <row r="19" ht="21.75" customHeight="1" s="66">
      <c r="A19" s="96" t="n">
        <v>11</v>
      </c>
      <c r="B19" s="97" t="inlineStr">
        <is>
          <t>Health &amp; wellbeing
الصحة والعافية</t>
        </is>
      </c>
      <c r="C19" s="75" t="n"/>
      <c r="D19" s="98" t="n"/>
      <c r="E19" s="101" t="inlineStr">
        <is>
          <t>Optional</t>
        </is>
      </c>
    </row>
    <row r="20" ht="21.75" customHeight="1" s="66">
      <c r="A20" s="96" t="n">
        <v>12</v>
      </c>
      <c r="B20" s="97" t="inlineStr">
        <is>
          <t>Environment / sustainability
البيئة والاستدامة</t>
        </is>
      </c>
      <c r="C20" s="75" t="n"/>
      <c r="D20" s="98" t="n"/>
      <c r="E20" s="101" t="inlineStr">
        <is>
          <t>Optional</t>
        </is>
      </c>
    </row>
    <row r="21" ht="21.75" customHeight="1" s="66">
      <c r="A21" s="96" t="n">
        <v>13</v>
      </c>
      <c r="B21" s="97" t="inlineStr">
        <is>
          <t>Community building &amp; events
بناء المجتمع والفعاليات</t>
        </is>
      </c>
      <c r="C21" s="75" t="n"/>
      <c r="D21" s="98" t="n"/>
      <c r="E21" s="101" t="inlineStr">
        <is>
          <t>Optional</t>
        </is>
      </c>
    </row>
    <row r="22" ht="21.75" customHeight="1" s="66">
      <c r="A22" s="96" t="n">
        <v>14</v>
      </c>
      <c r="B22" s="97" t="inlineStr">
        <is>
          <t>Emergency / humanitarian response
الاستجابة الإنسانية والطوارئ</t>
        </is>
      </c>
      <c r="C22" s="75" t="n"/>
      <c r="D22" s="98" t="n"/>
      <c r="E22" s="101" t="inlineStr">
        <is>
          <t>Optional</t>
        </is>
      </c>
    </row>
    <row r="23" ht="15" customHeight="1" s="66">
      <c r="A23" s="69" t="inlineStr">
        <is>
          <t>C. Skills you can offer / المهارات التي يمكنك تقديمها</t>
        </is>
      </c>
    </row>
    <row r="24" ht="21.75" customHeight="1" s="66">
      <c r="A24" s="96" t="n">
        <v>15</v>
      </c>
      <c r="B24" s="97" t="inlineStr">
        <is>
          <t>Primary skill domain
مجال المهارة الأساسي</t>
        </is>
      </c>
      <c r="C24" s="75" t="n"/>
      <c r="D24" s="98" t="n"/>
      <c r="E24" s="99" t="inlineStr">
        <is>
          <t>Required</t>
        </is>
      </c>
    </row>
    <row r="25" ht="48" customHeight="1" s="66">
      <c r="A25" s="96" t="n">
        <v>16</v>
      </c>
      <c r="B25" s="97" t="inlineStr">
        <is>
          <t>Specific skills (brief list)
المهارات المحددة (قائمة مختصرة)</t>
        </is>
      </c>
      <c r="C25" s="75" t="n"/>
      <c r="D25" s="102" t="n"/>
      <c r="E25" s="99" t="inlineStr">
        <is>
          <t>Required</t>
        </is>
      </c>
    </row>
    <row r="26" ht="21.75" customHeight="1" s="66">
      <c r="A26" s="96" t="n">
        <v>17</v>
      </c>
      <c r="B26" s="97" t="inlineStr">
        <is>
          <t>Languages
اللغات</t>
        </is>
      </c>
      <c r="C26" s="75" t="n"/>
      <c r="D26" s="98" t="n"/>
      <c r="E26" s="99" t="inlineStr">
        <is>
          <t>Required</t>
        </is>
      </c>
    </row>
    <row r="27" ht="15" customHeight="1" s="66">
      <c r="A27" s="69" t="inlineStr">
        <is>
          <t>D. Availability / التوفر</t>
        </is>
      </c>
    </row>
    <row r="28" ht="21.75" customHeight="1" s="66">
      <c r="A28" s="96" t="n">
        <v>18</v>
      </c>
      <c r="B28" s="97" t="inlineStr">
        <is>
          <t>Hours per month you can commit
عدد الساعات شهرياً</t>
        </is>
      </c>
      <c r="C28" s="75" t="n"/>
      <c r="D28" s="98" t="n"/>
      <c r="E28" s="99" t="inlineStr">
        <is>
          <t>Required</t>
        </is>
      </c>
    </row>
    <row r="29" ht="21.75" customHeight="1" s="66">
      <c r="A29" s="96" t="n">
        <v>19</v>
      </c>
      <c r="B29" s="97" t="inlineStr">
        <is>
          <t>Availability pattern
نمط التوفر</t>
        </is>
      </c>
      <c r="C29" s="75" t="n"/>
      <c r="D29" s="98" t="n"/>
      <c r="E29" s="99" t="inlineStr">
        <is>
          <t>Required</t>
        </is>
      </c>
    </row>
    <row r="30" ht="21.75" customHeight="1" s="66">
      <c r="A30" s="96" t="n">
        <v>20</v>
      </c>
      <c r="B30" s="97" t="inlineStr">
        <is>
          <t>Open to remote, in-person, or both?
عن بعد، حضوري، أم كلاهما؟</t>
        </is>
      </c>
      <c r="C30" s="75" t="n"/>
      <c r="D30" s="98" t="n"/>
      <c r="E30" s="99" t="inlineStr">
        <is>
          <t>Required</t>
        </is>
      </c>
    </row>
    <row r="31" ht="21.75" customHeight="1" s="66">
      <c r="A31" s="96" t="n">
        <v>21</v>
      </c>
      <c r="B31" s="97" t="inlineStr">
        <is>
          <t>When can you start?
متى يمكنك البدء؟</t>
        </is>
      </c>
      <c r="C31" s="75" t="n"/>
      <c r="D31" s="103" t="n"/>
      <c r="E31" s="99" t="inlineStr">
        <is>
          <t>Required</t>
        </is>
      </c>
    </row>
    <row r="32" ht="15" customHeight="1" s="66">
      <c r="A32" s="69" t="inlineStr">
        <is>
          <t>E. Commitment &amp; consent / الالتزام والموافقة</t>
        </is>
      </c>
    </row>
    <row r="33" ht="48" customHeight="1" s="66">
      <c r="A33" s="96" t="n">
        <v>22</v>
      </c>
      <c r="B33" s="97" t="inlineStr">
        <is>
          <t>Why do you want to volunteer with Kayan for Yemen?
لماذا ترغب بالتطوع مع كيان لليمن؟</t>
        </is>
      </c>
      <c r="C33" s="75" t="n"/>
      <c r="D33" s="102" t="n"/>
      <c r="E33" s="99" t="inlineStr">
        <is>
          <t>Required</t>
        </is>
      </c>
    </row>
    <row r="34" ht="21.75" customHeight="1" s="66">
      <c r="A34" s="96" t="n">
        <v>23</v>
      </c>
      <c r="B34" s="97" t="inlineStr">
        <is>
          <t>Consent to background check (for youth-facing roles)?
موافقة على التحقق (للأدوار المتعلقة بالشباب)</t>
        </is>
      </c>
      <c r="C34" s="75" t="n"/>
      <c r="D34" s="98" t="n"/>
      <c r="E34" s="99" t="inlineStr">
        <is>
          <t>Required</t>
        </is>
      </c>
    </row>
    <row r="35" ht="21.75" customHeight="1" s="66">
      <c r="A35" s="96" t="n">
        <v>24</v>
      </c>
      <c r="B35" s="97" t="inlineStr">
        <is>
          <t>Emergency contact name
اسم جهة الاتصال في الطوارئ</t>
        </is>
      </c>
      <c r="C35" s="75" t="n"/>
      <c r="D35" s="98" t="n"/>
      <c r="E35" s="101" t="inlineStr">
        <is>
          <t>Optional</t>
        </is>
      </c>
    </row>
    <row r="36" ht="21.75" customHeight="1" s="66">
      <c r="A36" s="96" t="n">
        <v>25</v>
      </c>
      <c r="B36" s="97" t="inlineStr">
        <is>
          <t>Emergency contact phone
هاتف جهة الاتصال في الطوارئ</t>
        </is>
      </c>
      <c r="C36" s="75" t="n"/>
      <c r="D36" s="100" t="n"/>
      <c r="E36" s="101" t="inlineStr">
        <is>
          <t>Optional</t>
        </is>
      </c>
    </row>
    <row r="37" ht="15" customHeight="1" s="66">
      <c r="A37" s="69" t="inlineStr">
        <is>
          <t>F. Discovery / كيف عرفت فعان</t>
        </is>
      </c>
    </row>
    <row r="38" ht="21.75" customHeight="1" s="66">
      <c r="A38" s="96" t="n">
        <v>26</v>
      </c>
      <c r="B38" s="97" t="inlineStr">
        <is>
          <t>Channel
القناة</t>
        </is>
      </c>
      <c r="C38" s="75" t="n"/>
      <c r="D38" s="98" t="n"/>
      <c r="E38" s="99" t="inlineStr">
        <is>
          <t>Required</t>
        </is>
      </c>
    </row>
    <row r="39" ht="21.75" customHeight="1" s="66">
      <c r="A39" s="96" t="n">
        <v>27</v>
      </c>
      <c r="B39" s="97" t="inlineStr">
        <is>
          <t>Referred by
بواسطة</t>
        </is>
      </c>
      <c r="C39" s="75" t="n"/>
      <c r="D39" s="98" t="n"/>
      <c r="E39" s="101" t="inlineStr">
        <is>
          <t>Optional</t>
        </is>
      </c>
    </row>
    <row r="40"/>
    <row r="41" ht="15" customHeight="1" s="66">
      <c r="A41" s="69" t="inlineStr">
        <is>
          <t>CONSENT &amp; SUBMISSION META / الموافقة وبيانات الإرسال</t>
        </is>
      </c>
    </row>
    <row r="42" ht="36" customHeight="1" s="66">
      <c r="A42" s="104" t="inlineStr">
        <is>
          <t>☐</t>
        </is>
      </c>
      <c r="B42" s="74" t="inlineStr">
        <is>
          <t>I consent to Kayan storing my data for EOI processing.
أوافق على احتفاظ كيان ببياناتي لمعالجة اهتمامي.</t>
        </is>
      </c>
      <c r="C42" s="75" t="n"/>
      <c r="D42" s="75" t="n"/>
      <c r="E42" s="105" t="inlineStr">
        <is>
          <t>Required</t>
        </is>
      </c>
    </row>
    <row r="43" ht="36" customHeight="1" s="66">
      <c r="A43" s="104" t="inlineStr">
        <is>
          <t>☐</t>
        </is>
      </c>
      <c r="B43" s="74" t="inlineStr">
        <is>
          <t>I agree to be contacted by Kayan through the channel I specified.
أوافق على أن تتواصل كيان معي عبر القناة التي اخترتها.</t>
        </is>
      </c>
      <c r="C43" s="75" t="n"/>
      <c r="D43" s="75" t="n"/>
      <c r="E43" s="105" t="inlineStr">
        <is>
          <t>Required</t>
        </is>
      </c>
    </row>
    <row r="44" ht="36" customHeight="1" s="66">
      <c r="A44" s="104" t="inlineStr">
        <is>
          <t>☐</t>
        </is>
      </c>
      <c r="B44" s="74" t="inlineStr">
        <is>
          <t>I confirm that all information provided is accurate to the best of my knowledge.
أؤكد أن جميع المعلومات دقيقة حسب معرفتي.</t>
        </is>
      </c>
      <c r="C44" s="75" t="n"/>
      <c r="D44" s="75" t="n"/>
      <c r="E44" s="105" t="inlineStr">
        <is>
          <t>Required</t>
        </is>
      </c>
    </row>
    <row r="45" ht="36" customHeight="1" s="66">
      <c r="A45" s="104" t="inlineStr">
        <is>
          <t>☐</t>
        </is>
      </c>
      <c r="B45" s="74" t="inlineStr">
        <is>
          <t>I am happy to receive updates (newsletter, events, opportunities).
أرغب في تلقي التحديثات (النشرة والأحداث والفرص).</t>
        </is>
      </c>
      <c r="C45" s="75" t="n"/>
      <c r="D45" s="75" t="n"/>
      <c r="E45" s="106" t="inlineStr">
        <is>
          <t>Optional</t>
        </is>
      </c>
    </row>
    <row r="46"/>
    <row r="47" ht="15" customHeight="1" s="66">
      <c r="A47" s="107" t="inlineStr">
        <is>
          <t>INTERNAL USE ONLY / لاستعمال الفريق فقط</t>
        </is>
      </c>
    </row>
    <row r="48" ht="24" customHeight="1" s="66">
      <c r="A48" s="108" t="n"/>
      <c r="B48" s="109" t="inlineStr">
        <is>
          <t>Submission ID (auto)
معرّف الطلب</t>
        </is>
      </c>
      <c r="C48" s="75" t="n"/>
      <c r="D48" s="110">
        <f>"KYN-VL-"&amp;TEXT(TODAY(),"YYYYMMDD")&amp;"-"&amp;TEXT(RANDBETWEEN(1000,9999),"0000")</f>
        <v/>
      </c>
      <c r="E48" s="111" t="inlineStr">
        <is>
          <t>Internal</t>
        </is>
      </c>
    </row>
    <row r="49" ht="24" customHeight="1" s="66">
      <c r="A49" s="108" t="n"/>
      <c r="B49" s="109" t="inlineStr">
        <is>
          <t>Received timestamp
تاريخ الاستلام</t>
        </is>
      </c>
      <c r="C49" s="75" t="n"/>
      <c r="D49" s="112">
        <f>NOW()</f>
        <v/>
      </c>
      <c r="E49" s="111" t="inlineStr">
        <is>
          <t>Internal</t>
        </is>
      </c>
    </row>
    <row r="50" ht="24" customHeight="1" s="66">
      <c r="A50" s="108" t="n"/>
      <c r="B50" s="109" t="inlineStr">
        <is>
          <t>Intake channel
قناة الاستلام</t>
        </is>
      </c>
      <c r="C50" s="75" t="n"/>
      <c r="D50" s="98" t="n"/>
      <c r="E50" s="111" t="inlineStr">
        <is>
          <t>Internal</t>
        </is>
      </c>
    </row>
    <row r="51" ht="24" customHeight="1" s="66">
      <c r="A51" s="108" t="n"/>
      <c r="B51" s="109" t="inlineStr">
        <is>
          <t>Assigned handler
الموظف المسؤول</t>
        </is>
      </c>
      <c r="C51" s="75" t="n"/>
      <c r="D51" s="98" t="n"/>
      <c r="E51" s="111" t="inlineStr">
        <is>
          <t>Internal</t>
        </is>
      </c>
    </row>
    <row r="52" ht="24" customHeight="1" s="66">
      <c r="A52" s="108" t="n"/>
      <c r="B52" s="109" t="inlineStr">
        <is>
          <t>Status
الحالة</t>
        </is>
      </c>
      <c r="C52" s="75" t="n"/>
      <c r="D52" s="98" t="n"/>
      <c r="E52" s="111" t="inlineStr">
        <is>
          <t>Internal</t>
        </is>
      </c>
    </row>
    <row r="53" ht="24" customHeight="1" s="66">
      <c r="A53" s="108" t="n"/>
      <c r="B53" s="109" t="inlineStr">
        <is>
          <t>Next action + due date
الإجراء التالي وتاريخه</t>
        </is>
      </c>
      <c r="C53" s="75" t="n"/>
      <c r="D53" s="98" t="n"/>
      <c r="E53" s="111" t="inlineStr">
        <is>
          <t>Internal</t>
        </is>
      </c>
    </row>
    <row r="54" ht="24" customHeight="1" s="66">
      <c r="A54" s="108" t="n"/>
      <c r="B54" s="109" t="inlineStr">
        <is>
          <t>Notes / comments
ملاحظات</t>
        </is>
      </c>
      <c r="C54" s="75" t="n"/>
      <c r="D54" s="98" t="n"/>
      <c r="E54" s="111" t="inlineStr">
        <is>
          <t>Internal</t>
        </is>
      </c>
    </row>
    <row r="55"/>
    <row r="56" ht="25.5" customHeight="1" s="66">
      <c r="A56" s="113" t="inlineStr">
        <is>
          <t>✦  PRE-LAUNCH TARGET: 50 volunteer EOIs by 31 May 2026  ·  Measured weekly on 17_KPI_DASH</t>
        </is>
      </c>
    </row>
  </sheetData>
  <mergeCells count="50">
    <mergeCell ref="B42:D42"/>
    <mergeCell ref="B16:C16"/>
    <mergeCell ref="B54:C54"/>
    <mergeCell ref="B25:C25"/>
    <mergeCell ref="A15:E15"/>
    <mergeCell ref="B22:C22"/>
    <mergeCell ref="B44:D44"/>
    <mergeCell ref="B31:C31"/>
    <mergeCell ref="B18:C18"/>
    <mergeCell ref="B12:C12"/>
    <mergeCell ref="B39:C39"/>
    <mergeCell ref="B52:C52"/>
    <mergeCell ref="B21:C21"/>
    <mergeCell ref="B48:C48"/>
    <mergeCell ref="A4:E5"/>
    <mergeCell ref="B11:C11"/>
    <mergeCell ref="A7:E7"/>
    <mergeCell ref="A41:E41"/>
    <mergeCell ref="B14:C14"/>
    <mergeCell ref="A37:E37"/>
    <mergeCell ref="B17:C17"/>
    <mergeCell ref="B8:C8"/>
    <mergeCell ref="B53:C53"/>
    <mergeCell ref="A27:E27"/>
    <mergeCell ref="A56:E56"/>
    <mergeCell ref="A3:E3"/>
    <mergeCell ref="B13:C13"/>
    <mergeCell ref="B38:C38"/>
    <mergeCell ref="B29:C29"/>
    <mergeCell ref="B45:D45"/>
    <mergeCell ref="B19:C19"/>
    <mergeCell ref="B34:C34"/>
    <mergeCell ref="B10:C10"/>
    <mergeCell ref="B28:C28"/>
    <mergeCell ref="A47:E47"/>
    <mergeCell ref="A23:E23"/>
    <mergeCell ref="A1:E2"/>
    <mergeCell ref="A32:E32"/>
    <mergeCell ref="B9:C9"/>
    <mergeCell ref="B49:C49"/>
    <mergeCell ref="B24:C24"/>
    <mergeCell ref="B30:C30"/>
    <mergeCell ref="B33:C33"/>
    <mergeCell ref="B26:C26"/>
    <mergeCell ref="B51:C51"/>
    <mergeCell ref="B20:C20"/>
    <mergeCell ref="B36:C36"/>
    <mergeCell ref="B50:C50"/>
    <mergeCell ref="B43:D43"/>
    <mergeCell ref="B35:C35"/>
  </mergeCells>
  <dataValidations count="20">
    <dataValidation sqref="D28" showDropDown="0" showInputMessage="0" showErrorMessage="0" allowBlank="1" errorTitle="Number" error="Numbers only" type="decimal" errorStyle="stop" operator="greaterThanOrEqual">
      <formula1>0</formula1>
      <formula2>0</formula2>
    </dataValidation>
    <dataValidation sqref="D9" showDropDown="0" showInputMessage="0" showErrorMessage="0" allowBlank="1" type="list" errorStyle="stop" operator="between">
      <formula1>Genders</formula1>
      <formula2>0</formula2>
    </dataValidation>
    <dataValidation sqref="D10" showDropDown="0" showInputMessage="0" showErrorMessage="0" allowBlank="1" type="list" errorStyle="stop" operator="between">
      <formula1>AgeBands</formula1>
      <formula2>0</formula2>
    </dataValidation>
    <dataValidation sqref="D11" showDropDown="0" showInputMessage="0" showErrorMessage="0" allowBlank="1" errorTitle="Email" error="Enter a valid email" type="custom" errorStyle="stop" operator="between">
      <formula1>ISNUMBER(SEARCH("@",D11))</formula1>
      <formula2>0</formula2>
    </dataValidation>
    <dataValidation sqref="D13" showDropDown="0" showInputMessage="0" showErrorMessage="0" allowBlank="1" type="list" errorStyle="stop" operator="between">
      <formula1>Countries</formula1>
      <formula2>0</formula2>
    </dataValidation>
    <dataValidation sqref="D16" showDropDown="0" showInputMessage="0" showErrorMessage="0" allowBlank="1" type="list" errorStyle="stop" operator="between">
      <formula1>YesNo</formula1>
      <formula2>0</formula2>
    </dataValidation>
    <dataValidation sqref="D17" showDropDown="0" showInputMessage="0" showErrorMessage="0" allowBlank="1" type="list" errorStyle="stop" operator="between">
      <formula1>YesNo</formula1>
      <formula2>0</formula2>
    </dataValidation>
    <dataValidation sqref="D18" showDropDown="0" showInputMessage="0" showErrorMessage="0" allowBlank="1" type="list" errorStyle="stop" operator="between">
      <formula1>YesNo</formula1>
      <formula2>0</formula2>
    </dataValidation>
    <dataValidation sqref="D19" showDropDown="0" showInputMessage="0" showErrorMessage="0" allowBlank="1" type="list" errorStyle="stop" operator="between">
      <formula1>YesNo</formula1>
      <formula2>0</formula2>
    </dataValidation>
    <dataValidation sqref="D20" showDropDown="0" showInputMessage="0" showErrorMessage="0" allowBlank="1" type="list" errorStyle="stop" operator="between">
      <formula1>YesNo</formula1>
      <formula2>0</formula2>
    </dataValidation>
    <dataValidation sqref="D21" showDropDown="0" showInputMessage="0" showErrorMessage="0" allowBlank="1" type="list" errorStyle="stop" operator="between">
      <formula1>YesNo</formula1>
      <formula2>0</formula2>
    </dataValidation>
    <dataValidation sqref="D22" showDropDown="0" showInputMessage="0" showErrorMessage="0" allowBlank="1" type="list" errorStyle="stop" operator="between">
      <formula1>YesNo</formula1>
      <formula2>0</formula2>
    </dataValidation>
    <dataValidation sqref="D24" showDropDown="0" showInputMessage="0" showErrorMessage="0" allowBlank="1" type="list" errorStyle="stop" operator="between">
      <formula1>Domains</formula1>
      <formula2>0</formula2>
    </dataValidation>
    <dataValidation sqref="D26" showDropDown="0" showInputMessage="0" showErrorMessage="0" allowBlank="1" type="list" errorStyle="stop" operator="between">
      <formula1>Languages</formula1>
      <formula2>0</formula2>
    </dataValidation>
    <dataValidation sqref="D29" showDropDown="0" showInputMessage="0" showErrorMessage="0" allowBlank="1" type="list" errorStyle="stop" operator="between">
      <formula1>Availability</formula1>
      <formula2>0</formula2>
    </dataValidation>
    <dataValidation sqref="D31" showDropDown="0" showInputMessage="0" showErrorMessage="0" allowBlank="1" errorTitle="Date" error="Enter a valid date" type="date" errorStyle="stop" operator="between">
      <formula1>DATE(2020,1,1)</formula1>
      <formula2>DATE(2035,12,31)</formula2>
    </dataValidation>
    <dataValidation sqref="D34" showDropDown="0" showInputMessage="0" showErrorMessage="0" allowBlank="1" type="list" errorStyle="stop" operator="between">
      <formula1>YesNo</formula1>
      <formula2>0</formula2>
    </dataValidation>
    <dataValidation sqref="D38" showDropDown="0" showInputMessage="0" showErrorMessage="0" allowBlank="1" type="list" errorStyle="stop" operator="between">
      <formula1>Channels</formula1>
      <formula2>0</formula2>
    </dataValidation>
    <dataValidation sqref="D50" showDropDown="0" showInputMessage="0" showErrorMessage="0" allowBlank="1" type="list" errorStyle="stop" operator="between">
      <formula1>Channels</formula1>
      <formula2>0</formula2>
    </dataValidation>
    <dataValidation sqref="D52"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ACADEMY LEARNER — EXPRESSION OF INTEREST
نموذج اهتمام متعلم كيان فورج</t>
        </is>
      </c>
    </row>
    <row r="2" ht="15" customHeight="1" s="66"/>
    <row r="3" ht="15" customHeight="1" s="66">
      <c r="A3" s="68" t="inlineStr">
        <is>
          <t>Sheet code: AC  ·  Version: v1.0  ·  Bilingual AR/EN  ·  Mobile + WhatsApp compatible  ·  Constitutional FX: dated Aden market rate</t>
        </is>
      </c>
    </row>
    <row r="4" ht="27.75" customHeight="1" s="66">
      <c r="A4" s="95" t="inlineStr">
        <is>
          <t>Kayan Kayan Forge is practice-first: every track ends with a real-world project that pays, not a slide deck. Tell us where you are and where you want to go — we will match you to a cohort or a self-paced path.
أكاديمية كيان تركز على التطبيق: كل مسار ينتهي بمشروع عملي مُدفَّع الأجر — لا بشرائح فقط. أخبرنا بمكانك الحالي ووجهتك، وسنرشدك إلى الدفعة أو المسار المناسب.</t>
        </is>
      </c>
    </row>
    <row r="5" ht="27.75" customHeight="1" s="66"/>
    <row r="6"/>
    <row r="7" ht="15" customHeight="1" s="66">
      <c r="A7" s="69" t="inlineStr">
        <is>
          <t>A. Personal / بياناتك</t>
        </is>
      </c>
    </row>
    <row r="8" ht="21.75" customHeight="1" s="66">
      <c r="A8" s="96" t="n">
        <v>1</v>
      </c>
      <c r="B8" s="97" t="inlineStr">
        <is>
          <t>Full name
الاسم الكامل</t>
        </is>
      </c>
      <c r="C8" s="75" t="n"/>
      <c r="D8" s="98" t="n"/>
      <c r="E8" s="99" t="inlineStr">
        <is>
          <t>Required</t>
        </is>
      </c>
    </row>
    <row r="9" ht="21.75" customHeight="1" s="66">
      <c r="A9" s="96" t="n">
        <v>2</v>
      </c>
      <c r="B9" s="97" t="inlineStr">
        <is>
          <t>Gender
الجنس</t>
        </is>
      </c>
      <c r="C9" s="75" t="n"/>
      <c r="D9" s="98" t="n"/>
      <c r="E9" s="101" t="inlineStr">
        <is>
          <t>Optional</t>
        </is>
      </c>
    </row>
    <row r="10" ht="21.75" customHeight="1" s="66">
      <c r="A10" s="96" t="n">
        <v>3</v>
      </c>
      <c r="B10" s="97" t="inlineStr">
        <is>
          <t>Age band
الفئة العمرية</t>
        </is>
      </c>
      <c r="C10" s="75" t="n"/>
      <c r="D10" s="98" t="n"/>
      <c r="E10" s="99" t="inlineStr">
        <is>
          <t>Required</t>
        </is>
      </c>
    </row>
    <row r="11" ht="21.75" customHeight="1" s="66">
      <c r="A11" s="96" t="n">
        <v>4</v>
      </c>
      <c r="B11" s="97" t="inlineStr">
        <is>
          <t>Email
البريد الإلكتروني</t>
        </is>
      </c>
      <c r="C11" s="75" t="n"/>
      <c r="D11" s="98" t="n"/>
      <c r="E11" s="99" t="inlineStr">
        <is>
          <t>Required</t>
        </is>
      </c>
    </row>
    <row r="12" ht="21.75" customHeight="1" s="66">
      <c r="A12" s="96" t="n">
        <v>5</v>
      </c>
      <c r="B12" s="97" t="inlineStr">
        <is>
          <t>Mobile / WhatsApp
الجوال / واتساب</t>
        </is>
      </c>
      <c r="C12" s="75" t="n"/>
      <c r="D12" s="100" t="n"/>
      <c r="E12" s="99" t="inlineStr">
        <is>
          <t>Required</t>
        </is>
      </c>
    </row>
    <row r="13" ht="21.75" customHeight="1" s="66">
      <c r="A13" s="96" t="n">
        <v>6</v>
      </c>
      <c r="B13" s="97" t="inlineStr">
        <is>
          <t>Country
الدولة</t>
        </is>
      </c>
      <c r="C13" s="75" t="n"/>
      <c r="D13" s="98" t="n"/>
      <c r="E13" s="99" t="inlineStr">
        <is>
          <t>Required</t>
        </is>
      </c>
    </row>
    <row r="14" ht="21.75" customHeight="1" s="66">
      <c r="A14" s="96" t="n">
        <v>7</v>
      </c>
      <c r="B14" s="97" t="inlineStr">
        <is>
          <t>City
المدينة</t>
        </is>
      </c>
      <c r="C14" s="75" t="n"/>
      <c r="D14" s="98" t="n"/>
      <c r="E14" s="99" t="inlineStr">
        <is>
          <t>Required</t>
        </is>
      </c>
    </row>
    <row r="15" ht="15" customHeight="1" s="66">
      <c r="A15" s="69" t="inlineStr">
        <is>
          <t>B. Background / الخلفية</t>
        </is>
      </c>
    </row>
    <row r="16" ht="21.75" customHeight="1" s="66">
      <c r="A16" s="96" t="n">
        <v>8</v>
      </c>
      <c r="B16" s="97" t="inlineStr">
        <is>
          <t>Current status (student / employed / job-seeking / other)
الوضع الحالي</t>
        </is>
      </c>
      <c r="C16" s="75" t="n"/>
      <c r="D16" s="98" t="n"/>
      <c r="E16" s="99" t="inlineStr">
        <is>
          <t>Required</t>
        </is>
      </c>
    </row>
    <row r="17" ht="21.75" customHeight="1" s="66">
      <c r="A17" s="96" t="n">
        <v>9</v>
      </c>
      <c r="B17" s="97" t="inlineStr">
        <is>
          <t>Education level
المستوى التعليمي</t>
        </is>
      </c>
      <c r="C17" s="75" t="n"/>
      <c r="D17" s="98" t="n"/>
      <c r="E17" s="99" t="inlineStr">
        <is>
          <t>Required</t>
        </is>
      </c>
    </row>
    <row r="18" ht="21.75" customHeight="1" s="66">
      <c r="A18" s="96" t="n">
        <v>10</v>
      </c>
      <c r="B18" s="97" t="inlineStr">
        <is>
          <t>Working languages
لغات العمل</t>
        </is>
      </c>
      <c r="C18" s="75" t="n"/>
      <c r="D18" s="98" t="n"/>
      <c r="E18" s="99" t="inlineStr">
        <is>
          <t>Required</t>
        </is>
      </c>
    </row>
    <row r="19" ht="15" customHeight="1" s="66">
      <c r="A19" s="69" t="inlineStr">
        <is>
          <t>C. Track of interest / المسار المطلوب</t>
        </is>
      </c>
    </row>
    <row r="20" ht="21.75" customHeight="1" s="66">
      <c r="A20" s="96" t="n">
        <v>11</v>
      </c>
      <c r="B20" s="97" t="inlineStr">
        <is>
          <t>Primary domain
القطاع الأساسي</t>
        </is>
      </c>
      <c r="C20" s="75" t="n"/>
      <c r="D20" s="98" t="n"/>
      <c r="E20" s="99" t="inlineStr">
        <is>
          <t>Required</t>
        </is>
      </c>
    </row>
    <row r="21" ht="48" customHeight="1" s="66">
      <c r="A21" s="96" t="n">
        <v>12</v>
      </c>
      <c r="B21" s="97" t="inlineStr">
        <is>
          <t>Specific track / course interest
المسار أو الدورة المحددة</t>
        </is>
      </c>
      <c r="C21" s="75" t="n"/>
      <c r="D21" s="102" t="n"/>
      <c r="E21" s="99" t="inlineStr">
        <is>
          <t>Required</t>
        </is>
      </c>
    </row>
    <row r="22" ht="21.75" customHeight="1" s="66">
      <c r="A22" s="96" t="n">
        <v>13</v>
      </c>
      <c r="B22" s="97" t="inlineStr">
        <is>
          <t>Current skill level in this area
المستوى الحالي</t>
        </is>
      </c>
      <c r="C22" s="75" t="n"/>
      <c r="D22" s="98" t="n"/>
      <c r="E22" s="99" t="inlineStr">
        <is>
          <t>Required</t>
        </is>
      </c>
    </row>
    <row r="23" ht="48" customHeight="1" s="66">
      <c r="A23" s="96" t="n">
        <v>14</v>
      </c>
      <c r="B23" s="97" t="inlineStr">
        <is>
          <t>Goal from the course
هدفك من الدورة</t>
        </is>
      </c>
      <c r="C23" s="75" t="n"/>
      <c r="D23" s="102" t="n"/>
      <c r="E23" s="99" t="inlineStr">
        <is>
          <t>Required</t>
        </is>
      </c>
    </row>
    <row r="24" ht="15" customHeight="1" s="66">
      <c r="A24" s="69" t="inlineStr">
        <is>
          <t>D. Logistics / الترتيبات</t>
        </is>
      </c>
    </row>
    <row r="25" ht="21.75" customHeight="1" s="66">
      <c r="A25" s="96" t="n">
        <v>15</v>
      </c>
      <c r="B25" s="97" t="inlineStr">
        <is>
          <t>Preferred format
الصيغة المفضلة</t>
        </is>
      </c>
      <c r="C25" s="75" t="n"/>
      <c r="D25" s="98" t="n"/>
      <c r="E25" s="99" t="inlineStr">
        <is>
          <t>Required</t>
        </is>
      </c>
    </row>
    <row r="26" ht="21.75" customHeight="1" s="66">
      <c r="A26" s="96" t="n">
        <v>16</v>
      </c>
      <c r="B26" s="97" t="inlineStr">
        <is>
          <t>Hours per week you can dedicate
عدد الساعات أسبوعياً</t>
        </is>
      </c>
      <c r="C26" s="75" t="n"/>
      <c r="D26" s="98" t="n"/>
      <c r="E26" s="99" t="inlineStr">
        <is>
          <t>Required</t>
        </is>
      </c>
    </row>
    <row r="27" ht="21.75" customHeight="1" s="66">
      <c r="A27" s="96" t="n">
        <v>17</v>
      </c>
      <c r="B27" s="97" t="inlineStr">
        <is>
          <t>Preferred schedule
الجدول المفضل</t>
        </is>
      </c>
      <c r="C27" s="75" t="n"/>
      <c r="D27" s="98" t="n"/>
      <c r="E27" s="99" t="inlineStr">
        <is>
          <t>Required</t>
        </is>
      </c>
    </row>
    <row r="28" ht="21.75" customHeight="1" s="66">
      <c r="A28" s="96" t="n">
        <v>18</v>
      </c>
      <c r="B28" s="97" t="inlineStr">
        <is>
          <t>Can you pay for the course?
هل يمكنك دفع رسوم الدورة؟</t>
        </is>
      </c>
      <c r="C28" s="75" t="n"/>
      <c r="D28" s="98" t="n"/>
      <c r="E28" s="99" t="inlineStr">
        <is>
          <t>Required</t>
        </is>
      </c>
    </row>
    <row r="29" ht="21.75" customHeight="1" s="66">
      <c r="A29" s="96" t="n">
        <v>19</v>
      </c>
      <c r="B29" s="97" t="inlineStr">
        <is>
          <t>Need scholarship / payment plan?
تحتاج منحة أو خطة دفع؟</t>
        </is>
      </c>
      <c r="C29" s="75" t="n"/>
      <c r="D29" s="98" t="n"/>
      <c r="E29" s="99" t="inlineStr">
        <is>
          <t>Required</t>
        </is>
      </c>
    </row>
    <row r="30" ht="15" customHeight="1" s="66">
      <c r="A30" s="69" t="inlineStr">
        <is>
          <t>E. Discovery / كيف عرفت كيان فورج</t>
        </is>
      </c>
    </row>
    <row r="31" ht="21.75" customHeight="1" s="66">
      <c r="A31" s="96" t="n">
        <v>20</v>
      </c>
      <c r="B31" s="97" t="inlineStr">
        <is>
          <t>Channel
القناة</t>
        </is>
      </c>
      <c r="C31" s="75" t="n"/>
      <c r="D31" s="98" t="n"/>
      <c r="E31" s="99" t="inlineStr">
        <is>
          <t>Required</t>
        </is>
      </c>
    </row>
    <row r="32" ht="21.75" customHeight="1" s="66">
      <c r="A32" s="96" t="n">
        <v>21</v>
      </c>
      <c r="B32" s="97" t="inlineStr">
        <is>
          <t>Referred by
بواسطة</t>
        </is>
      </c>
      <c r="C32" s="75" t="n"/>
      <c r="D32" s="98" t="n"/>
      <c r="E32" s="101" t="inlineStr">
        <is>
          <t>Optional</t>
        </is>
      </c>
    </row>
    <row r="33"/>
    <row r="34" ht="15" customHeight="1" s="66">
      <c r="A34" s="69" t="inlineStr">
        <is>
          <t>CONSENT &amp; SUBMISSION META / الموافقة وبيانات الإرسال</t>
        </is>
      </c>
    </row>
    <row r="35" ht="36" customHeight="1" s="66">
      <c r="A35" s="104" t="inlineStr">
        <is>
          <t>☐</t>
        </is>
      </c>
      <c r="B35" s="74" t="inlineStr">
        <is>
          <t>I consent to Kayan storing my data for EOI processing.
أوافق على احتفاظ كيان ببياناتي لمعالجة اهتمامي.</t>
        </is>
      </c>
      <c r="C35" s="75" t="n"/>
      <c r="D35" s="75" t="n"/>
      <c r="E35" s="105" t="inlineStr">
        <is>
          <t>Required</t>
        </is>
      </c>
    </row>
    <row r="36" ht="36" customHeight="1" s="66">
      <c r="A36" s="104" t="inlineStr">
        <is>
          <t>☐</t>
        </is>
      </c>
      <c r="B36" s="74" t="inlineStr">
        <is>
          <t>I agree to be contacted by Kayan through the channel I specified.
أوافق على أن تتواصل كيان معي عبر القناة التي اخترتها.</t>
        </is>
      </c>
      <c r="C36" s="75" t="n"/>
      <c r="D36" s="75" t="n"/>
      <c r="E36" s="105" t="inlineStr">
        <is>
          <t>Required</t>
        </is>
      </c>
    </row>
    <row r="37" ht="36" customHeight="1" s="66">
      <c r="A37" s="104" t="inlineStr">
        <is>
          <t>☐</t>
        </is>
      </c>
      <c r="B37" s="74" t="inlineStr">
        <is>
          <t>I confirm that all information provided is accurate to the best of my knowledge.
أؤكد أن جميع المعلومات دقيقة حسب معرفتي.</t>
        </is>
      </c>
      <c r="C37" s="75" t="n"/>
      <c r="D37" s="75" t="n"/>
      <c r="E37" s="105" t="inlineStr">
        <is>
          <t>Required</t>
        </is>
      </c>
    </row>
    <row r="38" ht="36" customHeight="1" s="66">
      <c r="A38" s="104" t="inlineStr">
        <is>
          <t>☐</t>
        </is>
      </c>
      <c r="B38" s="74" t="inlineStr">
        <is>
          <t>I am happy to receive updates (newsletter, events, opportunities).
أرغب في تلقي التحديثات (النشرة والأحداث والفرص).</t>
        </is>
      </c>
      <c r="C38" s="75" t="n"/>
      <c r="D38" s="75" t="n"/>
      <c r="E38" s="106" t="inlineStr">
        <is>
          <t>Optional</t>
        </is>
      </c>
    </row>
    <row r="39"/>
    <row r="40" ht="15" customHeight="1" s="66">
      <c r="A40" s="107" t="inlineStr">
        <is>
          <t>INTERNAL USE ONLY / لاستعمال الفريق فقط</t>
        </is>
      </c>
    </row>
    <row r="41" ht="24" customHeight="1" s="66">
      <c r="A41" s="108" t="n"/>
      <c r="B41" s="109" t="inlineStr">
        <is>
          <t>Submission ID (auto)
معرّف الطلب</t>
        </is>
      </c>
      <c r="C41" s="75" t="n"/>
      <c r="D41" s="110">
        <f>"KYN-AC-"&amp;TEXT(TODAY(),"YYYYMMDD")&amp;"-"&amp;TEXT(RANDBETWEEN(1000,9999),"0000")</f>
        <v/>
      </c>
      <c r="E41" s="111" t="inlineStr">
        <is>
          <t>Internal</t>
        </is>
      </c>
    </row>
    <row r="42" ht="24" customHeight="1" s="66">
      <c r="A42" s="108" t="n"/>
      <c r="B42" s="109" t="inlineStr">
        <is>
          <t>Received timestamp
تاريخ الاستلام</t>
        </is>
      </c>
      <c r="C42" s="75" t="n"/>
      <c r="D42" s="112">
        <f>NOW()</f>
        <v/>
      </c>
      <c r="E42" s="111" t="inlineStr">
        <is>
          <t>Internal</t>
        </is>
      </c>
    </row>
    <row r="43" ht="24" customHeight="1" s="66">
      <c r="A43" s="108" t="n"/>
      <c r="B43" s="109" t="inlineStr">
        <is>
          <t>Intake channel
قناة الاستلام</t>
        </is>
      </c>
      <c r="C43" s="75" t="n"/>
      <c r="D43" s="98" t="n"/>
      <c r="E43" s="111" t="inlineStr">
        <is>
          <t>Internal</t>
        </is>
      </c>
    </row>
    <row r="44" ht="24" customHeight="1" s="66">
      <c r="A44" s="108" t="n"/>
      <c r="B44" s="109" t="inlineStr">
        <is>
          <t>Assigned handler
الموظف المسؤول</t>
        </is>
      </c>
      <c r="C44" s="75" t="n"/>
      <c r="D44" s="98" t="n"/>
      <c r="E44" s="111" t="inlineStr">
        <is>
          <t>Internal</t>
        </is>
      </c>
    </row>
    <row r="45" ht="24" customHeight="1" s="66">
      <c r="A45" s="108" t="n"/>
      <c r="B45" s="109" t="inlineStr">
        <is>
          <t>Status
الحالة</t>
        </is>
      </c>
      <c r="C45" s="75" t="n"/>
      <c r="D45" s="98" t="n"/>
      <c r="E45" s="111" t="inlineStr">
        <is>
          <t>Internal</t>
        </is>
      </c>
    </row>
    <row r="46" ht="24" customHeight="1" s="66">
      <c r="A46" s="108" t="n"/>
      <c r="B46" s="109" t="inlineStr">
        <is>
          <t>Next action + due date
الإجراء التالي وتاريخه</t>
        </is>
      </c>
      <c r="C46" s="75" t="n"/>
      <c r="D46" s="98" t="n"/>
      <c r="E46" s="111" t="inlineStr">
        <is>
          <t>Internal</t>
        </is>
      </c>
    </row>
    <row r="47" ht="24" customHeight="1" s="66">
      <c r="A47" s="108" t="n"/>
      <c r="B47" s="109" t="inlineStr">
        <is>
          <t>Notes / comments
ملاحظات</t>
        </is>
      </c>
      <c r="C47" s="75" t="n"/>
      <c r="D47" s="98" t="n"/>
      <c r="E47" s="111" t="inlineStr">
        <is>
          <t>Internal</t>
        </is>
      </c>
    </row>
    <row r="48"/>
    <row r="49" ht="25.5" customHeight="1" s="66">
      <c r="A49" s="113" t="inlineStr">
        <is>
          <t>✦  PRE-LAUNCH TARGET: 40 Kayan Forge EOIs by 31 May 2026  ·  Measured weekly on 17_KPI_DASH</t>
        </is>
      </c>
    </row>
  </sheetData>
  <mergeCells count="43">
    <mergeCell ref="A30:E30"/>
    <mergeCell ref="A34:E34"/>
    <mergeCell ref="B47:C47"/>
    <mergeCell ref="B16:C16"/>
    <mergeCell ref="A24:E24"/>
    <mergeCell ref="B25:C25"/>
    <mergeCell ref="A15:E15"/>
    <mergeCell ref="B46:C46"/>
    <mergeCell ref="A49:E49"/>
    <mergeCell ref="B22:C22"/>
    <mergeCell ref="B31:C31"/>
    <mergeCell ref="B27:C27"/>
    <mergeCell ref="B18:C18"/>
    <mergeCell ref="B38:D38"/>
    <mergeCell ref="B43:C43"/>
    <mergeCell ref="B12:C12"/>
    <mergeCell ref="B21:C21"/>
    <mergeCell ref="B37:D37"/>
    <mergeCell ref="A4:E5"/>
    <mergeCell ref="B11:C11"/>
    <mergeCell ref="A7:E7"/>
    <mergeCell ref="B42:C42"/>
    <mergeCell ref="B23:C23"/>
    <mergeCell ref="B14:C14"/>
    <mergeCell ref="B17:C17"/>
    <mergeCell ref="B8:C8"/>
    <mergeCell ref="A3:E3"/>
    <mergeCell ref="B13:C13"/>
    <mergeCell ref="B44:C44"/>
    <mergeCell ref="B36:D36"/>
    <mergeCell ref="B29:C29"/>
    <mergeCell ref="B35:D35"/>
    <mergeCell ref="B10:C10"/>
    <mergeCell ref="B28:C28"/>
    <mergeCell ref="A1:E2"/>
    <mergeCell ref="B9:C9"/>
    <mergeCell ref="B20:C20"/>
    <mergeCell ref="A19:E19"/>
    <mergeCell ref="B45:C45"/>
    <mergeCell ref="B32:C32"/>
    <mergeCell ref="B26:C26"/>
    <mergeCell ref="B41:C41"/>
    <mergeCell ref="A40:E40"/>
  </mergeCells>
  <dataValidations count="12">
    <dataValidation sqref="D26" showDropDown="0" showInputMessage="0" showErrorMessage="0" allowBlank="1" errorTitle="Number" error="Numbers only" type="decimal" errorStyle="stop" operator="greaterThanOrEqual">
      <formula1>0</formula1>
      <formula2>0</formula2>
    </dataValidation>
    <dataValidation sqref="D9" showDropDown="0" showInputMessage="0" showErrorMessage="0" allowBlank="1" type="list" errorStyle="stop" operator="between">
      <formula1>Genders</formula1>
      <formula2>0</formula2>
    </dataValidation>
    <dataValidation sqref="D10" showDropDown="0" showInputMessage="0" showErrorMessage="0" allowBlank="1" type="list" errorStyle="stop" operator="between">
      <formula1>AgeBands</formula1>
      <formula2>0</formula2>
    </dataValidation>
    <dataValidation sqref="D11" showDropDown="0" showInputMessage="0" showErrorMessage="0" allowBlank="1" errorTitle="Email" error="Enter a valid email" type="custom" errorStyle="stop" operator="between">
      <formula1>ISNUMBER(SEARCH("@",D11))</formula1>
      <formula2>0</formula2>
    </dataValidation>
    <dataValidation sqref="D13" showDropDown="0" showInputMessage="0" showErrorMessage="0" allowBlank="1" type="list" errorStyle="stop" operator="between">
      <formula1>Countries</formula1>
      <formula2>0</formula2>
    </dataValidation>
    <dataValidation sqref="D18" showDropDown="0" showInputMessage="0" showErrorMessage="0" allowBlank="1" type="list" errorStyle="stop" operator="between">
      <formula1>Languages</formula1>
      <formula2>0</formula2>
    </dataValidation>
    <dataValidation sqref="D20" showDropDown="0" showInputMessage="0" showErrorMessage="0" allowBlank="1" type="list" errorStyle="stop" operator="between">
      <formula1>Domains</formula1>
      <formula2>0</formula2>
    </dataValidation>
    <dataValidation sqref="D28" showDropDown="0" showInputMessage="0" showErrorMessage="0" allowBlank="1" type="list" errorStyle="stop" operator="between">
      <formula1>YesNo</formula1>
      <formula2>0</formula2>
    </dataValidation>
    <dataValidation sqref="D29" showDropDown="0" showInputMessage="0" showErrorMessage="0" allowBlank="1" type="list" errorStyle="stop" operator="between">
      <formula1>YesNo</formula1>
      <formula2>0</formula2>
    </dataValidation>
    <dataValidation sqref="D31" showDropDown="0" showInputMessage="0" showErrorMessage="0" allowBlank="1" type="list" errorStyle="stop" operator="between">
      <formula1>Channels</formula1>
      <formula2>0</formula2>
    </dataValidation>
    <dataValidation sqref="D43" showDropDown="0" showInputMessage="0" showErrorMessage="0" allowBlank="1" type="list" errorStyle="stop" operator="between">
      <formula1>Channels</formula1>
      <formula2>0</formula2>
    </dataValidation>
    <dataValidation sqref="D45"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1"/>
  </sheetPr>
  <dimension ref="A1:E51"/>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HUB / CO-WORKING SPACE — EXPRESSION OF INTEREST
نموذج الاستفسار عن مساحة كيان</t>
        </is>
      </c>
    </row>
    <row r="2" ht="15" customHeight="1" s="66"/>
    <row r="3" ht="15" customHeight="1" s="66">
      <c r="A3" s="68" t="inlineStr">
        <is>
          <t>Sheet code: HB  ·  Version: v1.0  ·  Bilingual AR/EN  ·  Mobile + WhatsApp compatible  ·  Constitutional FX: dated Aden market rate</t>
        </is>
      </c>
    </row>
    <row r="4" ht="27.75" customHeight="1" s="66">
      <c r="A4" s="95" t="inlineStr">
        <is>
          <t>Kayan Hub is more than a desk — it is the quiet, beautiful place where the work actually gets done. Tell us how you want to use it and we will hold your preferred setup for the opening week.
مساحة كيان ليست مجرد مكتب — بل هي المكان الهادئ الجميل حيث يُنجَز العمل فعلاً. أخبرنا كيف تريد استخدامها وسنحجز لك الإعداد المفضل خلال أسبوع الافتتاح.</t>
        </is>
      </c>
    </row>
    <row r="5" ht="27.75" customHeight="1" s="66"/>
    <row r="6"/>
    <row r="7" ht="15" customHeight="1" s="66">
      <c r="A7" s="69" t="inlineStr">
        <is>
          <t>A. Contact / بيانات التواصل</t>
        </is>
      </c>
    </row>
    <row r="8" ht="21.75" customHeight="1" s="66">
      <c r="A8" s="96" t="n">
        <v>1</v>
      </c>
      <c r="B8" s="97" t="inlineStr">
        <is>
          <t>Full name
الاسم الكامل</t>
        </is>
      </c>
      <c r="C8" s="75" t="n"/>
      <c r="D8" s="98" t="n"/>
      <c r="E8" s="99" t="inlineStr">
        <is>
          <t>Required</t>
        </is>
      </c>
    </row>
    <row r="9" ht="21.75" customHeight="1" s="66">
      <c r="A9" s="96" t="n">
        <v>2</v>
      </c>
      <c r="B9" s="97" t="inlineStr">
        <is>
          <t>Email
البريد الإلكتروني</t>
        </is>
      </c>
      <c r="C9" s="75" t="n"/>
      <c r="D9" s="98" t="n"/>
      <c r="E9" s="99" t="inlineStr">
        <is>
          <t>Required</t>
        </is>
      </c>
    </row>
    <row r="10" ht="21.75" customHeight="1" s="66">
      <c r="A10" s="96" t="n">
        <v>3</v>
      </c>
      <c r="B10" s="97" t="inlineStr">
        <is>
          <t>Mobile / WhatsApp
الجوال / واتساب</t>
        </is>
      </c>
      <c r="C10" s="75" t="n"/>
      <c r="D10" s="100" t="n"/>
      <c r="E10" s="99" t="inlineStr">
        <is>
          <t>Required</t>
        </is>
      </c>
    </row>
    <row r="11" ht="21.75" customHeight="1" s="66">
      <c r="A11" s="96" t="n">
        <v>4</v>
      </c>
      <c r="B11" s="97" t="inlineStr">
        <is>
          <t>Individual or company?
فرد أم شركة؟</t>
        </is>
      </c>
      <c r="C11" s="75" t="n"/>
      <c r="D11" s="98" t="n"/>
      <c r="E11" s="99" t="inlineStr">
        <is>
          <t>Required</t>
        </is>
      </c>
    </row>
    <row r="12" ht="21.75" customHeight="1" s="66">
      <c r="A12" s="96" t="n">
        <v>5</v>
      </c>
      <c r="B12" s="97" t="inlineStr">
        <is>
          <t>Company / team name (if any)
اسم الفريق أو الشركة</t>
        </is>
      </c>
      <c r="C12" s="75" t="n"/>
      <c r="D12" s="98" t="n"/>
      <c r="E12" s="101" t="inlineStr">
        <is>
          <t>Optional</t>
        </is>
      </c>
    </row>
    <row r="13" ht="15" customHeight="1" s="66">
      <c r="A13" s="69" t="inlineStr">
        <is>
          <t>B. Use of the hub / استخدام المساحة</t>
        </is>
      </c>
    </row>
    <row r="14" ht="48" customHeight="1" s="66">
      <c r="A14" s="96" t="n">
        <v>6</v>
      </c>
      <c r="B14" s="97" t="inlineStr">
        <is>
          <t>What are you looking for?
ما الذي تبحث عنه؟</t>
        </is>
      </c>
      <c r="C14" s="75" t="n"/>
      <c r="D14" s="102" t="n"/>
      <c r="E14" s="99" t="inlineStr">
        <is>
          <t>Required</t>
        </is>
      </c>
    </row>
    <row r="15" ht="21.75" customHeight="1" s="66">
      <c r="A15" s="96" t="n">
        <v>7</v>
      </c>
      <c r="B15" s="97" t="inlineStr">
        <is>
          <t>Hot desk needed?
هل تحتاج مكتب مفتوح؟</t>
        </is>
      </c>
      <c r="C15" s="75" t="n"/>
      <c r="D15" s="98" t="n"/>
      <c r="E15" s="99" t="inlineStr">
        <is>
          <t>Required</t>
        </is>
      </c>
    </row>
    <row r="16" ht="21.75" customHeight="1" s="66">
      <c r="A16" s="96" t="n">
        <v>8</v>
      </c>
      <c r="B16" s="97" t="inlineStr">
        <is>
          <t>Dedicated desk needed?
مكتب مخصص؟</t>
        </is>
      </c>
      <c r="C16" s="75" t="n"/>
      <c r="D16" s="98" t="n"/>
      <c r="E16" s="99" t="inlineStr">
        <is>
          <t>Required</t>
        </is>
      </c>
    </row>
    <row r="17" ht="21.75" customHeight="1" s="66">
      <c r="A17" s="96" t="n">
        <v>9</v>
      </c>
      <c r="B17" s="97" t="inlineStr">
        <is>
          <t>Private office needed?
مكتب خاص؟</t>
        </is>
      </c>
      <c r="C17" s="75" t="n"/>
      <c r="D17" s="98" t="n"/>
      <c r="E17" s="99" t="inlineStr">
        <is>
          <t>Required</t>
        </is>
      </c>
    </row>
    <row r="18" ht="21.75" customHeight="1" s="66">
      <c r="A18" s="96" t="n">
        <v>10</v>
      </c>
      <c r="B18" s="97" t="inlineStr">
        <is>
          <t>Meeting room needed?
قاعة اجتماعات؟</t>
        </is>
      </c>
      <c r="C18" s="75" t="n"/>
      <c r="D18" s="98" t="n"/>
      <c r="E18" s="99" t="inlineStr">
        <is>
          <t>Required</t>
        </is>
      </c>
    </row>
    <row r="19" ht="21.75" customHeight="1" s="66">
      <c r="A19" s="96" t="n">
        <v>11</v>
      </c>
      <c r="B19" s="97" t="inlineStr">
        <is>
          <t>Event / workshop space needed?
مساحة فعالية؟</t>
        </is>
      </c>
      <c r="C19" s="75" t="n"/>
      <c r="D19" s="98" t="n"/>
      <c r="E19" s="99" t="inlineStr">
        <is>
          <t>Required</t>
        </is>
      </c>
    </row>
    <row r="20" ht="21.75" customHeight="1" s="66">
      <c r="A20" s="96" t="n">
        <v>12</v>
      </c>
      <c r="B20" s="97" t="inlineStr">
        <is>
          <t>Mailing / registered address service?
خدمة عنوان بريدي؟</t>
        </is>
      </c>
      <c r="C20" s="75" t="n"/>
      <c r="D20" s="98" t="n"/>
      <c r="E20" s="99" t="inlineStr">
        <is>
          <t>Required</t>
        </is>
      </c>
    </row>
    <row r="21" ht="21.75" customHeight="1" s="66">
      <c r="A21" s="96" t="n">
        <v>13</v>
      </c>
      <c r="B21" s="97" t="inlineStr">
        <is>
          <t>Number of people / seats
عدد الأشخاص أو المقاعد</t>
        </is>
      </c>
      <c r="C21" s="75" t="n"/>
      <c r="D21" s="98" t="n"/>
      <c r="E21" s="99" t="inlineStr">
        <is>
          <t>Required</t>
        </is>
      </c>
    </row>
    <row r="22" ht="15" customHeight="1" s="66">
      <c r="A22" s="69" t="inlineStr">
        <is>
          <t>C. Timing &amp; frequency / التوقيت والتكرار</t>
        </is>
      </c>
    </row>
    <row r="23" ht="21.75" customHeight="1" s="66">
      <c r="A23" s="96" t="n">
        <v>14</v>
      </c>
      <c r="B23" s="97" t="inlineStr">
        <is>
          <t>Preferred start date
تاريخ البدء المفضل</t>
        </is>
      </c>
      <c r="C23" s="75" t="n"/>
      <c r="D23" s="103" t="n"/>
      <c r="E23" s="99" t="inlineStr">
        <is>
          <t>Required</t>
        </is>
      </c>
    </row>
    <row r="24" ht="21.75" customHeight="1" s="66">
      <c r="A24" s="96" t="n">
        <v>15</v>
      </c>
      <c r="B24" s="97" t="inlineStr">
        <is>
          <t>Frequency (days/week)
التكرار (أيام/أسبوع)</t>
        </is>
      </c>
      <c r="C24" s="75" t="n"/>
      <c r="D24" s="98" t="n"/>
      <c r="E24" s="99" t="inlineStr">
        <is>
          <t>Required</t>
        </is>
      </c>
    </row>
    <row r="25" ht="21.75" customHeight="1" s="66">
      <c r="A25" s="96" t="n">
        <v>16</v>
      </c>
      <c r="B25" s="97" t="inlineStr">
        <is>
          <t>Duration (one-off / weekly / monthly / yearly)
المدة</t>
        </is>
      </c>
      <c r="C25" s="75" t="n"/>
      <c r="D25" s="98" t="n"/>
      <c r="E25" s="99" t="inlineStr">
        <is>
          <t>Required</t>
        </is>
      </c>
    </row>
    <row r="26" ht="21.75" customHeight="1" s="66">
      <c r="A26" s="96" t="n">
        <v>17</v>
      </c>
      <c r="B26" s="97" t="inlineStr">
        <is>
          <t>Preferred hours
الأوقات المفضلة</t>
        </is>
      </c>
      <c r="C26" s="75" t="n"/>
      <c r="D26" s="98" t="n"/>
      <c r="E26" s="99" t="inlineStr">
        <is>
          <t>Required</t>
        </is>
      </c>
    </row>
    <row r="27" ht="15" customHeight="1" s="66">
      <c r="A27" s="69" t="inlineStr">
        <is>
          <t>D. Budget &amp; extras / الميزانية والإضافات</t>
        </is>
      </c>
    </row>
    <row r="28" ht="21.75" customHeight="1" s="66">
      <c r="A28" s="96" t="n">
        <v>18</v>
      </c>
      <c r="B28" s="97" t="inlineStr">
        <is>
          <t>Budget band (USD/month)
الميزانية ($ شهرياً)</t>
        </is>
      </c>
      <c r="C28" s="75" t="n"/>
      <c r="D28" s="98" t="n"/>
      <c r="E28" s="99" t="inlineStr">
        <is>
          <t>Required</t>
        </is>
      </c>
    </row>
    <row r="29" ht="21.75" customHeight="1" s="66">
      <c r="A29" s="96" t="n">
        <v>19</v>
      </c>
      <c r="B29" s="97" t="inlineStr">
        <is>
          <t>Need printing/scanning?
تحتاج طباعة/مسح ضوئي؟</t>
        </is>
      </c>
      <c r="C29" s="75" t="n"/>
      <c r="D29" s="98" t="n"/>
      <c r="E29" s="101" t="inlineStr">
        <is>
          <t>Optional</t>
        </is>
      </c>
    </row>
    <row r="30" ht="21.75" customHeight="1" s="66">
      <c r="A30" s="96" t="n">
        <v>20</v>
      </c>
      <c r="B30" s="97" t="inlineStr">
        <is>
          <t>Need F&amp;B (café package)?
تحتاج خدمة المقهى؟</t>
        </is>
      </c>
      <c r="C30" s="75" t="n"/>
      <c r="D30" s="98" t="n"/>
      <c r="E30" s="101" t="inlineStr">
        <is>
          <t>Optional</t>
        </is>
      </c>
    </row>
    <row r="31" ht="21.75" customHeight="1" s="66">
      <c r="A31" s="96" t="n">
        <v>21</v>
      </c>
      <c r="B31" s="97" t="inlineStr">
        <is>
          <t>Need after-hours access?
وصول خارج ساعات العمل؟</t>
        </is>
      </c>
      <c r="C31" s="75" t="n"/>
      <c r="D31" s="98" t="n"/>
      <c r="E31" s="101" t="inlineStr">
        <is>
          <t>Optional</t>
        </is>
      </c>
    </row>
    <row r="32" ht="15" customHeight="1" s="66">
      <c r="A32" s="69" t="inlineStr">
        <is>
          <t>E. Discovery / كيف عرفت المساحة</t>
        </is>
      </c>
    </row>
    <row r="33" ht="21.75" customHeight="1" s="66">
      <c r="A33" s="96" t="n">
        <v>22</v>
      </c>
      <c r="B33" s="97" t="inlineStr">
        <is>
          <t>Channel
القناة</t>
        </is>
      </c>
      <c r="C33" s="75" t="n"/>
      <c r="D33" s="98" t="n"/>
      <c r="E33" s="99" t="inlineStr">
        <is>
          <t>Required</t>
        </is>
      </c>
    </row>
    <row r="34" ht="21.75" customHeight="1" s="66">
      <c r="A34" s="96" t="n">
        <v>23</v>
      </c>
      <c r="B34" s="97" t="inlineStr">
        <is>
          <t>Referred by
بواسطة</t>
        </is>
      </c>
      <c r="C34" s="75" t="n"/>
      <c r="D34" s="98" t="n"/>
      <c r="E34" s="101" t="inlineStr">
        <is>
          <t>Optional</t>
        </is>
      </c>
    </row>
    <row r="35"/>
    <row r="36" ht="15" customHeight="1" s="66">
      <c r="A36" s="69" t="inlineStr">
        <is>
          <t>CONSENT &amp; SUBMISSION META / الموافقة وبيانات الإرسال</t>
        </is>
      </c>
    </row>
    <row r="37" ht="36" customHeight="1" s="66">
      <c r="A37" s="104" t="inlineStr">
        <is>
          <t>☐</t>
        </is>
      </c>
      <c r="B37" s="74" t="inlineStr">
        <is>
          <t>I consent to Kayan storing my data for EOI processing.
أوافق على احتفاظ كيان ببياناتي لمعالجة اهتمامي.</t>
        </is>
      </c>
      <c r="C37" s="75" t="n"/>
      <c r="D37" s="75" t="n"/>
      <c r="E37" s="105" t="inlineStr">
        <is>
          <t>Required</t>
        </is>
      </c>
    </row>
    <row r="38" ht="36" customHeight="1" s="66">
      <c r="A38" s="104" t="inlineStr">
        <is>
          <t>☐</t>
        </is>
      </c>
      <c r="B38" s="74" t="inlineStr">
        <is>
          <t>I agree to be contacted by Kayan through the channel I specified.
أوافق على أن تتواصل كيان معي عبر القناة التي اخترتها.</t>
        </is>
      </c>
      <c r="C38" s="75" t="n"/>
      <c r="D38" s="75" t="n"/>
      <c r="E38" s="105" t="inlineStr">
        <is>
          <t>Required</t>
        </is>
      </c>
    </row>
    <row r="39" ht="36" customHeight="1" s="66">
      <c r="A39" s="104" t="inlineStr">
        <is>
          <t>☐</t>
        </is>
      </c>
      <c r="B39" s="74" t="inlineStr">
        <is>
          <t>I confirm that all information provided is accurate to the best of my knowledge.
أؤكد أن جميع المعلومات دقيقة حسب معرفتي.</t>
        </is>
      </c>
      <c r="C39" s="75" t="n"/>
      <c r="D39" s="75" t="n"/>
      <c r="E39" s="105" t="inlineStr">
        <is>
          <t>Required</t>
        </is>
      </c>
    </row>
    <row r="40" ht="36" customHeight="1" s="66">
      <c r="A40" s="104" t="inlineStr">
        <is>
          <t>☐</t>
        </is>
      </c>
      <c r="B40" s="74" t="inlineStr">
        <is>
          <t>I am happy to receive updates (newsletter, events, opportunities).
أرغب في تلقي التحديثات (النشرة والأحداث والفرص).</t>
        </is>
      </c>
      <c r="C40" s="75" t="n"/>
      <c r="D40" s="75" t="n"/>
      <c r="E40" s="106" t="inlineStr">
        <is>
          <t>Optional</t>
        </is>
      </c>
    </row>
    <row r="41"/>
    <row r="42" ht="15" customHeight="1" s="66">
      <c r="A42" s="107" t="inlineStr">
        <is>
          <t>INTERNAL USE ONLY / لاستعمال الفريق فقط</t>
        </is>
      </c>
    </row>
    <row r="43" ht="24" customHeight="1" s="66">
      <c r="A43" s="108" t="n"/>
      <c r="B43" s="109" t="inlineStr">
        <is>
          <t>Submission ID (auto)
معرّف الطلب</t>
        </is>
      </c>
      <c r="C43" s="75" t="n"/>
      <c r="D43" s="110">
        <f>"KYN-HB-"&amp;TEXT(TODAY(),"YYYYMMDD")&amp;"-"&amp;TEXT(RANDBETWEEN(1000,9999),"0000")</f>
        <v/>
      </c>
      <c r="E43" s="111" t="inlineStr">
        <is>
          <t>Internal</t>
        </is>
      </c>
    </row>
    <row r="44" ht="24" customHeight="1" s="66">
      <c r="A44" s="108" t="n"/>
      <c r="B44" s="109" t="inlineStr">
        <is>
          <t>Received timestamp
تاريخ الاستلام</t>
        </is>
      </c>
      <c r="C44" s="75" t="n"/>
      <c r="D44" s="112">
        <f>NOW()</f>
        <v/>
      </c>
      <c r="E44" s="111" t="inlineStr">
        <is>
          <t>Internal</t>
        </is>
      </c>
    </row>
    <row r="45" ht="24" customHeight="1" s="66">
      <c r="A45" s="108" t="n"/>
      <c r="B45" s="109" t="inlineStr">
        <is>
          <t>Intake channel
قناة الاستلام</t>
        </is>
      </c>
      <c r="C45" s="75" t="n"/>
      <c r="D45" s="98" t="n"/>
      <c r="E45" s="111" t="inlineStr">
        <is>
          <t>Internal</t>
        </is>
      </c>
    </row>
    <row r="46" ht="24" customHeight="1" s="66">
      <c r="A46" s="108" t="n"/>
      <c r="B46" s="109" t="inlineStr">
        <is>
          <t>Assigned handler
الموظف المسؤول</t>
        </is>
      </c>
      <c r="C46" s="75" t="n"/>
      <c r="D46" s="98" t="n"/>
      <c r="E46" s="111" t="inlineStr">
        <is>
          <t>Internal</t>
        </is>
      </c>
    </row>
    <row r="47" ht="24" customHeight="1" s="66">
      <c r="A47" s="108" t="n"/>
      <c r="B47" s="109" t="inlineStr">
        <is>
          <t>Status
الحالة</t>
        </is>
      </c>
      <c r="C47" s="75" t="n"/>
      <c r="D47" s="98" t="n"/>
      <c r="E47" s="111" t="inlineStr">
        <is>
          <t>Internal</t>
        </is>
      </c>
    </row>
    <row r="48" ht="24" customHeight="1" s="66">
      <c r="A48" s="108" t="n"/>
      <c r="B48" s="109" t="inlineStr">
        <is>
          <t>Next action + due date
الإجراء التالي وتاريخه</t>
        </is>
      </c>
      <c r="C48" s="75" t="n"/>
      <c r="D48" s="98" t="n"/>
      <c r="E48" s="111" t="inlineStr">
        <is>
          <t>Internal</t>
        </is>
      </c>
    </row>
    <row r="49" ht="24" customHeight="1" s="66">
      <c r="A49" s="108" t="n"/>
      <c r="B49" s="109" t="inlineStr">
        <is>
          <t>Notes / comments
ملاحظات</t>
        </is>
      </c>
      <c r="C49" s="75" t="n"/>
      <c r="D49" s="98" t="n"/>
      <c r="E49" s="111" t="inlineStr">
        <is>
          <t>Internal</t>
        </is>
      </c>
    </row>
    <row r="50"/>
    <row r="51" ht="25.5" customHeight="1" s="66">
      <c r="A51" s="113" t="inlineStr">
        <is>
          <t>✦  PRE-LAUNCH TARGET: 20 hub EOIs / 8 anchor bookings by 31 May 2026  ·  Measured weekly on 17_KPI_DASH</t>
        </is>
      </c>
    </row>
  </sheetData>
  <mergeCells count="45">
    <mergeCell ref="B47:C47"/>
    <mergeCell ref="B16:C16"/>
    <mergeCell ref="B25:C25"/>
    <mergeCell ref="B46:C46"/>
    <mergeCell ref="A51:E51"/>
    <mergeCell ref="B31:C31"/>
    <mergeCell ref="A36:E36"/>
    <mergeCell ref="B18:C18"/>
    <mergeCell ref="B38:D38"/>
    <mergeCell ref="B43:C43"/>
    <mergeCell ref="B12:C12"/>
    <mergeCell ref="B21:C21"/>
    <mergeCell ref="B48:C48"/>
    <mergeCell ref="B37:D37"/>
    <mergeCell ref="A4:E5"/>
    <mergeCell ref="B11:C11"/>
    <mergeCell ref="A7:E7"/>
    <mergeCell ref="B23:C23"/>
    <mergeCell ref="B40:D40"/>
    <mergeCell ref="B14:C14"/>
    <mergeCell ref="B17:C17"/>
    <mergeCell ref="B8:C8"/>
    <mergeCell ref="A27:E27"/>
    <mergeCell ref="A3:E3"/>
    <mergeCell ref="B44:C44"/>
    <mergeCell ref="B29:C29"/>
    <mergeCell ref="B19:C19"/>
    <mergeCell ref="B34:C34"/>
    <mergeCell ref="A42:E42"/>
    <mergeCell ref="B10:C10"/>
    <mergeCell ref="B28:C28"/>
    <mergeCell ref="A1:E2"/>
    <mergeCell ref="A32:E32"/>
    <mergeCell ref="B9:C9"/>
    <mergeCell ref="A22:E22"/>
    <mergeCell ref="B49:C49"/>
    <mergeCell ref="B24:C24"/>
    <mergeCell ref="B30:C30"/>
    <mergeCell ref="B15:C15"/>
    <mergeCell ref="B33:C33"/>
    <mergeCell ref="B20:C20"/>
    <mergeCell ref="B45:C45"/>
    <mergeCell ref="A13:E13"/>
    <mergeCell ref="B26:C26"/>
    <mergeCell ref="B39:D39"/>
  </mergeCells>
  <dataValidations count="16">
    <dataValidation sqref="D21" showDropDown="0" showInputMessage="0" showErrorMessage="0" allowBlank="1" errorTitle="Number" error="Numbers only" type="decimal" errorStyle="stop" operator="greaterThanOrEqual">
      <formula1>0</formula1>
      <formula2>0</formula2>
    </dataValidation>
    <dataValidation sqref="D9" showDropDown="0" showInputMessage="0" showErrorMessage="0" allowBlank="1" errorTitle="Email" error="Enter a valid email" type="custom" errorStyle="stop" operator="between">
      <formula1>ISNUMBER(SEARCH("@",D9))</formula1>
      <formula2>0</formula2>
    </dataValidation>
    <dataValidation sqref="D15" showDropDown="0" showInputMessage="0" showErrorMessage="0" allowBlank="1" type="list" errorStyle="stop" operator="between">
      <formula1>YesNo</formula1>
      <formula2>0</formula2>
    </dataValidation>
    <dataValidation sqref="D16" showDropDown="0" showInputMessage="0" showErrorMessage="0" allowBlank="1" type="list" errorStyle="stop" operator="between">
      <formula1>YesNo</formula1>
      <formula2>0</formula2>
    </dataValidation>
    <dataValidation sqref="D17" showDropDown="0" showInputMessage="0" showErrorMessage="0" allowBlank="1" type="list" errorStyle="stop" operator="between">
      <formula1>YesNo</formula1>
      <formula2>0</formula2>
    </dataValidation>
    <dataValidation sqref="D18" showDropDown="0" showInputMessage="0" showErrorMessage="0" allowBlank="1" type="list" errorStyle="stop" operator="between">
      <formula1>YesNo</formula1>
      <formula2>0</formula2>
    </dataValidation>
    <dataValidation sqref="D19" showDropDown="0" showInputMessage="0" showErrorMessage="0" allowBlank="1" type="list" errorStyle="stop" operator="between">
      <formula1>YesNo</formula1>
      <formula2>0</formula2>
    </dataValidation>
    <dataValidation sqref="D20" showDropDown="0" showInputMessage="0" showErrorMessage="0" allowBlank="1" type="list" errorStyle="stop" operator="between">
      <formula1>YesNo</formula1>
      <formula2>0</formula2>
    </dataValidation>
    <dataValidation sqref="D23" showDropDown="0" showInputMessage="0" showErrorMessage="0" allowBlank="1" errorTitle="Date" error="Enter a valid date" type="date" errorStyle="stop" operator="between">
      <formula1>DATE(2020,1,1)</formula1>
      <formula2>DATE(2035,12,31)</formula2>
    </dataValidation>
    <dataValidation sqref="D28" showDropDown="0" showInputMessage="0" showErrorMessage="0" allowBlank="1" type="list" errorStyle="stop" operator="between">
      <formula1>BudgetBands</formula1>
      <formula2>0</formula2>
    </dataValidation>
    <dataValidation sqref="D29" showDropDown="0" showInputMessage="0" showErrorMessage="0" allowBlank="1" type="list" errorStyle="stop" operator="between">
      <formula1>YesNo</formula1>
      <formula2>0</formula2>
    </dataValidation>
    <dataValidation sqref="D30" showDropDown="0" showInputMessage="0" showErrorMessage="0" allowBlank="1" type="list" errorStyle="stop" operator="between">
      <formula1>YesNo</formula1>
      <formula2>0</formula2>
    </dataValidation>
    <dataValidation sqref="D31" showDropDown="0" showInputMessage="0" showErrorMessage="0" allowBlank="1" type="list" errorStyle="stop" operator="between">
      <formula1>YesNo</formula1>
      <formula2>0</formula2>
    </dataValidation>
    <dataValidation sqref="D33" showDropDown="0" showInputMessage="0" showErrorMessage="0" allowBlank="1" type="list" errorStyle="stop" operator="between">
      <formula1>Channels</formula1>
      <formula2>0</formula2>
    </dataValidation>
    <dataValidation sqref="D45" showDropDown="0" showInputMessage="0" showErrorMessage="0" allowBlank="1" type="list" errorStyle="stop" operator="between">
      <formula1>Channels</formula1>
      <formula2>0</formula2>
    </dataValidation>
    <dataValidation sqref="D47"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1"/>
  </sheetPr>
  <dimension ref="A1:E65"/>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CLIENT — FULL REGISTRATION (Day 1+)
التسجيل الكامل للعميل (بعد الإطلاق)</t>
        </is>
      </c>
    </row>
    <row r="2" ht="15" customHeight="1" s="66"/>
    <row r="3" ht="15" customHeight="1" s="66">
      <c r="A3" s="68" t="inlineStr">
        <is>
          <t>Sheet code: CLF  ·  Version: v1.0  ·  Bilingual AR/EN  ·  Mobile + WhatsApp compatible  ·  Constitutional FX: dated Aden market rate</t>
        </is>
      </c>
    </row>
    <row r="4" ht="27.75" customHeight="1" s="66">
      <c r="A4" s="95" t="inlineStr">
        <is>
          <t>Activated on platform opening (01 Jun 2026). Completes KYC / UBO / sanctions / MSA / escrow acceptance. A case manager (Kayan handler) reviews and moves the file through Gates G0 → G3 within 5 business days.
يُفعَّل مع افتتاح المنصة (1 يونيو 2026). يُكمل إجراءات اعرف عميلك والمستفيد والعقوبات والاتفاقية الإطارية والضمان. يراجع مدير الحالة الملف وينقله عبر البوابات G0 → G3 خلال 5 أيام عمل.</t>
        </is>
      </c>
    </row>
    <row r="5" ht="27.75" customHeight="1" s="66"/>
    <row r="6"/>
    <row r="7" ht="15" customHeight="1" s="66">
      <c r="A7" s="69" t="inlineStr">
        <is>
          <t>A. Corporate identity / هوية الشركة</t>
        </is>
      </c>
    </row>
    <row r="8" ht="21.75" customHeight="1" s="66">
      <c r="A8" s="96" t="n">
        <v>1</v>
      </c>
      <c r="B8" s="97" t="inlineStr">
        <is>
          <t>Legal company name
الاسم القانوني للشركة</t>
        </is>
      </c>
      <c r="C8" s="75" t="n"/>
      <c r="D8" s="98" t="n"/>
      <c r="E8" s="99" t="inlineStr">
        <is>
          <t>Required</t>
        </is>
      </c>
    </row>
    <row r="9" ht="21.75" customHeight="1" s="66">
      <c r="A9" s="96" t="n">
        <v>2</v>
      </c>
      <c r="B9" s="97" t="inlineStr">
        <is>
          <t>Trade name (if different)
الاسم التجاري (إن اختلف)</t>
        </is>
      </c>
      <c r="C9" s="75" t="n"/>
      <c r="D9" s="98" t="n"/>
      <c r="E9" s="101" t="inlineStr">
        <is>
          <t>Optional</t>
        </is>
      </c>
    </row>
    <row r="10" ht="21.75" customHeight="1" s="66">
      <c r="A10" s="96" t="n">
        <v>3</v>
      </c>
      <c r="B10" s="97" t="inlineStr">
        <is>
          <t>Commercial registration #
رقم السجل التجاري</t>
        </is>
      </c>
      <c r="C10" s="75" t="n"/>
      <c r="D10" s="98" t="n"/>
      <c r="E10" s="99" t="inlineStr">
        <is>
          <t>Required</t>
        </is>
      </c>
    </row>
    <row r="11" ht="21.75" customHeight="1" s="66">
      <c r="A11" s="96" t="n">
        <v>4</v>
      </c>
      <c r="B11" s="97" t="inlineStr">
        <is>
          <t>Country of registration
بلد التسجيل</t>
        </is>
      </c>
      <c r="C11" s="75" t="n"/>
      <c r="D11" s="98" t="n"/>
      <c r="E11" s="99" t="inlineStr">
        <is>
          <t>Required</t>
        </is>
      </c>
    </row>
    <row r="12" ht="48" customHeight="1" s="66">
      <c r="A12" s="96" t="n">
        <v>5</v>
      </c>
      <c r="B12" s="97" t="inlineStr">
        <is>
          <t>Registered address (street, city, country)
العنوان المسجل</t>
        </is>
      </c>
      <c r="C12" s="75" t="n"/>
      <c r="D12" s="102" t="n"/>
      <c r="E12" s="99" t="inlineStr">
        <is>
          <t>Required</t>
        </is>
      </c>
    </row>
    <row r="13" ht="21.75" customHeight="1" s="66">
      <c r="A13" s="96" t="n">
        <v>6</v>
      </c>
      <c r="B13" s="97" t="inlineStr">
        <is>
          <t>Tax ID / VAT (if applicable)
الرقم الضريبي</t>
        </is>
      </c>
      <c r="C13" s="75" t="n"/>
      <c r="D13" s="98" t="n"/>
      <c r="E13" s="101" t="inlineStr">
        <is>
          <t>Optional</t>
        </is>
      </c>
    </row>
    <row r="14" ht="21.75" customHeight="1" s="66">
      <c r="A14" s="96" t="n">
        <v>7</v>
      </c>
      <c r="B14" s="97" t="inlineStr">
        <is>
          <t>Year founded
سنة التأسيس</t>
        </is>
      </c>
      <c r="C14" s="75" t="n"/>
      <c r="D14" s="98" t="n"/>
      <c r="E14" s="99" t="inlineStr">
        <is>
          <t>Required</t>
        </is>
      </c>
    </row>
    <row r="15" ht="21.75" customHeight="1" s="66">
      <c r="A15" s="96" t="n">
        <v>8</v>
      </c>
      <c r="B15" s="97" t="inlineStr">
        <is>
          <t>Industry
القطاع</t>
        </is>
      </c>
      <c r="C15" s="75" t="n"/>
      <c r="D15" s="98" t="n"/>
      <c r="E15" s="99" t="inlineStr">
        <is>
          <t>Required</t>
        </is>
      </c>
    </row>
    <row r="16" ht="21.75" customHeight="1" s="66">
      <c r="A16" s="96" t="n">
        <v>9</v>
      </c>
      <c r="B16" s="97" t="inlineStr">
        <is>
          <t>Company size
حجم الشركة</t>
        </is>
      </c>
      <c r="C16" s="75" t="n"/>
      <c r="D16" s="98" t="n"/>
      <c r="E16" s="99" t="inlineStr">
        <is>
          <t>Required</t>
        </is>
      </c>
    </row>
    <row r="17" ht="21.75" customHeight="1" s="66">
      <c r="A17" s="96" t="n">
        <v>10</v>
      </c>
      <c r="B17" s="97" t="inlineStr">
        <is>
          <t>Website
الموقع الإلكتروني</t>
        </is>
      </c>
      <c r="C17" s="75" t="n"/>
      <c r="D17" s="98" t="n"/>
      <c r="E17" s="101" t="inlineStr">
        <is>
          <t>Optional</t>
        </is>
      </c>
    </row>
    <row r="18" ht="15" customHeight="1" s="66">
      <c r="A18" s="69" t="inlineStr">
        <is>
          <t>B. Beneficial owners (UBO) / الملاك المستفيدون</t>
        </is>
      </c>
    </row>
    <row r="19" ht="21.75" customHeight="1" s="66">
      <c r="A19" s="96" t="n">
        <v>11</v>
      </c>
      <c r="B19" s="97" t="inlineStr">
        <is>
          <t>UBO 1 — full legal name
المستفيد 1 — الاسم القانوني</t>
        </is>
      </c>
      <c r="C19" s="75" t="n"/>
      <c r="D19" s="98" t="n"/>
      <c r="E19" s="99" t="inlineStr">
        <is>
          <t>Required</t>
        </is>
      </c>
    </row>
    <row r="20" ht="21.75" customHeight="1" s="66">
      <c r="A20" s="96" t="n">
        <v>12</v>
      </c>
      <c r="B20" s="97" t="inlineStr">
        <is>
          <t>UBO 1 — nationality
المستفيد 1 — الجنسية</t>
        </is>
      </c>
      <c r="C20" s="75" t="n"/>
      <c r="D20" s="98" t="n"/>
      <c r="E20" s="99" t="inlineStr">
        <is>
          <t>Required</t>
        </is>
      </c>
    </row>
    <row r="21" ht="21.75" customHeight="1" s="66">
      <c r="A21" s="96" t="n">
        <v>13</v>
      </c>
      <c r="B21" s="97" t="inlineStr">
        <is>
          <t>UBO 1 — ownership %
المستفيد 1 — نسبة الملكية</t>
        </is>
      </c>
      <c r="C21" s="75" t="n"/>
      <c r="D21" s="98" t="n"/>
      <c r="E21" s="99" t="inlineStr">
        <is>
          <t>Required</t>
        </is>
      </c>
    </row>
    <row r="22" ht="21.75" customHeight="1" s="66">
      <c r="A22" s="96" t="n">
        <v>14</v>
      </c>
      <c r="B22" s="97" t="inlineStr">
        <is>
          <t>UBO 2 — full legal name (if any)
المستفيد 2 — الاسم (إن وجد)</t>
        </is>
      </c>
      <c r="C22" s="75" t="n"/>
      <c r="D22" s="98" t="n"/>
      <c r="E22" s="101" t="inlineStr">
        <is>
          <t>Optional</t>
        </is>
      </c>
    </row>
    <row r="23" ht="21.75" customHeight="1" s="66">
      <c r="A23" s="96" t="n">
        <v>15</v>
      </c>
      <c r="B23" s="97" t="inlineStr">
        <is>
          <t>UBO 2 — nationality
المستفيد 2 — الجنسية</t>
        </is>
      </c>
      <c r="C23" s="75" t="n"/>
      <c r="D23" s="98" t="n"/>
      <c r="E23" s="101" t="inlineStr">
        <is>
          <t>Optional</t>
        </is>
      </c>
    </row>
    <row r="24" ht="21.75" customHeight="1" s="66">
      <c r="A24" s="96" t="n">
        <v>16</v>
      </c>
      <c r="B24" s="97" t="inlineStr">
        <is>
          <t>UBO 2 — ownership %
المستفيد 2 — النسبة</t>
        </is>
      </c>
      <c r="C24" s="75" t="n"/>
      <c r="D24" s="98" t="n"/>
      <c r="E24" s="101" t="inlineStr">
        <is>
          <t>Optional</t>
        </is>
      </c>
    </row>
    <row r="25" ht="21.75" customHeight="1" s="66">
      <c r="A25" s="96" t="n">
        <v>17</v>
      </c>
      <c r="B25" s="97" t="inlineStr">
        <is>
          <t>Any UBO a Politically Exposed Person (PEP)?
هل أحد الملاك شخصية معرّضة سياسياً؟</t>
        </is>
      </c>
      <c r="C25" s="75" t="n"/>
      <c r="D25" s="98" t="n"/>
      <c r="E25" s="99" t="inlineStr">
        <is>
          <t>Required</t>
        </is>
      </c>
    </row>
    <row r="26" ht="15" customHeight="1" s="66">
      <c r="A26" s="69" t="inlineStr">
        <is>
          <t>C. Primary contact / جهة التواصل الرئيسية</t>
        </is>
      </c>
    </row>
    <row r="27" ht="21.75" customHeight="1" s="66">
      <c r="A27" s="96" t="n">
        <v>18</v>
      </c>
      <c r="B27" s="97" t="inlineStr">
        <is>
          <t>Full name
الاسم الكامل</t>
        </is>
      </c>
      <c r="C27" s="75" t="n"/>
      <c r="D27" s="98" t="n"/>
      <c r="E27" s="99" t="inlineStr">
        <is>
          <t>Required</t>
        </is>
      </c>
    </row>
    <row r="28" ht="21.75" customHeight="1" s="66">
      <c r="A28" s="96" t="n">
        <v>19</v>
      </c>
      <c r="B28" s="97" t="inlineStr">
        <is>
          <t>Role
المنصب</t>
        </is>
      </c>
      <c r="C28" s="75" t="n"/>
      <c r="D28" s="98" t="n"/>
      <c r="E28" s="99" t="inlineStr">
        <is>
          <t>Required</t>
        </is>
      </c>
    </row>
    <row r="29" ht="21.75" customHeight="1" s="66">
      <c r="A29" s="96" t="n">
        <v>20</v>
      </c>
      <c r="B29" s="97" t="inlineStr">
        <is>
          <t>Work email
البريد الإلكتروني</t>
        </is>
      </c>
      <c r="C29" s="75" t="n"/>
      <c r="D29" s="98" t="n"/>
      <c r="E29" s="99" t="inlineStr">
        <is>
          <t>Required</t>
        </is>
      </c>
    </row>
    <row r="30" ht="21.75" customHeight="1" s="66">
      <c r="A30" s="96" t="n">
        <v>21</v>
      </c>
      <c r="B30" s="97" t="inlineStr">
        <is>
          <t>Mobile / WhatsApp
الجوال / واتساب</t>
        </is>
      </c>
      <c r="C30" s="75" t="n"/>
      <c r="D30" s="100" t="n"/>
      <c r="E30" s="99" t="inlineStr">
        <is>
          <t>Required</t>
        </is>
      </c>
    </row>
    <row r="31" ht="21.75" customHeight="1" s="66">
      <c r="A31" s="96" t="n">
        <v>22</v>
      </c>
      <c r="B31" s="97" t="inlineStr">
        <is>
          <t>Signature authority (can sign SOW)?
صلاحية التوقيع</t>
        </is>
      </c>
      <c r="C31" s="75" t="n"/>
      <c r="D31" s="98" t="n"/>
      <c r="E31" s="99" t="inlineStr">
        <is>
          <t>Required</t>
        </is>
      </c>
    </row>
    <row r="32" ht="15" customHeight="1" s="66">
      <c r="A32" s="69" t="inlineStr">
        <is>
          <t>D. Finance / الشؤون المالية</t>
        </is>
      </c>
    </row>
    <row r="33" ht="21.75" customHeight="1" s="66">
      <c r="A33" s="96" t="n">
        <v>23</v>
      </c>
      <c r="B33" s="97" t="inlineStr">
        <is>
          <t>Finance contact name
اسم مسؤول المالية</t>
        </is>
      </c>
      <c r="C33" s="75" t="n"/>
      <c r="D33" s="98" t="n"/>
      <c r="E33" s="99" t="inlineStr">
        <is>
          <t>Required</t>
        </is>
      </c>
    </row>
    <row r="34" ht="21.75" customHeight="1" s="66">
      <c r="A34" s="96" t="n">
        <v>24</v>
      </c>
      <c r="B34" s="97" t="inlineStr">
        <is>
          <t>Finance email
بريد المالية</t>
        </is>
      </c>
      <c r="C34" s="75" t="n"/>
      <c r="D34" s="98" t="n"/>
      <c r="E34" s="99" t="inlineStr">
        <is>
          <t>Required</t>
        </is>
      </c>
    </row>
    <row r="35" ht="21.75" customHeight="1" s="66">
      <c r="A35" s="96" t="n">
        <v>25</v>
      </c>
      <c r="B35" s="97" t="inlineStr">
        <is>
          <t>Preferred invoice currency
عملة الفاتورة المفضلة</t>
        </is>
      </c>
      <c r="C35" s="75" t="n"/>
      <c r="D35" s="98" t="n"/>
      <c r="E35" s="99" t="inlineStr">
        <is>
          <t>Required</t>
        </is>
      </c>
    </row>
    <row r="36" ht="21.75" customHeight="1" s="66">
      <c r="A36" s="96" t="n">
        <v>26</v>
      </c>
      <c r="B36" s="97" t="inlineStr">
        <is>
          <t>Payment terms needed (Net X)
شروط الدفع</t>
        </is>
      </c>
      <c r="C36" s="75" t="n"/>
      <c r="D36" s="98" t="n"/>
      <c r="E36" s="99" t="inlineStr">
        <is>
          <t>Required</t>
        </is>
      </c>
    </row>
    <row r="37" ht="21.75" customHeight="1" s="66">
      <c r="A37" s="96" t="n">
        <v>27</v>
      </c>
      <c r="B37" s="97" t="inlineStr">
        <is>
          <t>Bank name
اسم البنك</t>
        </is>
      </c>
      <c r="C37" s="75" t="n"/>
      <c r="D37" s="98" t="n"/>
      <c r="E37" s="99" t="inlineStr">
        <is>
          <t>Required</t>
        </is>
      </c>
    </row>
    <row r="38" ht="21.75" customHeight="1" s="66">
      <c r="A38" s="96" t="n">
        <v>28</v>
      </c>
      <c r="B38" s="97" t="inlineStr">
        <is>
          <t>Bank country
بلد البنك</t>
        </is>
      </c>
      <c r="C38" s="75" t="n"/>
      <c r="D38" s="98" t="n"/>
      <c r="E38" s="99" t="inlineStr">
        <is>
          <t>Required</t>
        </is>
      </c>
    </row>
    <row r="39" ht="15" customHeight="1" s="66">
      <c r="A39" s="69" t="inlineStr">
        <is>
          <t>E. Compliance / الالتزام</t>
        </is>
      </c>
    </row>
    <row r="40" ht="21.75" customHeight="1" s="66">
      <c r="A40" s="96" t="n">
        <v>29</v>
      </c>
      <c r="B40" s="97" t="inlineStr">
        <is>
          <t>Confirmed AML / sanctions declaration?
إقرار مكافحة غسل الأموال والعقوبات؟</t>
        </is>
      </c>
      <c r="C40" s="75" t="n"/>
      <c r="D40" s="98" t="n"/>
      <c r="E40" s="99" t="inlineStr">
        <is>
          <t>Required</t>
        </is>
      </c>
    </row>
    <row r="41" ht="21.75" customHeight="1" s="66">
      <c r="A41" s="96" t="n">
        <v>30</v>
      </c>
      <c r="B41" s="97" t="inlineStr">
        <is>
          <t>Accept Kayan Master Services Agreement?
قبول اتفاقية الخدمات الإطارية؟</t>
        </is>
      </c>
      <c r="C41" s="75" t="n"/>
      <c r="D41" s="98" t="n"/>
      <c r="E41" s="99" t="inlineStr">
        <is>
          <t>Required</t>
        </is>
      </c>
    </row>
    <row r="42" ht="21.75" customHeight="1" s="66">
      <c r="A42" s="96" t="n">
        <v>31</v>
      </c>
      <c r="B42" s="97" t="inlineStr">
        <is>
          <t>Accept 2170 escrow model?
قبول نموذج الضمان 2170؟</t>
        </is>
      </c>
      <c r="C42" s="75" t="n"/>
      <c r="D42" s="98" t="n"/>
      <c r="E42" s="99" t="inlineStr">
        <is>
          <t>Required</t>
        </is>
      </c>
    </row>
    <row r="43" ht="21.75" customHeight="1" s="66">
      <c r="A43" s="96" t="n">
        <v>32</v>
      </c>
      <c r="B43" s="97" t="inlineStr">
        <is>
          <t>Data protection consent (GDPR-equivalent)
موافقة حماية البيانات</t>
        </is>
      </c>
      <c r="C43" s="75" t="n"/>
      <c r="D43" s="98" t="n"/>
      <c r="E43" s="99" t="inlineStr">
        <is>
          <t>Required</t>
        </is>
      </c>
    </row>
    <row r="44" ht="15" customHeight="1" s="66">
      <c r="A44" s="69" t="inlineStr">
        <is>
          <t>F. Documents uploaded / المستندات المرفقة</t>
        </is>
      </c>
    </row>
    <row r="45" ht="21.75" customHeight="1" s="66">
      <c r="A45" s="96" t="n">
        <v>33</v>
      </c>
      <c r="B45" s="97" t="inlineStr">
        <is>
          <t>Commercial registration certificate (PDF)
شهادة السجل التجاري</t>
        </is>
      </c>
      <c r="C45" s="75" t="n"/>
      <c r="D45" s="98" t="n"/>
      <c r="E45" s="99" t="inlineStr">
        <is>
          <t>Required</t>
        </is>
      </c>
    </row>
    <row r="46" ht="21.75" customHeight="1" s="66">
      <c r="A46" s="96" t="n">
        <v>34</v>
      </c>
      <c r="B46" s="97" t="inlineStr">
        <is>
          <t>UBO declaration (signed PDF)
إقرار المستفيد (موقّع)</t>
        </is>
      </c>
      <c r="C46" s="75" t="n"/>
      <c r="D46" s="98" t="n"/>
      <c r="E46" s="99" t="inlineStr">
        <is>
          <t>Required</t>
        </is>
      </c>
    </row>
    <row r="47" ht="21.75" customHeight="1" s="66">
      <c r="A47" s="96" t="n">
        <v>35</v>
      </c>
      <c r="B47" s="97" t="inlineStr">
        <is>
          <t>Primary contact ID (passport/ID)
هوية جهة الاتصال</t>
        </is>
      </c>
      <c r="C47" s="75" t="n"/>
      <c r="D47" s="98" t="n"/>
      <c r="E47" s="99" t="inlineStr">
        <is>
          <t>Required</t>
        </is>
      </c>
    </row>
    <row r="48" ht="21.75" customHeight="1" s="66">
      <c r="A48" s="96" t="n">
        <v>36</v>
      </c>
      <c r="B48" s="97" t="inlineStr">
        <is>
          <t>Tax certificate (if applicable)
الشهادة الضريبية</t>
        </is>
      </c>
      <c r="C48" s="75" t="n"/>
      <c r="D48" s="98" t="n"/>
      <c r="E48" s="101" t="inlineStr">
        <is>
          <t>Optional</t>
        </is>
      </c>
    </row>
    <row r="49"/>
    <row r="50" ht="15" customHeight="1" s="66">
      <c r="A50" s="69" t="inlineStr">
        <is>
          <t>CONSENT &amp; SUBMISSION META / الموافقة وبيانات الإرسال</t>
        </is>
      </c>
    </row>
    <row r="51" ht="36" customHeight="1" s="66">
      <c r="A51" s="104" t="inlineStr">
        <is>
          <t>☐</t>
        </is>
      </c>
      <c r="B51" s="74" t="inlineStr">
        <is>
          <t>I consent to Kayan storing my data for EOI processing.
أوافق على احتفاظ كيان ببياناتي لمعالجة اهتمامي.</t>
        </is>
      </c>
      <c r="C51" s="75" t="n"/>
      <c r="D51" s="75" t="n"/>
      <c r="E51" s="105" t="inlineStr">
        <is>
          <t>Required</t>
        </is>
      </c>
    </row>
    <row r="52" ht="36" customHeight="1" s="66">
      <c r="A52" s="104" t="inlineStr">
        <is>
          <t>☐</t>
        </is>
      </c>
      <c r="B52" s="74" t="inlineStr">
        <is>
          <t>I agree to be contacted by Kayan through the channel I specified.
أوافق على أن تتواصل كيان معي عبر القناة التي اخترتها.</t>
        </is>
      </c>
      <c r="C52" s="75" t="n"/>
      <c r="D52" s="75" t="n"/>
      <c r="E52" s="105" t="inlineStr">
        <is>
          <t>Required</t>
        </is>
      </c>
    </row>
    <row r="53" ht="36" customHeight="1" s="66">
      <c r="A53" s="104" t="inlineStr">
        <is>
          <t>☐</t>
        </is>
      </c>
      <c r="B53" s="74" t="inlineStr">
        <is>
          <t>I confirm that all information provided is accurate to the best of my knowledge.
أؤكد أن جميع المعلومات دقيقة حسب معرفتي.</t>
        </is>
      </c>
      <c r="C53" s="75" t="n"/>
      <c r="D53" s="75" t="n"/>
      <c r="E53" s="105" t="inlineStr">
        <is>
          <t>Required</t>
        </is>
      </c>
    </row>
    <row r="54" ht="36" customHeight="1" s="66">
      <c r="A54" s="104" t="inlineStr">
        <is>
          <t>☐</t>
        </is>
      </c>
      <c r="B54" s="74" t="inlineStr">
        <is>
          <t>I am happy to receive updates (newsletter, events, opportunities).
أرغب في تلقي التحديثات (النشرة والأحداث والفرص).</t>
        </is>
      </c>
      <c r="C54" s="75" t="n"/>
      <c r="D54" s="75" t="n"/>
      <c r="E54" s="106" t="inlineStr">
        <is>
          <t>Optional</t>
        </is>
      </c>
    </row>
    <row r="55"/>
    <row r="56" ht="15" customHeight="1" s="66">
      <c r="A56" s="107" t="inlineStr">
        <is>
          <t>INTERNAL USE ONLY / لاستعمال الفريق فقط</t>
        </is>
      </c>
    </row>
    <row r="57" ht="24" customHeight="1" s="66">
      <c r="A57" s="108" t="n"/>
      <c r="B57" s="109" t="inlineStr">
        <is>
          <t>Submission ID (auto)
معرّف الطلب</t>
        </is>
      </c>
      <c r="C57" s="75" t="n"/>
      <c r="D57" s="110">
        <f>"KYN-CLF-"&amp;TEXT(TODAY(),"YYYYMMDD")&amp;"-"&amp;TEXT(RANDBETWEEN(1000,9999),"0000")</f>
        <v/>
      </c>
      <c r="E57" s="111" t="inlineStr">
        <is>
          <t>Internal</t>
        </is>
      </c>
    </row>
    <row r="58" ht="24" customHeight="1" s="66">
      <c r="A58" s="108" t="n"/>
      <c r="B58" s="109" t="inlineStr">
        <is>
          <t>Received timestamp
تاريخ الاستلام</t>
        </is>
      </c>
      <c r="C58" s="75" t="n"/>
      <c r="D58" s="112">
        <f>NOW()</f>
        <v/>
      </c>
      <c r="E58" s="111" t="inlineStr">
        <is>
          <t>Internal</t>
        </is>
      </c>
    </row>
    <row r="59" ht="24" customHeight="1" s="66">
      <c r="A59" s="108" t="n"/>
      <c r="B59" s="109" t="inlineStr">
        <is>
          <t>Intake channel
قناة الاستلام</t>
        </is>
      </c>
      <c r="C59" s="75" t="n"/>
      <c r="D59" s="98" t="n"/>
      <c r="E59" s="111" t="inlineStr">
        <is>
          <t>Internal</t>
        </is>
      </c>
    </row>
    <row r="60" ht="24" customHeight="1" s="66">
      <c r="A60" s="108" t="n"/>
      <c r="B60" s="109" t="inlineStr">
        <is>
          <t>Assigned handler
الموظف المسؤول</t>
        </is>
      </c>
      <c r="C60" s="75" t="n"/>
      <c r="D60" s="98" t="n"/>
      <c r="E60" s="111" t="inlineStr">
        <is>
          <t>Internal</t>
        </is>
      </c>
    </row>
    <row r="61" ht="24" customHeight="1" s="66">
      <c r="A61" s="108" t="n"/>
      <c r="B61" s="109" t="inlineStr">
        <is>
          <t>Status
الحالة</t>
        </is>
      </c>
      <c r="C61" s="75" t="n"/>
      <c r="D61" s="98" t="n"/>
      <c r="E61" s="111" t="inlineStr">
        <is>
          <t>Internal</t>
        </is>
      </c>
    </row>
    <row r="62" ht="24" customHeight="1" s="66">
      <c r="A62" s="108" t="n"/>
      <c r="B62" s="109" t="inlineStr">
        <is>
          <t>Next action + due date
الإجراء التالي وتاريخه</t>
        </is>
      </c>
      <c r="C62" s="75" t="n"/>
      <c r="D62" s="98" t="n"/>
      <c r="E62" s="111" t="inlineStr">
        <is>
          <t>Internal</t>
        </is>
      </c>
    </row>
    <row r="63" ht="24" customHeight="1" s="66">
      <c r="A63" s="108" t="n"/>
      <c r="B63" s="109" t="inlineStr">
        <is>
          <t>Notes / comments
ملاحظات</t>
        </is>
      </c>
      <c r="C63" s="75" t="n"/>
      <c r="D63" s="98" t="n"/>
      <c r="E63" s="111" t="inlineStr">
        <is>
          <t>Internal</t>
        </is>
      </c>
    </row>
    <row r="64"/>
    <row r="65" ht="25.5" customHeight="1" s="66">
      <c r="A65" s="113" t="inlineStr">
        <is>
          <t>✦  PRE-LAUNCH TARGET: First 10 full registrations by 15 Jun 2026  ·  Measured weekly on 17_KPI_DASH</t>
        </is>
      </c>
    </row>
  </sheetData>
  <mergeCells count="59">
    <mergeCell ref="A39:E39"/>
    <mergeCell ref="B47:C47"/>
    <mergeCell ref="B16:C16"/>
    <mergeCell ref="B62:C62"/>
    <mergeCell ref="B25:C25"/>
    <mergeCell ref="B59:C59"/>
    <mergeCell ref="B46:C46"/>
    <mergeCell ref="B22:C22"/>
    <mergeCell ref="B53:D53"/>
    <mergeCell ref="B31:C31"/>
    <mergeCell ref="B27:C27"/>
    <mergeCell ref="B43:C43"/>
    <mergeCell ref="B58:C58"/>
    <mergeCell ref="B12:C12"/>
    <mergeCell ref="B21:C21"/>
    <mergeCell ref="B48:C48"/>
    <mergeCell ref="A65:E65"/>
    <mergeCell ref="A4:E5"/>
    <mergeCell ref="B11:C11"/>
    <mergeCell ref="A7:E7"/>
    <mergeCell ref="B42:C42"/>
    <mergeCell ref="B23:C23"/>
    <mergeCell ref="B61:C61"/>
    <mergeCell ref="B14:C14"/>
    <mergeCell ref="B60:C60"/>
    <mergeCell ref="B17:C17"/>
    <mergeCell ref="B57:C57"/>
    <mergeCell ref="B8:C8"/>
    <mergeCell ref="A18:E18"/>
    <mergeCell ref="B51:D51"/>
    <mergeCell ref="A56:E56"/>
    <mergeCell ref="A3:E3"/>
    <mergeCell ref="B13:C13"/>
    <mergeCell ref="B38:C38"/>
    <mergeCell ref="A50:E50"/>
    <mergeCell ref="A26:E26"/>
    <mergeCell ref="B29:C29"/>
    <mergeCell ref="B19:C19"/>
    <mergeCell ref="B34:C34"/>
    <mergeCell ref="B37:C37"/>
    <mergeCell ref="B10:C10"/>
    <mergeCell ref="B28:C28"/>
    <mergeCell ref="B41:C41"/>
    <mergeCell ref="A1:E2"/>
    <mergeCell ref="A32:E32"/>
    <mergeCell ref="B40:C40"/>
    <mergeCell ref="B9:C9"/>
    <mergeCell ref="B54:D54"/>
    <mergeCell ref="B24:C24"/>
    <mergeCell ref="B30:C30"/>
    <mergeCell ref="B15:C15"/>
    <mergeCell ref="B33:C33"/>
    <mergeCell ref="B20:C20"/>
    <mergeCell ref="B45:C45"/>
    <mergeCell ref="B36:C36"/>
    <mergeCell ref="B52:D52"/>
    <mergeCell ref="B63:C63"/>
    <mergeCell ref="A44:E44"/>
    <mergeCell ref="B35:C35"/>
  </mergeCells>
  <dataValidations count="16">
    <dataValidation sqref="D14 D21 D24" showDropDown="0" showInputMessage="0" showErrorMessage="0" allowBlank="1" errorTitle="Number" error="Numbers only" type="decimal" errorStyle="stop" operator="greaterThanOrEqual">
      <formula1>0</formula1>
      <formula2>0</formula2>
    </dataValidation>
    <dataValidation sqref="D11" showDropDown="0" showInputMessage="0" showErrorMessage="0" allowBlank="1" type="list" errorStyle="stop" operator="between">
      <formula1>Countries</formula1>
      <formula2>0</formula2>
    </dataValidation>
    <dataValidation sqref="D15" showDropDown="0" showInputMessage="0" showErrorMessage="0" allowBlank="1" type="list" errorStyle="stop" operator="between">
      <formula1>Industries</formula1>
      <formula2>0</formula2>
    </dataValidation>
    <dataValidation sqref="D16" showDropDown="0" showInputMessage="0" showErrorMessage="0" allowBlank="1" type="list" errorStyle="stop" operator="between">
      <formula1>OrgSizes</formula1>
      <formula2>0</formula2>
    </dataValidation>
    <dataValidation sqref="D25" showDropDown="0" showInputMessage="0" showErrorMessage="0" allowBlank="1" type="list" errorStyle="stop" operator="between">
      <formula1>YesNo</formula1>
      <formula2>0</formula2>
    </dataValidation>
    <dataValidation sqref="D29" showDropDown="0" showInputMessage="0" showErrorMessage="0" allowBlank="1" errorTitle="Email" error="Enter a valid email" type="custom" errorStyle="stop" operator="between">
      <formula1>ISNUMBER(SEARCH("@",D29))</formula1>
      <formula2>0</formula2>
    </dataValidation>
    <dataValidation sqref="D31" showDropDown="0" showInputMessage="0" showErrorMessage="0" allowBlank="1" type="list" errorStyle="stop" operator="between">
      <formula1>YesNo</formula1>
      <formula2>0</formula2>
    </dataValidation>
    <dataValidation sqref="D34" showDropDown="0" showInputMessage="0" showErrorMessage="0" allowBlank="1" errorTitle="Email" error="Enter a valid email" type="custom" errorStyle="stop" operator="between">
      <formula1>ISNUMBER(SEARCH("@",D34))</formula1>
      <formula2>0</formula2>
    </dataValidation>
    <dataValidation sqref="D35" showDropDown="0" showInputMessage="0" showErrorMessage="0" allowBlank="1" type="list" errorStyle="stop" operator="between">
      <formula1>Currencies</formula1>
      <formula2>0</formula2>
    </dataValidation>
    <dataValidation sqref="D38" showDropDown="0" showInputMessage="0" showErrorMessage="0" allowBlank="1" type="list" errorStyle="stop" operator="between">
      <formula1>Countries</formula1>
      <formula2>0</formula2>
    </dataValidation>
    <dataValidation sqref="D40" showDropDown="0" showInputMessage="0" showErrorMessage="0" allowBlank="1" type="list" errorStyle="stop" operator="between">
      <formula1>YesNo</formula1>
      <formula2>0</formula2>
    </dataValidation>
    <dataValidation sqref="D41" showDropDown="0" showInputMessage="0" showErrorMessage="0" allowBlank="1" type="list" errorStyle="stop" operator="between">
      <formula1>YesNo</formula1>
      <formula2>0</formula2>
    </dataValidation>
    <dataValidation sqref="D42" showDropDown="0" showInputMessage="0" showErrorMessage="0" allowBlank="1" type="list" errorStyle="stop" operator="between">
      <formula1>YesNo</formula1>
      <formula2>0</formula2>
    </dataValidation>
    <dataValidation sqref="D43" showDropDown="0" showInputMessage="0" showErrorMessage="0" allowBlank="1" type="list" errorStyle="stop" operator="between">
      <formula1>YesNo</formula1>
      <formula2>0</formula2>
    </dataValidation>
    <dataValidation sqref="D59" showDropDown="0" showInputMessage="0" showErrorMessage="0" allowBlank="1" type="list" errorStyle="stop" operator="between">
      <formula1>Channels</formula1>
      <formula2>0</formula2>
    </dataValidation>
    <dataValidation sqref="D61"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1"/>
  </sheetPr>
  <dimension ref="A1:E60"/>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TALENT — FULL REGISTRATION (Day 1+)
التسجيل الكامل للمستقل (بعد الإطلاق)</t>
        </is>
      </c>
    </row>
    <row r="2" ht="15" customHeight="1" s="66"/>
    <row r="3" ht="15" customHeight="1" s="66">
      <c r="A3" s="68" t="inlineStr">
        <is>
          <t>Sheet code: TLF  ·  Version: v1.0  ·  Bilingual AR/EN  ·  Mobile + WhatsApp compatible  ·  Constitutional FX: dated Aden market rate</t>
        </is>
      </c>
    </row>
    <row r="4" ht="27.75" customHeight="1" s="66">
      <c r="A4" s="95" t="inlineStr">
        <is>
          <t>Moves a T0 EOI submitter to T2 Skill-Verified — the tier that unlocks the Kayan Card, pod assignment, and paid work. Expected to take ~20 minutes of the talent's time plus a short async skill test.
ينقل المتقدم من T0 إلى T2 (موثّق المهارة) — المستوى الذي يفتح بطاقة كيان والتعيين في الفرق والعمل المدفوع. يستغرق نحو 20 دقيقة بالإضافة إلى اختبار مهاري قصير.</t>
        </is>
      </c>
    </row>
    <row r="5" ht="27.75" customHeight="1" s="66"/>
    <row r="6"/>
    <row r="7" ht="15" customHeight="1" s="66">
      <c r="A7" s="69" t="inlineStr">
        <is>
          <t>A. Identity / الهوية</t>
        </is>
      </c>
    </row>
    <row r="8" ht="21.75" customHeight="1" s="66">
      <c r="A8" s="96" t="n">
        <v>1</v>
      </c>
      <c r="B8" s="97" t="inlineStr">
        <is>
          <t>Full legal name
الاسم القانوني الكامل</t>
        </is>
      </c>
      <c r="C8" s="75" t="n"/>
      <c r="D8" s="98" t="n"/>
      <c r="E8" s="99" t="inlineStr">
        <is>
          <t>Required</t>
        </is>
      </c>
    </row>
    <row r="9" ht="21.75" customHeight="1" s="66">
      <c r="A9" s="96" t="n">
        <v>2</v>
      </c>
      <c r="B9" s="97" t="inlineStr">
        <is>
          <t>Date of birth
تاريخ الميلاد</t>
        </is>
      </c>
      <c r="C9" s="75" t="n"/>
      <c r="D9" s="103" t="n"/>
      <c r="E9" s="99" t="inlineStr">
        <is>
          <t>Required</t>
        </is>
      </c>
    </row>
    <row r="10" ht="21.75" customHeight="1" s="66">
      <c r="A10" s="96" t="n">
        <v>3</v>
      </c>
      <c r="B10" s="97" t="inlineStr">
        <is>
          <t>Nationality
الجنسية</t>
        </is>
      </c>
      <c r="C10" s="75" t="n"/>
      <c r="D10" s="98" t="n"/>
      <c r="E10" s="99" t="inlineStr">
        <is>
          <t>Required</t>
        </is>
      </c>
    </row>
    <row r="11" ht="21.75" customHeight="1" s="66">
      <c r="A11" s="96" t="n">
        <v>4</v>
      </c>
      <c r="B11" s="97" t="inlineStr">
        <is>
          <t>Government ID type
نوع الهوية</t>
        </is>
      </c>
      <c r="C11" s="75" t="n"/>
      <c r="D11" s="98" t="n"/>
      <c r="E11" s="99" t="inlineStr">
        <is>
          <t>Required</t>
        </is>
      </c>
    </row>
    <row r="12" ht="21.75" customHeight="1" s="66">
      <c r="A12" s="96" t="n">
        <v>5</v>
      </c>
      <c r="B12" s="97" t="inlineStr">
        <is>
          <t>Government ID number
رقم الهوية</t>
        </is>
      </c>
      <c r="C12" s="75" t="n"/>
      <c r="D12" s="98" t="n"/>
      <c r="E12" s="99" t="inlineStr">
        <is>
          <t>Required</t>
        </is>
      </c>
    </row>
    <row r="13" ht="21.75" customHeight="1" s="66">
      <c r="A13" s="96" t="n">
        <v>6</v>
      </c>
      <c r="B13" s="97" t="inlineStr">
        <is>
          <t>Country of residence
بلد الإقامة</t>
        </is>
      </c>
      <c r="C13" s="75" t="n"/>
      <c r="D13" s="98" t="n"/>
      <c r="E13" s="99" t="inlineStr">
        <is>
          <t>Required</t>
        </is>
      </c>
    </row>
    <row r="14" ht="48" customHeight="1" s="66">
      <c r="A14" s="96" t="n">
        <v>7</v>
      </c>
      <c r="B14" s="97" t="inlineStr">
        <is>
          <t>Full residential address
عنوان الإقامة الكامل</t>
        </is>
      </c>
      <c r="C14" s="75" t="n"/>
      <c r="D14" s="102" t="n"/>
      <c r="E14" s="99" t="inlineStr">
        <is>
          <t>Required</t>
        </is>
      </c>
    </row>
    <row r="15" ht="15" customHeight="1" s="66">
      <c r="A15" s="69" t="inlineStr">
        <is>
          <t>B. Professional / المهنية</t>
        </is>
      </c>
    </row>
    <row r="16" ht="21.75" customHeight="1" s="66">
      <c r="A16" s="96" t="n">
        <v>8</v>
      </c>
      <c r="B16" s="97" t="inlineStr">
        <is>
          <t>Primary domain
القطاع الأساسي</t>
        </is>
      </c>
      <c r="C16" s="75" t="n"/>
      <c r="D16" s="98" t="n"/>
      <c r="E16" s="99" t="inlineStr">
        <is>
          <t>Required</t>
        </is>
      </c>
    </row>
    <row r="17" ht="21.75" customHeight="1" s="66">
      <c r="A17" s="96" t="n">
        <v>9</v>
      </c>
      <c r="B17" s="97" t="inlineStr">
        <is>
          <t>Top 3 micro-specializations
أبرز 3 تخصصات دقيقة</t>
        </is>
      </c>
      <c r="C17" s="75" t="n"/>
      <c r="D17" s="98" t="n"/>
      <c r="E17" s="99" t="inlineStr">
        <is>
          <t>Required</t>
        </is>
      </c>
    </row>
    <row r="18" ht="21.75" customHeight="1" s="66">
      <c r="A18" s="96" t="n">
        <v>10</v>
      </c>
      <c r="B18" s="97" t="inlineStr">
        <is>
          <t>Years of experience
سنوات الخبرة</t>
        </is>
      </c>
      <c r="C18" s="75" t="n"/>
      <c r="D18" s="98" t="n"/>
      <c r="E18" s="99" t="inlineStr">
        <is>
          <t>Required</t>
        </is>
      </c>
    </row>
    <row r="19" ht="21.75" customHeight="1" s="66">
      <c r="A19" s="96" t="n">
        <v>11</v>
      </c>
      <c r="B19" s="97" t="inlineStr">
        <is>
          <t>Current employment status
الحالة الوظيفية</t>
        </is>
      </c>
      <c r="C19" s="75" t="n"/>
      <c r="D19" s="98" t="n"/>
      <c r="E19" s="99" t="inlineStr">
        <is>
          <t>Required</t>
        </is>
      </c>
    </row>
    <row r="20" ht="48" customHeight="1" s="66">
      <c r="A20" s="96" t="n">
        <v>12</v>
      </c>
      <c r="B20" s="97" t="inlineStr">
        <is>
          <t>Education (highest degree + institution + year)
التعليم</t>
        </is>
      </c>
      <c r="C20" s="75" t="n"/>
      <c r="D20" s="102" t="n"/>
      <c r="E20" s="99" t="inlineStr">
        <is>
          <t>Required</t>
        </is>
      </c>
    </row>
    <row r="21" ht="48" customHeight="1" s="66">
      <c r="A21" s="96" t="n">
        <v>13</v>
      </c>
      <c r="B21" s="97" t="inlineStr">
        <is>
          <t>Certifications (list)
الشهادات المهنية</t>
        </is>
      </c>
      <c r="C21" s="75" t="n"/>
      <c r="D21" s="102" t="n"/>
      <c r="E21" s="101" t="inlineStr">
        <is>
          <t>Optional</t>
        </is>
      </c>
    </row>
    <row r="22" ht="21.75" customHeight="1" s="66">
      <c r="A22" s="96" t="n">
        <v>14</v>
      </c>
      <c r="B22" s="97" t="inlineStr">
        <is>
          <t>Portfolio URL
رابط الأعمال</t>
        </is>
      </c>
      <c r="C22" s="75" t="n"/>
      <c r="D22" s="98" t="n"/>
      <c r="E22" s="99" t="inlineStr">
        <is>
          <t>Required</t>
        </is>
      </c>
    </row>
    <row r="23" ht="21.75" customHeight="1" s="66">
      <c r="A23" s="96" t="n">
        <v>15</v>
      </c>
      <c r="B23" s="97" t="inlineStr">
        <is>
          <t>LinkedIn
لينكدإن</t>
        </is>
      </c>
      <c r="C23" s="75" t="n"/>
      <c r="D23" s="98" t="n"/>
      <c r="E23" s="101" t="inlineStr">
        <is>
          <t>Optional</t>
        </is>
      </c>
    </row>
    <row r="24" ht="21.75" customHeight="1" s="66">
      <c r="A24" s="96" t="n">
        <v>16</v>
      </c>
      <c r="B24" s="97" t="inlineStr">
        <is>
          <t>GitHub / Behance / Dribbble
روابط الأعمال</t>
        </is>
      </c>
      <c r="C24" s="75" t="n"/>
      <c r="D24" s="98" t="n"/>
      <c r="E24" s="101" t="inlineStr">
        <is>
          <t>Optional</t>
        </is>
      </c>
    </row>
    <row r="25" ht="15" customHeight="1" s="66">
      <c r="A25" s="69" t="inlineStr">
        <is>
          <t>C. Verification (T1→T2) / التحقق</t>
        </is>
      </c>
    </row>
    <row r="26" ht="21.75" customHeight="1" s="66">
      <c r="A26" s="96" t="n">
        <v>17</v>
      </c>
      <c r="B26" s="97" t="inlineStr">
        <is>
          <t>Government ID uploaded
تحميل الهوية</t>
        </is>
      </c>
      <c r="C26" s="75" t="n"/>
      <c r="D26" s="98" t="n"/>
      <c r="E26" s="99" t="inlineStr">
        <is>
          <t>Required</t>
        </is>
      </c>
    </row>
    <row r="27" ht="21.75" customHeight="1" s="66">
      <c r="A27" s="96" t="n">
        <v>18</v>
      </c>
      <c r="B27" s="97" t="inlineStr">
        <is>
          <t>Selfie with ID uploaded
صورة ذاتية مع الهوية</t>
        </is>
      </c>
      <c r="C27" s="75" t="n"/>
      <c r="D27" s="98" t="n"/>
      <c r="E27" s="99" t="inlineStr">
        <is>
          <t>Required</t>
        </is>
      </c>
    </row>
    <row r="28" ht="21.75" customHeight="1" s="66">
      <c r="A28" s="96" t="n">
        <v>19</v>
      </c>
      <c r="B28" s="97" t="inlineStr">
        <is>
          <t>Skill test passed? (score)
نتيجة اختبار المهارة</t>
        </is>
      </c>
      <c r="C28" s="75" t="n"/>
      <c r="D28" s="98" t="n"/>
      <c r="E28" s="99" t="inlineStr">
        <is>
          <t>Required</t>
        </is>
      </c>
    </row>
    <row r="29" ht="21.75" customHeight="1" s="66">
      <c r="A29" s="96" t="n">
        <v>20</v>
      </c>
      <c r="B29" s="97" t="inlineStr">
        <is>
          <t>Reference 1 name + contact
المرجع 1</t>
        </is>
      </c>
      <c r="C29" s="75" t="n"/>
      <c r="D29" s="98" t="n"/>
      <c r="E29" s="101" t="inlineStr">
        <is>
          <t>Optional</t>
        </is>
      </c>
    </row>
    <row r="30" ht="21.75" customHeight="1" s="66">
      <c r="A30" s="96" t="n">
        <v>21</v>
      </c>
      <c r="B30" s="97" t="inlineStr">
        <is>
          <t>Reference 2 name + contact
المرجع 2</t>
        </is>
      </c>
      <c r="C30" s="75" t="n"/>
      <c r="D30" s="98" t="n"/>
      <c r="E30" s="101" t="inlineStr">
        <is>
          <t>Optional</t>
        </is>
      </c>
    </row>
    <row r="31" ht="15" customHeight="1" s="66">
      <c r="A31" s="69" t="inlineStr">
        <is>
          <t>D. Finance / الشؤون المالية</t>
        </is>
      </c>
    </row>
    <row r="32" ht="21.75" customHeight="1" s="66">
      <c r="A32" s="96" t="n">
        <v>22</v>
      </c>
      <c r="B32" s="97" t="inlineStr">
        <is>
          <t>Payment method
طريقة الدفع</t>
        </is>
      </c>
      <c r="C32" s="75" t="n"/>
      <c r="D32" s="98" t="n"/>
      <c r="E32" s="99" t="inlineStr">
        <is>
          <t>Required</t>
        </is>
      </c>
    </row>
    <row r="33" ht="21.75" customHeight="1" s="66">
      <c r="A33" s="96" t="n">
        <v>23</v>
      </c>
      <c r="B33" s="97" t="inlineStr">
        <is>
          <t>Payment currency
العملة</t>
        </is>
      </c>
      <c r="C33" s="75" t="n"/>
      <c r="D33" s="98" t="n"/>
      <c r="E33" s="99" t="inlineStr">
        <is>
          <t>Required</t>
        </is>
      </c>
    </row>
    <row r="34" ht="21.75" customHeight="1" s="66">
      <c r="A34" s="96" t="n">
        <v>24</v>
      </c>
      <c r="B34" s="97" t="inlineStr">
        <is>
          <t>Bank / wallet account holder name
اسم صاحب الحساب</t>
        </is>
      </c>
      <c r="C34" s="75" t="n"/>
      <c r="D34" s="98" t="n"/>
      <c r="E34" s="99" t="inlineStr">
        <is>
          <t>Required</t>
        </is>
      </c>
    </row>
    <row r="35" ht="21.75" customHeight="1" s="66">
      <c r="A35" s="96" t="n">
        <v>25</v>
      </c>
      <c r="B35" s="97" t="inlineStr">
        <is>
          <t>Account / IBAN / wallet handle
رقم الحساب / المحفظة</t>
        </is>
      </c>
      <c r="C35" s="75" t="n"/>
      <c r="D35" s="98" t="n"/>
      <c r="E35" s="99" t="inlineStr">
        <is>
          <t>Required</t>
        </is>
      </c>
    </row>
    <row r="36" ht="21.75" customHeight="1" s="66">
      <c r="A36" s="96" t="n">
        <v>26</v>
      </c>
      <c r="B36" s="97" t="inlineStr">
        <is>
          <t>Bank / wallet provider name
اسم البنك / المحفظة</t>
        </is>
      </c>
      <c r="C36" s="75" t="n"/>
      <c r="D36" s="98" t="n"/>
      <c r="E36" s="99" t="inlineStr">
        <is>
          <t>Required</t>
        </is>
      </c>
    </row>
    <row r="37" ht="21.75" customHeight="1" s="66">
      <c r="A37" s="96" t="n">
        <v>27</v>
      </c>
      <c r="B37" s="97" t="inlineStr">
        <is>
          <t>Tax resident country (for withholding)
بلد الإقامة الضريبية</t>
        </is>
      </c>
      <c r="C37" s="75" t="n"/>
      <c r="D37" s="98" t="n"/>
      <c r="E37" s="99" t="inlineStr">
        <is>
          <t>Required</t>
        </is>
      </c>
    </row>
    <row r="38" ht="15" customHeight="1" s="66">
      <c r="A38" s="69" t="inlineStr">
        <is>
          <t>E. Legal &amp; consent / الإقرارات القانونية</t>
        </is>
      </c>
    </row>
    <row r="39" ht="21.75" customHeight="1" s="66">
      <c r="A39" s="96" t="n">
        <v>28</v>
      </c>
      <c r="B39" s="97" t="inlineStr">
        <is>
          <t>NDA accepted
اتفاقية عدم الإفصاح</t>
        </is>
      </c>
      <c r="C39" s="75" t="n"/>
      <c r="D39" s="98" t="n"/>
      <c r="E39" s="99" t="inlineStr">
        <is>
          <t>Required</t>
        </is>
      </c>
    </row>
    <row r="40" ht="21.75" customHeight="1" s="66">
      <c r="A40" s="96" t="n">
        <v>29</v>
      </c>
      <c r="B40" s="97" t="inlineStr">
        <is>
          <t>IP assignment for paid work
تنازل الملكية الفكرية</t>
        </is>
      </c>
      <c r="C40" s="75" t="n"/>
      <c r="D40" s="98" t="n"/>
      <c r="E40" s="99" t="inlineStr">
        <is>
          <t>Required</t>
        </is>
      </c>
    </row>
    <row r="41" ht="21.75" customHeight="1" s="66">
      <c r="A41" s="96" t="n">
        <v>30</v>
      </c>
      <c r="B41" s="97" t="inlineStr">
        <is>
          <t>Kayan Code of Conduct accepted
قبول ميثاق السلوك</t>
        </is>
      </c>
      <c r="C41" s="75" t="n"/>
      <c r="D41" s="98" t="n"/>
      <c r="E41" s="99" t="inlineStr">
        <is>
          <t>Required</t>
        </is>
      </c>
    </row>
    <row r="42" ht="21.75" customHeight="1" s="66">
      <c r="A42" s="96" t="n">
        <v>31</v>
      </c>
      <c r="B42" s="97" t="inlineStr">
        <is>
          <t>2170 escrow terms accepted
قبول شروط الضمان 2170</t>
        </is>
      </c>
      <c r="C42" s="75" t="n"/>
      <c r="D42" s="98" t="n"/>
      <c r="E42" s="99" t="inlineStr">
        <is>
          <t>Required</t>
        </is>
      </c>
    </row>
    <row r="43" ht="21.75" customHeight="1" s="66">
      <c r="A43" s="96" t="n">
        <v>32</v>
      </c>
      <c r="B43" s="97" t="inlineStr">
        <is>
          <t>Data protection consent
موافقة حماية البيانات</t>
        </is>
      </c>
      <c r="C43" s="75" t="n"/>
      <c r="D43" s="98" t="n"/>
      <c r="E43" s="99" t="inlineStr">
        <is>
          <t>Required</t>
        </is>
      </c>
    </row>
    <row r="44"/>
    <row r="45" ht="15" customHeight="1" s="66">
      <c r="A45" s="69" t="inlineStr">
        <is>
          <t>CONSENT &amp; SUBMISSION META / الموافقة وبيانات الإرسال</t>
        </is>
      </c>
    </row>
    <row r="46" ht="36" customHeight="1" s="66">
      <c r="A46" s="104" t="inlineStr">
        <is>
          <t>☐</t>
        </is>
      </c>
      <c r="B46" s="74" t="inlineStr">
        <is>
          <t>I consent to Kayan storing my data for EOI processing.
أوافق على احتفاظ كيان ببياناتي لمعالجة اهتمامي.</t>
        </is>
      </c>
      <c r="C46" s="75" t="n"/>
      <c r="D46" s="75" t="n"/>
      <c r="E46" s="105" t="inlineStr">
        <is>
          <t>Required</t>
        </is>
      </c>
    </row>
    <row r="47" ht="36" customHeight="1" s="66">
      <c r="A47" s="104" t="inlineStr">
        <is>
          <t>☐</t>
        </is>
      </c>
      <c r="B47" s="74" t="inlineStr">
        <is>
          <t>I agree to be contacted by Kayan through the channel I specified.
أوافق على أن تتواصل كيان معي عبر القناة التي اخترتها.</t>
        </is>
      </c>
      <c r="C47" s="75" t="n"/>
      <c r="D47" s="75" t="n"/>
      <c r="E47" s="105" t="inlineStr">
        <is>
          <t>Required</t>
        </is>
      </c>
    </row>
    <row r="48" ht="36" customHeight="1" s="66">
      <c r="A48" s="104" t="inlineStr">
        <is>
          <t>☐</t>
        </is>
      </c>
      <c r="B48" s="74" t="inlineStr">
        <is>
          <t>I confirm that all information provided is accurate to the best of my knowledge.
أؤكد أن جميع المعلومات دقيقة حسب معرفتي.</t>
        </is>
      </c>
      <c r="C48" s="75" t="n"/>
      <c r="D48" s="75" t="n"/>
      <c r="E48" s="105" t="inlineStr">
        <is>
          <t>Required</t>
        </is>
      </c>
    </row>
    <row r="49" ht="36" customHeight="1" s="66">
      <c r="A49" s="104" t="inlineStr">
        <is>
          <t>☐</t>
        </is>
      </c>
      <c r="B49" s="74" t="inlineStr">
        <is>
          <t>I am happy to receive updates (newsletter, events, opportunities).
أرغب في تلقي التحديثات (النشرة والأحداث والفرص).</t>
        </is>
      </c>
      <c r="C49" s="75" t="n"/>
      <c r="D49" s="75" t="n"/>
      <c r="E49" s="106" t="inlineStr">
        <is>
          <t>Optional</t>
        </is>
      </c>
    </row>
    <row r="50"/>
    <row r="51" ht="15" customHeight="1" s="66">
      <c r="A51" s="107" t="inlineStr">
        <is>
          <t>INTERNAL USE ONLY / لاستعمال الفريق فقط</t>
        </is>
      </c>
    </row>
    <row r="52" ht="24" customHeight="1" s="66">
      <c r="A52" s="108" t="n"/>
      <c r="B52" s="109" t="inlineStr">
        <is>
          <t>Submission ID (auto)
معرّف الطلب</t>
        </is>
      </c>
      <c r="C52" s="75" t="n"/>
      <c r="D52" s="110">
        <f>"KYN-TLF-"&amp;TEXT(TODAY(),"YYYYMMDD")&amp;"-"&amp;TEXT(RANDBETWEEN(1000,9999),"0000")</f>
        <v/>
      </c>
      <c r="E52" s="111" t="inlineStr">
        <is>
          <t>Internal</t>
        </is>
      </c>
    </row>
    <row r="53" ht="24" customHeight="1" s="66">
      <c r="A53" s="108" t="n"/>
      <c r="B53" s="109" t="inlineStr">
        <is>
          <t>Received timestamp
تاريخ الاستلام</t>
        </is>
      </c>
      <c r="C53" s="75" t="n"/>
      <c r="D53" s="112">
        <f>NOW()</f>
        <v/>
      </c>
      <c r="E53" s="111" t="inlineStr">
        <is>
          <t>Internal</t>
        </is>
      </c>
    </row>
    <row r="54" ht="24" customHeight="1" s="66">
      <c r="A54" s="108" t="n"/>
      <c r="B54" s="109" t="inlineStr">
        <is>
          <t>Intake channel
قناة الاستلام</t>
        </is>
      </c>
      <c r="C54" s="75" t="n"/>
      <c r="D54" s="98" t="n"/>
      <c r="E54" s="111" t="inlineStr">
        <is>
          <t>Internal</t>
        </is>
      </c>
    </row>
    <row r="55" ht="24" customHeight="1" s="66">
      <c r="A55" s="108" t="n"/>
      <c r="B55" s="109" t="inlineStr">
        <is>
          <t>Assigned handler
الموظف المسؤول</t>
        </is>
      </c>
      <c r="C55" s="75" t="n"/>
      <c r="D55" s="98" t="n"/>
      <c r="E55" s="111" t="inlineStr">
        <is>
          <t>Internal</t>
        </is>
      </c>
    </row>
    <row r="56" ht="24" customHeight="1" s="66">
      <c r="A56" s="108" t="n"/>
      <c r="B56" s="109" t="inlineStr">
        <is>
          <t>Status
الحالة</t>
        </is>
      </c>
      <c r="C56" s="75" t="n"/>
      <c r="D56" s="98" t="n"/>
      <c r="E56" s="111" t="inlineStr">
        <is>
          <t>Internal</t>
        </is>
      </c>
    </row>
    <row r="57" ht="24" customHeight="1" s="66">
      <c r="A57" s="108" t="n"/>
      <c r="B57" s="109" t="inlineStr">
        <is>
          <t>Next action + due date
الإجراء التالي وتاريخه</t>
        </is>
      </c>
      <c r="C57" s="75" t="n"/>
      <c r="D57" s="98" t="n"/>
      <c r="E57" s="111" t="inlineStr">
        <is>
          <t>Internal</t>
        </is>
      </c>
    </row>
    <row r="58" ht="24" customHeight="1" s="66">
      <c r="A58" s="108" t="n"/>
      <c r="B58" s="109" t="inlineStr">
        <is>
          <t>Notes / comments
ملاحظات</t>
        </is>
      </c>
      <c r="C58" s="75" t="n"/>
      <c r="D58" s="98" t="n"/>
      <c r="E58" s="111" t="inlineStr">
        <is>
          <t>Internal</t>
        </is>
      </c>
    </row>
    <row r="59"/>
    <row r="60" ht="25.5" customHeight="1" s="66">
      <c r="A60" s="113" t="inlineStr">
        <is>
          <t>✦  PRE-LAUNCH TARGET: 50 T2-verified talent by 30 Jun 2026  ·  Measured weekly on 17_KPI_DASH</t>
        </is>
      </c>
    </row>
  </sheetData>
  <mergeCells count="54">
    <mergeCell ref="B16:C16"/>
    <mergeCell ref="B54:C54"/>
    <mergeCell ref="A15:E15"/>
    <mergeCell ref="A60:E60"/>
    <mergeCell ref="A51:E51"/>
    <mergeCell ref="B22:C22"/>
    <mergeCell ref="A45:E45"/>
    <mergeCell ref="B27:C27"/>
    <mergeCell ref="B56:C56"/>
    <mergeCell ref="B18:C18"/>
    <mergeCell ref="B43:C43"/>
    <mergeCell ref="B58:C58"/>
    <mergeCell ref="B39:C39"/>
    <mergeCell ref="B12:C12"/>
    <mergeCell ref="B52:C52"/>
    <mergeCell ref="B21:C21"/>
    <mergeCell ref="A4:E5"/>
    <mergeCell ref="B11:C11"/>
    <mergeCell ref="A7:E7"/>
    <mergeCell ref="A25:E25"/>
    <mergeCell ref="B49:D49"/>
    <mergeCell ref="B42:C42"/>
    <mergeCell ref="B23:C23"/>
    <mergeCell ref="B14:C14"/>
    <mergeCell ref="B17:C17"/>
    <mergeCell ref="B57:C57"/>
    <mergeCell ref="B8:C8"/>
    <mergeCell ref="B53:C53"/>
    <mergeCell ref="A3:E3"/>
    <mergeCell ref="B13:C13"/>
    <mergeCell ref="B29:C29"/>
    <mergeCell ref="B19:C19"/>
    <mergeCell ref="B34:C34"/>
    <mergeCell ref="B37:C37"/>
    <mergeCell ref="B10:C10"/>
    <mergeCell ref="B28:C28"/>
    <mergeCell ref="A1:E2"/>
    <mergeCell ref="B40:C40"/>
    <mergeCell ref="B9:C9"/>
    <mergeCell ref="B35:C35"/>
    <mergeCell ref="B47:D47"/>
    <mergeCell ref="B55:C55"/>
    <mergeCell ref="B24:C24"/>
    <mergeCell ref="B30:C30"/>
    <mergeCell ref="B33:C33"/>
    <mergeCell ref="A38:E38"/>
    <mergeCell ref="B46:D46"/>
    <mergeCell ref="B20:C20"/>
    <mergeCell ref="B36:C36"/>
    <mergeCell ref="B32:C32"/>
    <mergeCell ref="B26:C26"/>
    <mergeCell ref="B41:C41"/>
    <mergeCell ref="A31:E31"/>
    <mergeCell ref="B48:D48"/>
  </mergeCells>
  <dataValidations count="13">
    <dataValidation sqref="D18" showDropDown="0" showInputMessage="0" showErrorMessage="0" allowBlank="1" errorTitle="Number" error="Numbers only" type="decimal" errorStyle="stop" operator="greaterThanOrEqual">
      <formula1>0</formula1>
      <formula2>0</formula2>
    </dataValidation>
    <dataValidation sqref="D9" showDropDown="0" showInputMessage="0" showErrorMessage="0" allowBlank="1" errorTitle="Date" error="Enter a valid date" type="date" errorStyle="stop" operator="between">
      <formula1>DATE(2020,1,1)</formula1>
      <formula2>DATE(2035,12,31)</formula2>
    </dataValidation>
    <dataValidation sqref="D13" showDropDown="0" showInputMessage="0" showErrorMessage="0" allowBlank="1" type="list" errorStyle="stop" operator="between">
      <formula1>Countries</formula1>
      <formula2>0</formula2>
    </dataValidation>
    <dataValidation sqref="D16" showDropDown="0" showInputMessage="0" showErrorMessage="0" allowBlank="1" type="list" errorStyle="stop" operator="between">
      <formula1>Domains</formula1>
      <formula2>0</formula2>
    </dataValidation>
    <dataValidation sqref="D33" showDropDown="0" showInputMessage="0" showErrorMessage="0" allowBlank="1" type="list" errorStyle="stop" operator="between">
      <formula1>Currencies</formula1>
      <formula2>0</formula2>
    </dataValidation>
    <dataValidation sqref="D37" showDropDown="0" showInputMessage="0" showErrorMessage="0" allowBlank="1" type="list" errorStyle="stop" operator="between">
      <formula1>Countries</formula1>
      <formula2>0</formula2>
    </dataValidation>
    <dataValidation sqref="D39" showDropDown="0" showInputMessage="0" showErrorMessage="0" allowBlank="1" type="list" errorStyle="stop" operator="between">
      <formula1>YesNo</formula1>
      <formula2>0</formula2>
    </dataValidation>
    <dataValidation sqref="D40" showDropDown="0" showInputMessage="0" showErrorMessage="0" allowBlank="1" type="list" errorStyle="stop" operator="between">
      <formula1>YesNo</formula1>
      <formula2>0</formula2>
    </dataValidation>
    <dataValidation sqref="D41" showDropDown="0" showInputMessage="0" showErrorMessage="0" allowBlank="1" type="list" errorStyle="stop" operator="between">
      <formula1>YesNo</formula1>
      <formula2>0</formula2>
    </dataValidation>
    <dataValidation sqref="D42" showDropDown="0" showInputMessage="0" showErrorMessage="0" allowBlank="1" type="list" errorStyle="stop" operator="between">
      <formula1>YesNo</formula1>
      <formula2>0</formula2>
    </dataValidation>
    <dataValidation sqref="D43" showDropDown="0" showInputMessage="0" showErrorMessage="0" allowBlank="1" type="list" errorStyle="stop" operator="between">
      <formula1>YesNo</formula1>
      <formula2>0</formula2>
    </dataValidation>
    <dataValidation sqref="D54" showDropDown="0" showInputMessage="0" showErrorMessage="0" allowBlank="1" type="list" errorStyle="stop" operator="between">
      <formula1>Channels</formula1>
      <formula2>0</formula2>
    </dataValidation>
    <dataValidation sqref="D56"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1"/>
  </sheetPr>
  <dimension ref="A1:E51"/>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VOLUNTEER — FULL REGISTRATION (Day 1+)
التسجيل الكامل للمتطوع (بعد الإطلاق)</t>
        </is>
      </c>
    </row>
    <row r="2" ht="15" customHeight="1" s="66"/>
    <row r="3" ht="15" customHeight="1" s="66">
      <c r="A3" s="68" t="inlineStr">
        <is>
          <t>Sheet code: VLF  ·  Version: v1.0  ·  Bilingual AR/EN  ·  Mobile + WhatsApp compatible  ·  Constitutional FX: dated Aden market rate</t>
        </is>
      </c>
    </row>
    <row r="4" ht="27.75" customHeight="1" s="66">
      <c r="A4" s="95" t="inlineStr">
        <is>
          <t>Completes safeguarding requirements and opens access to Kayan for Yemen missions. Background check runs within 7 days for youth-facing roles.
يُكمل متطلبات الحماية ويفتح الوصول إلى مهام كيان لليمن. يستغرق التحقق الأمني نحو 7 أيام للأدوار المتعلقة بالشباب.</t>
        </is>
      </c>
    </row>
    <row r="5" ht="27.75" customHeight="1" s="66"/>
    <row r="6"/>
    <row r="7" ht="15" customHeight="1" s="66">
      <c r="A7" s="69" t="inlineStr">
        <is>
          <t>A. Identity / الهوية</t>
        </is>
      </c>
    </row>
    <row r="8" ht="21.75" customHeight="1" s="66">
      <c r="A8" s="96" t="n">
        <v>1</v>
      </c>
      <c r="B8" s="97" t="inlineStr">
        <is>
          <t>Full legal name
الاسم القانوني الكامل</t>
        </is>
      </c>
      <c r="C8" s="75" t="n"/>
      <c r="D8" s="98" t="n"/>
      <c r="E8" s="99" t="inlineStr">
        <is>
          <t>Required</t>
        </is>
      </c>
    </row>
    <row r="9" ht="21.75" customHeight="1" s="66">
      <c r="A9" s="96" t="n">
        <v>2</v>
      </c>
      <c r="B9" s="97" t="inlineStr">
        <is>
          <t>Date of birth
تاريخ الميلاد</t>
        </is>
      </c>
      <c r="C9" s="75" t="n"/>
      <c r="D9" s="103" t="n"/>
      <c r="E9" s="99" t="inlineStr">
        <is>
          <t>Required</t>
        </is>
      </c>
    </row>
    <row r="10" ht="21.75" customHeight="1" s="66">
      <c r="A10" s="96" t="n">
        <v>3</v>
      </c>
      <c r="B10" s="97" t="inlineStr">
        <is>
          <t>Nationality
الجنسية</t>
        </is>
      </c>
      <c r="C10" s="75" t="n"/>
      <c r="D10" s="98" t="n"/>
      <c r="E10" s="99" t="inlineStr">
        <is>
          <t>Required</t>
        </is>
      </c>
    </row>
    <row r="11" ht="21.75" customHeight="1" s="66">
      <c r="A11" s="96" t="n">
        <v>4</v>
      </c>
      <c r="B11" s="97" t="inlineStr">
        <is>
          <t>Government ID type
نوع الهوية</t>
        </is>
      </c>
      <c r="C11" s="75" t="n"/>
      <c r="D11" s="98" t="n"/>
      <c r="E11" s="99" t="inlineStr">
        <is>
          <t>Required</t>
        </is>
      </c>
    </row>
    <row r="12" ht="21.75" customHeight="1" s="66">
      <c r="A12" s="96" t="n">
        <v>5</v>
      </c>
      <c r="B12" s="97" t="inlineStr">
        <is>
          <t>Government ID number
رقم الهوية</t>
        </is>
      </c>
      <c r="C12" s="75" t="n"/>
      <c r="D12" s="98" t="n"/>
      <c r="E12" s="99" t="inlineStr">
        <is>
          <t>Required</t>
        </is>
      </c>
    </row>
    <row r="13" ht="48" customHeight="1" s="66">
      <c r="A13" s="96" t="n">
        <v>6</v>
      </c>
      <c r="B13" s="97" t="inlineStr">
        <is>
          <t>Address
العنوان</t>
        </is>
      </c>
      <c r="C13" s="75" t="n"/>
      <c r="D13" s="102" t="n"/>
      <c r="E13" s="99" t="inlineStr">
        <is>
          <t>Required</t>
        </is>
      </c>
    </row>
    <row r="14" ht="15" customHeight="1" s="66">
      <c r="A14" s="69" t="inlineStr">
        <is>
          <t>B. Causes &amp; skills / القضايا والمهارات</t>
        </is>
      </c>
    </row>
    <row r="15" ht="21.75" customHeight="1" s="66">
      <c r="A15" s="96" t="n">
        <v>7</v>
      </c>
      <c r="B15" s="97" t="inlineStr">
        <is>
          <t>Top 3 causes
أبرز 3 قضايا</t>
        </is>
      </c>
      <c r="C15" s="75" t="n"/>
      <c r="D15" s="98" t="n"/>
      <c r="E15" s="99" t="inlineStr">
        <is>
          <t>Required</t>
        </is>
      </c>
    </row>
    <row r="16" ht="21.75" customHeight="1" s="66">
      <c r="A16" s="96" t="n">
        <v>8</v>
      </c>
      <c r="B16" s="97" t="inlineStr">
        <is>
          <t>Primary skill domain
مجال المهارة الأساسي</t>
        </is>
      </c>
      <c r="C16" s="75" t="n"/>
      <c r="D16" s="98" t="n"/>
      <c r="E16" s="99" t="inlineStr">
        <is>
          <t>Required</t>
        </is>
      </c>
    </row>
    <row r="17" ht="48" customHeight="1" s="66">
      <c r="A17" s="96" t="n">
        <v>9</v>
      </c>
      <c r="B17" s="97" t="inlineStr">
        <is>
          <t>Specific skills
المهارات المحددة</t>
        </is>
      </c>
      <c r="C17" s="75" t="n"/>
      <c r="D17" s="102" t="n"/>
      <c r="E17" s="99" t="inlineStr">
        <is>
          <t>Required</t>
        </is>
      </c>
    </row>
    <row r="18" ht="15" customHeight="1" s="66">
      <c r="A18" s="69" t="inlineStr">
        <is>
          <t>C. Availability / التوفر</t>
        </is>
      </c>
    </row>
    <row r="19" ht="21.75" customHeight="1" s="66">
      <c r="A19" s="96" t="n">
        <v>10</v>
      </c>
      <c r="B19" s="97" t="inlineStr">
        <is>
          <t>Hours per month
ساعات شهرياً</t>
        </is>
      </c>
      <c r="C19" s="75" t="n"/>
      <c r="D19" s="98" t="n"/>
      <c r="E19" s="99" t="inlineStr">
        <is>
          <t>Required</t>
        </is>
      </c>
    </row>
    <row r="20" ht="21.75" customHeight="1" s="66">
      <c r="A20" s="96" t="n">
        <v>11</v>
      </c>
      <c r="B20" s="97" t="inlineStr">
        <is>
          <t>Start date
تاريخ البدء</t>
        </is>
      </c>
      <c r="C20" s="75" t="n"/>
      <c r="D20" s="103" t="n"/>
      <c r="E20" s="99" t="inlineStr">
        <is>
          <t>Required</t>
        </is>
      </c>
    </row>
    <row r="21" ht="21.75" customHeight="1" s="66">
      <c r="A21" s="96" t="n">
        <v>12</v>
      </c>
      <c r="B21" s="97" t="inlineStr">
        <is>
          <t>End date (if defined)
تاريخ الانتهاء (إن وُجد)</t>
        </is>
      </c>
      <c r="C21" s="75" t="n"/>
      <c r="D21" s="103" t="n"/>
      <c r="E21" s="101" t="inlineStr">
        <is>
          <t>Optional</t>
        </is>
      </c>
    </row>
    <row r="22" ht="21.75" customHeight="1" s="66">
      <c r="A22" s="96" t="n">
        <v>13</v>
      </c>
      <c r="B22" s="97" t="inlineStr">
        <is>
          <t>Mode (remote / on-site / both)
نمط العمل</t>
        </is>
      </c>
      <c r="C22" s="75" t="n"/>
      <c r="D22" s="98" t="n"/>
      <c r="E22" s="99" t="inlineStr">
        <is>
          <t>Required</t>
        </is>
      </c>
    </row>
    <row r="23" ht="15" customHeight="1" s="66">
      <c r="A23" s="69" t="inlineStr">
        <is>
          <t>D. Safeguarding / السلامة</t>
        </is>
      </c>
    </row>
    <row r="24" ht="21.75" customHeight="1" s="66">
      <c r="A24" s="96" t="n">
        <v>14</v>
      </c>
      <c r="B24" s="97" t="inlineStr">
        <is>
          <t>Background check consent
موافقة التحقق الأمني</t>
        </is>
      </c>
      <c r="C24" s="75" t="n"/>
      <c r="D24" s="98" t="n"/>
      <c r="E24" s="99" t="inlineStr">
        <is>
          <t>Required</t>
        </is>
      </c>
    </row>
    <row r="25" ht="21.75" customHeight="1" s="66">
      <c r="A25" s="96" t="n">
        <v>15</v>
      </c>
      <c r="B25" s="97" t="inlineStr">
        <is>
          <t>Any criminal record?
هل لديك سجل جنائي؟</t>
        </is>
      </c>
      <c r="C25" s="75" t="n"/>
      <c r="D25" s="98" t="n"/>
      <c r="E25" s="99" t="inlineStr">
        <is>
          <t>Required</t>
        </is>
      </c>
    </row>
    <row r="26" ht="48" customHeight="1" s="66">
      <c r="A26" s="96" t="n">
        <v>16</v>
      </c>
      <c r="B26" s="97" t="inlineStr">
        <is>
          <t>If yes, please describe
وضح إذا كان الجواب نعم</t>
        </is>
      </c>
      <c r="C26" s="75" t="n"/>
      <c r="D26" s="102" t="n"/>
      <c r="E26" s="101" t="inlineStr">
        <is>
          <t>Optional</t>
        </is>
      </c>
    </row>
    <row r="27" ht="21.75" customHeight="1" s="66">
      <c r="A27" s="96" t="n">
        <v>17</v>
      </c>
      <c r="B27" s="97" t="inlineStr">
        <is>
          <t>Emergency contact name
اسم جهة الطوارئ</t>
        </is>
      </c>
      <c r="C27" s="75" t="n"/>
      <c r="D27" s="98" t="n"/>
      <c r="E27" s="99" t="inlineStr">
        <is>
          <t>Required</t>
        </is>
      </c>
    </row>
    <row r="28" ht="21.75" customHeight="1" s="66">
      <c r="A28" s="96" t="n">
        <v>18</v>
      </c>
      <c r="B28" s="97" t="inlineStr">
        <is>
          <t>Emergency contact phone
هاتف الطوارئ</t>
        </is>
      </c>
      <c r="C28" s="75" t="n"/>
      <c r="D28" s="100" t="n"/>
      <c r="E28" s="99" t="inlineStr">
        <is>
          <t>Required</t>
        </is>
      </c>
    </row>
    <row r="29" ht="21.75" customHeight="1" s="66">
      <c r="A29" s="96" t="n">
        <v>19</v>
      </c>
      <c r="B29" s="97" t="inlineStr">
        <is>
          <t>Relation
صلة القرابة</t>
        </is>
      </c>
      <c r="C29" s="75" t="n"/>
      <c r="D29" s="98" t="n"/>
      <c r="E29" s="99" t="inlineStr">
        <is>
          <t>Required</t>
        </is>
      </c>
    </row>
    <row r="30" ht="15" customHeight="1" s="66">
      <c r="A30" s="69" t="inlineStr">
        <is>
          <t>E. Agreements / الإقرارات</t>
        </is>
      </c>
    </row>
    <row r="31" ht="21.75" customHeight="1" s="66">
      <c r="A31" s="96" t="n">
        <v>20</v>
      </c>
      <c r="B31" s="97" t="inlineStr">
        <is>
          <t>Volunteer charter accepted
ميثاق المتطوع</t>
        </is>
      </c>
      <c r="C31" s="75" t="n"/>
      <c r="D31" s="98" t="n"/>
      <c r="E31" s="99" t="inlineStr">
        <is>
          <t>Required</t>
        </is>
      </c>
    </row>
    <row r="32" ht="21.75" customHeight="1" s="66">
      <c r="A32" s="96" t="n">
        <v>21</v>
      </c>
      <c r="B32" s="97" t="inlineStr">
        <is>
          <t>Code of conduct accepted
ميثاق السلوك</t>
        </is>
      </c>
      <c r="C32" s="75" t="n"/>
      <c r="D32" s="98" t="n"/>
      <c r="E32" s="99" t="inlineStr">
        <is>
          <t>Required</t>
        </is>
      </c>
    </row>
    <row r="33" ht="21.75" customHeight="1" s="66">
      <c r="A33" s="96" t="n">
        <v>22</v>
      </c>
      <c r="B33" s="97" t="inlineStr">
        <is>
          <t>Confidentiality acknowledged
الإقرار بالسرية</t>
        </is>
      </c>
      <c r="C33" s="75" t="n"/>
      <c r="D33" s="98" t="n"/>
      <c r="E33" s="99" t="inlineStr">
        <is>
          <t>Required</t>
        </is>
      </c>
    </row>
    <row r="34" ht="21.75" customHeight="1" s="66">
      <c r="A34" s="96" t="n">
        <v>23</v>
      </c>
      <c r="B34" s="97" t="inlineStr">
        <is>
          <t>Photo / media release
السماح بالصور والإعلام</t>
        </is>
      </c>
      <c r="C34" s="75" t="n"/>
      <c r="D34" s="98" t="n"/>
      <c r="E34" s="101" t="inlineStr">
        <is>
          <t>Optional</t>
        </is>
      </c>
    </row>
    <row r="35"/>
    <row r="36" ht="15" customHeight="1" s="66">
      <c r="A36" s="69" t="inlineStr">
        <is>
          <t>CONSENT &amp; SUBMISSION META / الموافقة وبيانات الإرسال</t>
        </is>
      </c>
    </row>
    <row r="37" ht="36" customHeight="1" s="66">
      <c r="A37" s="104" t="inlineStr">
        <is>
          <t>☐</t>
        </is>
      </c>
      <c r="B37" s="74" t="inlineStr">
        <is>
          <t>I consent to Kayan storing my data for EOI processing.
أوافق على احتفاظ كيان ببياناتي لمعالجة اهتمامي.</t>
        </is>
      </c>
      <c r="C37" s="75" t="n"/>
      <c r="D37" s="75" t="n"/>
      <c r="E37" s="105" t="inlineStr">
        <is>
          <t>Required</t>
        </is>
      </c>
    </row>
    <row r="38" ht="36" customHeight="1" s="66">
      <c r="A38" s="104" t="inlineStr">
        <is>
          <t>☐</t>
        </is>
      </c>
      <c r="B38" s="74" t="inlineStr">
        <is>
          <t>I agree to be contacted by Kayan through the channel I specified.
أوافق على أن تتواصل كيان معي عبر القناة التي اخترتها.</t>
        </is>
      </c>
      <c r="C38" s="75" t="n"/>
      <c r="D38" s="75" t="n"/>
      <c r="E38" s="105" t="inlineStr">
        <is>
          <t>Required</t>
        </is>
      </c>
    </row>
    <row r="39" ht="36" customHeight="1" s="66">
      <c r="A39" s="104" t="inlineStr">
        <is>
          <t>☐</t>
        </is>
      </c>
      <c r="B39" s="74" t="inlineStr">
        <is>
          <t>I confirm that all information provided is accurate to the best of my knowledge.
أؤكد أن جميع المعلومات دقيقة حسب معرفتي.</t>
        </is>
      </c>
      <c r="C39" s="75" t="n"/>
      <c r="D39" s="75" t="n"/>
      <c r="E39" s="105" t="inlineStr">
        <is>
          <t>Required</t>
        </is>
      </c>
    </row>
    <row r="40" ht="36" customHeight="1" s="66">
      <c r="A40" s="104" t="inlineStr">
        <is>
          <t>☐</t>
        </is>
      </c>
      <c r="B40" s="74" t="inlineStr">
        <is>
          <t>I am happy to receive updates (newsletter, events, opportunities).
أرغب في تلقي التحديثات (النشرة والأحداث والفرص).</t>
        </is>
      </c>
      <c r="C40" s="75" t="n"/>
      <c r="D40" s="75" t="n"/>
      <c r="E40" s="106" t="inlineStr">
        <is>
          <t>Optional</t>
        </is>
      </c>
    </row>
    <row r="41"/>
    <row r="42" ht="15" customHeight="1" s="66">
      <c r="A42" s="107" t="inlineStr">
        <is>
          <t>INTERNAL USE ONLY / لاستعمال الفريق فقط</t>
        </is>
      </c>
    </row>
    <row r="43" ht="24" customHeight="1" s="66">
      <c r="A43" s="108" t="n"/>
      <c r="B43" s="109" t="inlineStr">
        <is>
          <t>Submission ID (auto)
معرّف الطلب</t>
        </is>
      </c>
      <c r="C43" s="75" t="n"/>
      <c r="D43" s="110">
        <f>"KYN-VLF-"&amp;TEXT(TODAY(),"YYYYMMDD")&amp;"-"&amp;TEXT(RANDBETWEEN(1000,9999),"0000")</f>
        <v/>
      </c>
      <c r="E43" s="111" t="inlineStr">
        <is>
          <t>Internal</t>
        </is>
      </c>
    </row>
    <row r="44" ht="24" customHeight="1" s="66">
      <c r="A44" s="108" t="n"/>
      <c r="B44" s="109" t="inlineStr">
        <is>
          <t>Received timestamp
تاريخ الاستلام</t>
        </is>
      </c>
      <c r="C44" s="75" t="n"/>
      <c r="D44" s="112">
        <f>NOW()</f>
        <v/>
      </c>
      <c r="E44" s="111" t="inlineStr">
        <is>
          <t>Internal</t>
        </is>
      </c>
    </row>
    <row r="45" ht="24" customHeight="1" s="66">
      <c r="A45" s="108" t="n"/>
      <c r="B45" s="109" t="inlineStr">
        <is>
          <t>Intake channel
قناة الاستلام</t>
        </is>
      </c>
      <c r="C45" s="75" t="n"/>
      <c r="D45" s="98" t="n"/>
      <c r="E45" s="111" t="inlineStr">
        <is>
          <t>Internal</t>
        </is>
      </c>
    </row>
    <row r="46" ht="24" customHeight="1" s="66">
      <c r="A46" s="108" t="n"/>
      <c r="B46" s="109" t="inlineStr">
        <is>
          <t>Assigned handler
الموظف المسؤول</t>
        </is>
      </c>
      <c r="C46" s="75" t="n"/>
      <c r="D46" s="98" t="n"/>
      <c r="E46" s="111" t="inlineStr">
        <is>
          <t>Internal</t>
        </is>
      </c>
    </row>
    <row r="47" ht="24" customHeight="1" s="66">
      <c r="A47" s="108" t="n"/>
      <c r="B47" s="109" t="inlineStr">
        <is>
          <t>Status
الحالة</t>
        </is>
      </c>
      <c r="C47" s="75" t="n"/>
      <c r="D47" s="98" t="n"/>
      <c r="E47" s="111" t="inlineStr">
        <is>
          <t>Internal</t>
        </is>
      </c>
    </row>
    <row r="48" ht="24" customHeight="1" s="66">
      <c r="A48" s="108" t="n"/>
      <c r="B48" s="109" t="inlineStr">
        <is>
          <t>Next action + due date
الإجراء التالي وتاريخه</t>
        </is>
      </c>
      <c r="C48" s="75" t="n"/>
      <c r="D48" s="98" t="n"/>
      <c r="E48" s="111" t="inlineStr">
        <is>
          <t>Internal</t>
        </is>
      </c>
    </row>
    <row r="49" ht="24" customHeight="1" s="66">
      <c r="A49" s="108" t="n"/>
      <c r="B49" s="109" t="inlineStr">
        <is>
          <t>Notes / comments
ملاحظات</t>
        </is>
      </c>
      <c r="C49" s="75" t="n"/>
      <c r="D49" s="98" t="n"/>
      <c r="E49" s="111" t="inlineStr">
        <is>
          <t>Internal</t>
        </is>
      </c>
    </row>
    <row r="50"/>
    <row r="51" ht="25.5" customHeight="1" s="66">
      <c r="A51" s="113" t="inlineStr">
        <is>
          <t>✦  PRE-LAUNCH TARGET: 25 fully-registered volunteers by 30 Jun 2026  ·  Measured weekly on 17_KPI_DASH</t>
        </is>
      </c>
    </row>
  </sheetData>
  <mergeCells count="45">
    <mergeCell ref="A30:E30"/>
    <mergeCell ref="B47:C47"/>
    <mergeCell ref="B16:C16"/>
    <mergeCell ref="B25:C25"/>
    <mergeCell ref="B46:C46"/>
    <mergeCell ref="A51:E51"/>
    <mergeCell ref="B22:C22"/>
    <mergeCell ref="B31:C31"/>
    <mergeCell ref="A36:E36"/>
    <mergeCell ref="B27:C27"/>
    <mergeCell ref="B38:D38"/>
    <mergeCell ref="B43:C43"/>
    <mergeCell ref="B12:C12"/>
    <mergeCell ref="B21:C21"/>
    <mergeCell ref="B48:C48"/>
    <mergeCell ref="B37:D37"/>
    <mergeCell ref="A4:E5"/>
    <mergeCell ref="B11:C11"/>
    <mergeCell ref="A7:E7"/>
    <mergeCell ref="B40:D40"/>
    <mergeCell ref="B17:C17"/>
    <mergeCell ref="B8:C8"/>
    <mergeCell ref="A18:E18"/>
    <mergeCell ref="A3:E3"/>
    <mergeCell ref="B13:C13"/>
    <mergeCell ref="B44:C44"/>
    <mergeCell ref="B29:C29"/>
    <mergeCell ref="B19:C19"/>
    <mergeCell ref="B34:C34"/>
    <mergeCell ref="A42:E42"/>
    <mergeCell ref="B10:C10"/>
    <mergeCell ref="B28:C28"/>
    <mergeCell ref="A23:E23"/>
    <mergeCell ref="A1:E2"/>
    <mergeCell ref="A14:E14"/>
    <mergeCell ref="B9:C9"/>
    <mergeCell ref="B49:C49"/>
    <mergeCell ref="B24:C24"/>
    <mergeCell ref="B15:C15"/>
    <mergeCell ref="B33:C33"/>
    <mergeCell ref="B20:C20"/>
    <mergeCell ref="B45:C45"/>
    <mergeCell ref="B32:C32"/>
    <mergeCell ref="B26:C26"/>
    <mergeCell ref="B39:D39"/>
  </mergeCells>
  <dataValidations count="13">
    <dataValidation sqref="D19" showDropDown="0" showInputMessage="0" showErrorMessage="0" allowBlank="1" errorTitle="Number" error="Numbers only" type="decimal" errorStyle="stop" operator="greaterThanOrEqual">
      <formula1>0</formula1>
      <formula2>0</formula2>
    </dataValidation>
    <dataValidation sqref="D9" showDropDown="0" showInputMessage="0" showErrorMessage="0" allowBlank="1" errorTitle="Date" error="Enter a valid date" type="date" errorStyle="stop" operator="between">
      <formula1>DATE(2020,1,1)</formula1>
      <formula2>DATE(2035,12,31)</formula2>
    </dataValidation>
    <dataValidation sqref="D16" showDropDown="0" showInputMessage="0" showErrorMessage="0" allowBlank="1" type="list" errorStyle="stop" operator="between">
      <formula1>Domains</formula1>
      <formula2>0</formula2>
    </dataValidation>
    <dataValidation sqref="D20" showDropDown="0" showInputMessage="0" showErrorMessage="0" allowBlank="1" errorTitle="Date" error="Enter a valid date" type="date" errorStyle="stop" operator="between">
      <formula1>DATE(2020,1,1)</formula1>
      <formula2>DATE(2035,12,31)</formula2>
    </dataValidation>
    <dataValidation sqref="D21" showDropDown="0" showInputMessage="0" showErrorMessage="0" allowBlank="1" errorTitle="Date" error="Enter a valid date" type="date" errorStyle="stop" operator="between">
      <formula1>DATE(2020,1,1)</formula1>
      <formula2>DATE(2035,12,31)</formula2>
    </dataValidation>
    <dataValidation sqref="D24" showDropDown="0" showInputMessage="0" showErrorMessage="0" allowBlank="1" type="list" errorStyle="stop" operator="between">
      <formula1>YesNo</formula1>
      <formula2>0</formula2>
    </dataValidation>
    <dataValidation sqref="D25" showDropDown="0" showInputMessage="0" showErrorMessage="0" allowBlank="1" type="list" errorStyle="stop" operator="between">
      <formula1>YesNo</formula1>
      <formula2>0</formula2>
    </dataValidation>
    <dataValidation sqref="D31" showDropDown="0" showInputMessage="0" showErrorMessage="0" allowBlank="1" type="list" errorStyle="stop" operator="between">
      <formula1>YesNo</formula1>
      <formula2>0</formula2>
    </dataValidation>
    <dataValidation sqref="D32" showDropDown="0" showInputMessage="0" showErrorMessage="0" allowBlank="1" type="list" errorStyle="stop" operator="between">
      <formula1>YesNo</formula1>
      <formula2>0</formula2>
    </dataValidation>
    <dataValidation sqref="D33" showDropDown="0" showInputMessage="0" showErrorMessage="0" allowBlank="1" type="list" errorStyle="stop" operator="between">
      <formula1>YesNo</formula1>
      <formula2>0</formula2>
    </dataValidation>
    <dataValidation sqref="D34" showDropDown="0" showInputMessage="0" showErrorMessage="0" allowBlank="1" type="list" errorStyle="stop" operator="between">
      <formula1>YesNo</formula1>
      <formula2>0</formula2>
    </dataValidation>
    <dataValidation sqref="D45" showDropDown="0" showInputMessage="0" showErrorMessage="0" allowBlank="1" type="list" errorStyle="stop" operator="between">
      <formula1>Channels</formula1>
      <formula2>0</formula2>
    </dataValidation>
    <dataValidation sqref="D47"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1"/>
  </sheetPr>
  <dimension ref="A1:E53"/>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HUB SPACE BOOKING
نموذج حجز المساحة</t>
        </is>
      </c>
    </row>
    <row r="2" ht="15" customHeight="1" s="66"/>
    <row r="3" ht="15" customHeight="1" s="66">
      <c r="A3" s="68" t="inlineStr">
        <is>
          <t>Sheet code: HBK  ·  Version: v1.0  ·  Bilingual AR/EN  ·  Mobile + WhatsApp compatible  ·  Constitutional FX: dated Aden market rate</t>
        </is>
      </c>
    </row>
    <row r="4" ht="27.75" customHeight="1" s="66">
      <c r="A4" s="95" t="inlineStr">
        <is>
          <t>Individual booking form. For recurring / enterprise use, the Hub Membership contract supersedes this form. A confirmation with QR entry code is issued within 2 hours.
نموذج الحجز الفردي. للاستخدام المتكرر أو المؤسسي يُستخدَم عقد العضوية بدلاً من هذا النموذج. يصل تأكيد الحجز مع رمز QR للدخول خلال ساعتين.</t>
        </is>
      </c>
    </row>
    <row r="5" ht="27.75" customHeight="1" s="66"/>
    <row r="6"/>
    <row r="7" ht="15" customHeight="1" s="66">
      <c r="A7" s="69" t="inlineStr">
        <is>
          <t>A. Who is booking / بيانات الحجز</t>
        </is>
      </c>
    </row>
    <row r="8" ht="21.75" customHeight="1" s="66">
      <c r="A8" s="96" t="n">
        <v>1</v>
      </c>
      <c r="B8" s="97" t="inlineStr">
        <is>
          <t>Booker full name
اسم صاحب الحجز</t>
        </is>
      </c>
      <c r="C8" s="75" t="n"/>
      <c r="D8" s="98" t="n"/>
      <c r="E8" s="99" t="inlineStr">
        <is>
          <t>Required</t>
        </is>
      </c>
    </row>
    <row r="9" ht="21.75" customHeight="1" s="66">
      <c r="A9" s="96" t="n">
        <v>2</v>
      </c>
      <c r="B9" s="97" t="inlineStr">
        <is>
          <t>Email
البريد الإلكتروني</t>
        </is>
      </c>
      <c r="C9" s="75" t="n"/>
      <c r="D9" s="98" t="n"/>
      <c r="E9" s="99" t="inlineStr">
        <is>
          <t>Required</t>
        </is>
      </c>
    </row>
    <row r="10" ht="21.75" customHeight="1" s="66">
      <c r="A10" s="96" t="n">
        <v>3</v>
      </c>
      <c r="B10" s="97" t="inlineStr">
        <is>
          <t>Mobile / WhatsApp
الجوال / واتساب</t>
        </is>
      </c>
      <c r="C10" s="75" t="n"/>
      <c r="D10" s="100" t="n"/>
      <c r="E10" s="99" t="inlineStr">
        <is>
          <t>Required</t>
        </is>
      </c>
    </row>
    <row r="11" ht="21.75" customHeight="1" s="66">
      <c r="A11" s="96" t="n">
        <v>4</v>
      </c>
      <c r="B11" s="97" t="inlineStr">
        <is>
          <t>Company (if any)
الشركة (إن وُجدت)</t>
        </is>
      </c>
      <c r="C11" s="75" t="n"/>
      <c r="D11" s="98" t="n"/>
      <c r="E11" s="101" t="inlineStr">
        <is>
          <t>Optional</t>
        </is>
      </c>
    </row>
    <row r="12" ht="21.75" customHeight="1" s="66">
      <c r="A12" s="96" t="n">
        <v>5</v>
      </c>
      <c r="B12" s="97" t="inlineStr">
        <is>
          <t>Existing member?
عضو حالي؟</t>
        </is>
      </c>
      <c r="C12" s="75" t="n"/>
      <c r="D12" s="98" t="n"/>
      <c r="E12" s="99" t="inlineStr">
        <is>
          <t>Required</t>
        </is>
      </c>
    </row>
    <row r="13" ht="21.75" customHeight="1" s="66">
      <c r="A13" s="96" t="n">
        <v>6</v>
      </c>
      <c r="B13" s="97" t="inlineStr">
        <is>
          <t>Kayan member ID (if any)
رقم العضوية (إن وُجد)</t>
        </is>
      </c>
      <c r="C13" s="75" t="n"/>
      <c r="D13" s="98" t="n"/>
      <c r="E13" s="101" t="inlineStr">
        <is>
          <t>Optional</t>
        </is>
      </c>
    </row>
    <row r="14" ht="15" customHeight="1" s="66">
      <c r="A14" s="69" t="inlineStr">
        <is>
          <t>B. What to book / ما المطلوب</t>
        </is>
      </c>
    </row>
    <row r="15" ht="21.75" customHeight="1" s="66">
      <c r="A15" s="96" t="n">
        <v>7</v>
      </c>
      <c r="B15" s="97" t="inlineStr">
        <is>
          <t>Booking type
نوع الحجز</t>
        </is>
      </c>
      <c r="C15" s="75" t="n"/>
      <c r="D15" s="98" t="n"/>
      <c r="E15" s="99" t="inlineStr">
        <is>
          <t>Required</t>
        </is>
      </c>
    </row>
    <row r="16" ht="21.75" customHeight="1" s="66">
      <c r="A16" s="96" t="n">
        <v>8</v>
      </c>
      <c r="B16" s="97" t="inlineStr">
        <is>
          <t>Number of seats / people
عدد المقاعد أو الأشخاص</t>
        </is>
      </c>
      <c r="C16" s="75" t="n"/>
      <c r="D16" s="98" t="n"/>
      <c r="E16" s="99" t="inlineStr">
        <is>
          <t>Required</t>
        </is>
      </c>
    </row>
    <row r="17" ht="21.75" customHeight="1" s="66">
      <c r="A17" s="96" t="n">
        <v>9</v>
      </c>
      <c r="B17" s="97" t="inlineStr">
        <is>
          <t>Date
التاريخ</t>
        </is>
      </c>
      <c r="C17" s="75" t="n"/>
      <c r="D17" s="103" t="n"/>
      <c r="E17" s="99" t="inlineStr">
        <is>
          <t>Required</t>
        </is>
      </c>
    </row>
    <row r="18" ht="21.75" customHeight="1" s="66">
      <c r="A18" s="96" t="n">
        <v>10</v>
      </c>
      <c r="B18" s="97" t="inlineStr">
        <is>
          <t>Start time
وقت البدء</t>
        </is>
      </c>
      <c r="C18" s="75" t="n"/>
      <c r="D18" s="98" t="n"/>
      <c r="E18" s="99" t="inlineStr">
        <is>
          <t>Required</t>
        </is>
      </c>
    </row>
    <row r="19" ht="21.75" customHeight="1" s="66">
      <c r="A19" s="96" t="n">
        <v>11</v>
      </c>
      <c r="B19" s="97" t="inlineStr">
        <is>
          <t>End time
وقت الانتهاء</t>
        </is>
      </c>
      <c r="C19" s="75" t="n"/>
      <c r="D19" s="98" t="n"/>
      <c r="E19" s="99" t="inlineStr">
        <is>
          <t>Required</t>
        </is>
      </c>
    </row>
    <row r="20" ht="21.75" customHeight="1" s="66">
      <c r="A20" s="96" t="n">
        <v>12</v>
      </c>
      <c r="B20" s="97" t="inlineStr">
        <is>
          <t>Recurring? (weekly / monthly)
هل الحجز متكرر؟</t>
        </is>
      </c>
      <c r="C20" s="75" t="n"/>
      <c r="D20" s="98" t="n"/>
      <c r="E20" s="101" t="inlineStr">
        <is>
          <t>Optional</t>
        </is>
      </c>
    </row>
    <row r="21" ht="15" customHeight="1" s="66">
      <c r="A21" s="69" t="inlineStr">
        <is>
          <t>C. Pricing (calculated) / التسعير</t>
        </is>
      </c>
    </row>
    <row r="22" ht="21.75" customHeight="1" s="66">
      <c r="A22" s="96" t="n">
        <v>13</v>
      </c>
      <c r="B22" s="97" t="inlineStr">
        <is>
          <t>Rate per unit (USD)
السعر لكل وحدة ($)</t>
        </is>
      </c>
      <c r="C22" s="75" t="n"/>
      <c r="D22" s="98" t="n"/>
      <c r="E22" s="99" t="inlineStr">
        <is>
          <t>Required</t>
        </is>
      </c>
    </row>
    <row r="23" ht="21.75" customHeight="1" s="66">
      <c r="A23" s="96" t="n">
        <v>14</v>
      </c>
      <c r="B23" s="97" t="inlineStr">
        <is>
          <t>Hours
الساعات</t>
        </is>
      </c>
      <c r="C23" s="75" t="n"/>
      <c r="D23" s="98" t="n"/>
      <c r="E23" s="99" t="inlineStr">
        <is>
          <t>Required</t>
        </is>
      </c>
    </row>
    <row r="24" ht="21.75" customHeight="1" s="66">
      <c r="A24" s="96" t="n">
        <v>15</v>
      </c>
      <c r="B24" s="97" t="inlineStr">
        <is>
          <t>Subtotal (USD)
المجموع الفرعي ($)</t>
        </is>
      </c>
      <c r="C24" s="75" t="n"/>
      <c r="D24" s="98" t="n"/>
      <c r="E24" s="101" t="inlineStr">
        <is>
          <t>Optional</t>
        </is>
      </c>
    </row>
    <row r="25" ht="15" customHeight="1" s="66">
      <c r="A25" s="69" t="inlineStr">
        <is>
          <t>D. Extras / الإضافات</t>
        </is>
      </c>
    </row>
    <row r="26" ht="21.75" customHeight="1" s="66">
      <c r="A26" s="96" t="n">
        <v>16</v>
      </c>
      <c r="B26" s="97" t="inlineStr">
        <is>
          <t>F&amp;B package?
حزمة المقهى؟</t>
        </is>
      </c>
      <c r="C26" s="75" t="n"/>
      <c r="D26" s="98" t="n"/>
      <c r="E26" s="101" t="inlineStr">
        <is>
          <t>Optional</t>
        </is>
      </c>
    </row>
    <row r="27" ht="21.75" customHeight="1" s="66">
      <c r="A27" s="96" t="n">
        <v>17</v>
      </c>
      <c r="B27" s="97" t="inlineStr">
        <is>
          <t>Printing credits?
حصة طباعة؟</t>
        </is>
      </c>
      <c r="C27" s="75" t="n"/>
      <c r="D27" s="98" t="n"/>
      <c r="E27" s="101" t="inlineStr">
        <is>
          <t>Optional</t>
        </is>
      </c>
    </row>
    <row r="28" ht="21.75" customHeight="1" s="66">
      <c r="A28" s="96" t="n">
        <v>18</v>
      </c>
      <c r="B28" s="97" t="inlineStr">
        <is>
          <t>A/V equipment?
معدات صوت/صورة؟</t>
        </is>
      </c>
      <c r="C28" s="75" t="n"/>
      <c r="D28" s="98" t="n"/>
      <c r="E28" s="101" t="inlineStr">
        <is>
          <t>Optional</t>
        </is>
      </c>
    </row>
    <row r="29" ht="21.75" customHeight="1" s="66">
      <c r="A29" s="96" t="n">
        <v>19</v>
      </c>
      <c r="B29" s="97" t="inlineStr">
        <is>
          <t>Event coordinator on-site?
منسق فعاليات بالموقع؟</t>
        </is>
      </c>
      <c r="C29" s="75" t="n"/>
      <c r="D29" s="98" t="n"/>
      <c r="E29" s="101" t="inlineStr">
        <is>
          <t>Optional</t>
        </is>
      </c>
    </row>
    <row r="30" ht="15" customHeight="1" s="66">
      <c r="A30" s="69" t="inlineStr">
        <is>
          <t>E. Payment / الدفع</t>
        </is>
      </c>
    </row>
    <row r="31" ht="21.75" customHeight="1" s="66">
      <c r="A31" s="96" t="n">
        <v>20</v>
      </c>
      <c r="B31" s="97" t="inlineStr">
        <is>
          <t>Payment method
طريقة الدفع</t>
        </is>
      </c>
      <c r="C31" s="75" t="n"/>
      <c r="D31" s="98" t="n"/>
      <c r="E31" s="99" t="inlineStr">
        <is>
          <t>Required</t>
        </is>
      </c>
    </row>
    <row r="32" ht="21.75" customHeight="1" s="66">
      <c r="A32" s="96" t="n">
        <v>21</v>
      </c>
      <c r="B32" s="97" t="inlineStr">
        <is>
          <t>Currency
العملة</t>
        </is>
      </c>
      <c r="C32" s="75" t="n"/>
      <c r="D32" s="98" t="n"/>
      <c r="E32" s="99" t="inlineStr">
        <is>
          <t>Required</t>
        </is>
      </c>
    </row>
    <row r="33" ht="21.75" customHeight="1" s="66">
      <c r="A33" s="96" t="n">
        <v>22</v>
      </c>
      <c r="B33" s="97" t="inlineStr">
        <is>
          <t>Invoice needed?
فاتورة مطلوبة؟</t>
        </is>
      </c>
      <c r="C33" s="75" t="n"/>
      <c r="D33" s="98" t="n"/>
      <c r="E33" s="99" t="inlineStr">
        <is>
          <t>Required</t>
        </is>
      </c>
    </row>
    <row r="34" ht="15" customHeight="1" s="66">
      <c r="A34" s="69" t="inlineStr">
        <is>
          <t>F. House rules / قواعد المكان</t>
        </is>
      </c>
    </row>
    <row r="35" ht="21.75" customHeight="1" s="66">
      <c r="A35" s="96" t="n">
        <v>23</v>
      </c>
      <c r="B35" s="97" t="inlineStr">
        <is>
          <t>Accept hub house rules
قبول قواعد المساحة</t>
        </is>
      </c>
      <c r="C35" s="75" t="n"/>
      <c r="D35" s="98" t="n"/>
      <c r="E35" s="99" t="inlineStr">
        <is>
          <t>Required</t>
        </is>
      </c>
    </row>
    <row r="36" ht="21.75" customHeight="1" s="66">
      <c r="A36" s="96" t="n">
        <v>24</v>
      </c>
      <c r="B36" s="97" t="inlineStr">
        <is>
          <t>Cancellation policy acknowledged
الإقرار بسياسة الإلغاء</t>
        </is>
      </c>
      <c r="C36" s="75" t="n"/>
      <c r="D36" s="98" t="n"/>
      <c r="E36" s="99" t="inlineStr">
        <is>
          <t>Required</t>
        </is>
      </c>
    </row>
    <row r="37"/>
    <row r="38" ht="15" customHeight="1" s="66">
      <c r="A38" s="69" t="inlineStr">
        <is>
          <t>CONSENT &amp; SUBMISSION META / الموافقة وبيانات الإرسال</t>
        </is>
      </c>
    </row>
    <row r="39" ht="36" customHeight="1" s="66">
      <c r="A39" s="104" t="inlineStr">
        <is>
          <t>☐</t>
        </is>
      </c>
      <c r="B39" s="74" t="inlineStr">
        <is>
          <t>I consent to Kayan storing my data for EOI processing.
أوافق على احتفاظ كيان ببياناتي لمعالجة اهتمامي.</t>
        </is>
      </c>
      <c r="C39" s="75" t="n"/>
      <c r="D39" s="75" t="n"/>
      <c r="E39" s="105" t="inlineStr">
        <is>
          <t>Required</t>
        </is>
      </c>
    </row>
    <row r="40" ht="36" customHeight="1" s="66">
      <c r="A40" s="104" t="inlineStr">
        <is>
          <t>☐</t>
        </is>
      </c>
      <c r="B40" s="74" t="inlineStr">
        <is>
          <t>I agree to be contacted by Kayan through the channel I specified.
أوافق على أن تتواصل كيان معي عبر القناة التي اخترتها.</t>
        </is>
      </c>
      <c r="C40" s="75" t="n"/>
      <c r="D40" s="75" t="n"/>
      <c r="E40" s="105" t="inlineStr">
        <is>
          <t>Required</t>
        </is>
      </c>
    </row>
    <row r="41" ht="36" customHeight="1" s="66">
      <c r="A41" s="104" t="inlineStr">
        <is>
          <t>☐</t>
        </is>
      </c>
      <c r="B41" s="74" t="inlineStr">
        <is>
          <t>I confirm that all information provided is accurate to the best of my knowledge.
أؤكد أن جميع المعلومات دقيقة حسب معرفتي.</t>
        </is>
      </c>
      <c r="C41" s="75" t="n"/>
      <c r="D41" s="75" t="n"/>
      <c r="E41" s="105" t="inlineStr">
        <is>
          <t>Required</t>
        </is>
      </c>
    </row>
    <row r="42" ht="36" customHeight="1" s="66">
      <c r="A42" s="104" t="inlineStr">
        <is>
          <t>☐</t>
        </is>
      </c>
      <c r="B42" s="74" t="inlineStr">
        <is>
          <t>I am happy to receive updates (newsletter, events, opportunities).
أرغب في تلقي التحديثات (النشرة والأحداث والفرص).</t>
        </is>
      </c>
      <c r="C42" s="75" t="n"/>
      <c r="D42" s="75" t="n"/>
      <c r="E42" s="106" t="inlineStr">
        <is>
          <t>Optional</t>
        </is>
      </c>
    </row>
    <row r="43"/>
    <row r="44" ht="15" customHeight="1" s="66">
      <c r="A44" s="107" t="inlineStr">
        <is>
          <t>INTERNAL USE ONLY / لاستعمال الفريق فقط</t>
        </is>
      </c>
    </row>
    <row r="45" ht="24" customHeight="1" s="66">
      <c r="A45" s="108" t="n"/>
      <c r="B45" s="109" t="inlineStr">
        <is>
          <t>Submission ID (auto)
معرّف الطلب</t>
        </is>
      </c>
      <c r="C45" s="75" t="n"/>
      <c r="D45" s="110">
        <f>"KYN-HBK-"&amp;TEXT(TODAY(),"YYYYMMDD")&amp;"-"&amp;TEXT(RANDBETWEEN(1000,9999),"0000")</f>
        <v/>
      </c>
      <c r="E45" s="111" t="inlineStr">
        <is>
          <t>Internal</t>
        </is>
      </c>
    </row>
    <row r="46" ht="24" customHeight="1" s="66">
      <c r="A46" s="108" t="n"/>
      <c r="B46" s="109" t="inlineStr">
        <is>
          <t>Received timestamp
تاريخ الاستلام</t>
        </is>
      </c>
      <c r="C46" s="75" t="n"/>
      <c r="D46" s="112">
        <f>NOW()</f>
        <v/>
      </c>
      <c r="E46" s="111" t="inlineStr">
        <is>
          <t>Internal</t>
        </is>
      </c>
    </row>
    <row r="47" ht="24" customHeight="1" s="66">
      <c r="A47" s="108" t="n"/>
      <c r="B47" s="109" t="inlineStr">
        <is>
          <t>Intake channel
قناة الاستلام</t>
        </is>
      </c>
      <c r="C47" s="75" t="n"/>
      <c r="D47" s="98" t="n"/>
      <c r="E47" s="111" t="inlineStr">
        <is>
          <t>Internal</t>
        </is>
      </c>
    </row>
    <row r="48" ht="24" customHeight="1" s="66">
      <c r="A48" s="108" t="n"/>
      <c r="B48" s="109" t="inlineStr">
        <is>
          <t>Assigned handler
الموظف المسؤول</t>
        </is>
      </c>
      <c r="C48" s="75" t="n"/>
      <c r="D48" s="98" t="n"/>
      <c r="E48" s="111" t="inlineStr">
        <is>
          <t>Internal</t>
        </is>
      </c>
    </row>
    <row r="49" ht="24" customHeight="1" s="66">
      <c r="A49" s="108" t="n"/>
      <c r="B49" s="109" t="inlineStr">
        <is>
          <t>Status
الحالة</t>
        </is>
      </c>
      <c r="C49" s="75" t="n"/>
      <c r="D49" s="98" t="n"/>
      <c r="E49" s="111" t="inlineStr">
        <is>
          <t>Internal</t>
        </is>
      </c>
    </row>
    <row r="50" ht="24" customHeight="1" s="66">
      <c r="A50" s="108" t="n"/>
      <c r="B50" s="109" t="inlineStr">
        <is>
          <t>Next action + due date
الإجراء التالي وتاريخه</t>
        </is>
      </c>
      <c r="C50" s="75" t="n"/>
      <c r="D50" s="98" t="n"/>
      <c r="E50" s="111" t="inlineStr">
        <is>
          <t>Internal</t>
        </is>
      </c>
    </row>
    <row r="51" ht="24" customHeight="1" s="66">
      <c r="A51" s="108" t="n"/>
      <c r="B51" s="109" t="inlineStr">
        <is>
          <t>Notes / comments
ملاحظات</t>
        </is>
      </c>
      <c r="C51" s="75" t="n"/>
      <c r="D51" s="98" t="n"/>
      <c r="E51" s="111" t="inlineStr">
        <is>
          <t>Internal</t>
        </is>
      </c>
    </row>
    <row r="52"/>
    <row r="53" ht="25.5" customHeight="1" s="66">
      <c r="A53" s="113" t="inlineStr">
        <is>
          <t>✦  PRE-LAUNCH TARGET: First 100 bookings in June 2026  ·  Measured weekly on 17_KPI_DASH</t>
        </is>
      </c>
    </row>
  </sheetData>
  <mergeCells count="47">
    <mergeCell ref="A30:E30"/>
    <mergeCell ref="B42:D42"/>
    <mergeCell ref="A34:E34"/>
    <mergeCell ref="B47:C47"/>
    <mergeCell ref="B16:C16"/>
    <mergeCell ref="B46:C46"/>
    <mergeCell ref="B22:C22"/>
    <mergeCell ref="B31:C31"/>
    <mergeCell ref="B27:C27"/>
    <mergeCell ref="B18:C18"/>
    <mergeCell ref="B12:C12"/>
    <mergeCell ref="B48:C48"/>
    <mergeCell ref="A4:E5"/>
    <mergeCell ref="B11:C11"/>
    <mergeCell ref="A7:E7"/>
    <mergeCell ref="A25:E25"/>
    <mergeCell ref="B23:C23"/>
    <mergeCell ref="B40:D40"/>
    <mergeCell ref="B17:C17"/>
    <mergeCell ref="B8:C8"/>
    <mergeCell ref="A3:E3"/>
    <mergeCell ref="B13:C13"/>
    <mergeCell ref="A21:E21"/>
    <mergeCell ref="B29:C29"/>
    <mergeCell ref="B41:D41"/>
    <mergeCell ref="B19:C19"/>
    <mergeCell ref="B10:C10"/>
    <mergeCell ref="B28:C28"/>
    <mergeCell ref="A1:E2"/>
    <mergeCell ref="A14:E14"/>
    <mergeCell ref="B9:C9"/>
    <mergeCell ref="B49:C49"/>
    <mergeCell ref="A53:E53"/>
    <mergeCell ref="B24:C24"/>
    <mergeCell ref="B15:C15"/>
    <mergeCell ref="B33:C33"/>
    <mergeCell ref="A38:E38"/>
    <mergeCell ref="B51:C51"/>
    <mergeCell ref="B20:C20"/>
    <mergeCell ref="B45:C45"/>
    <mergeCell ref="B36:C36"/>
    <mergeCell ref="B32:C32"/>
    <mergeCell ref="B50:C50"/>
    <mergeCell ref="B26:C26"/>
    <mergeCell ref="A44:E44"/>
    <mergeCell ref="B39:D39"/>
    <mergeCell ref="B35:C35"/>
  </mergeCells>
  <dataValidations count="14">
    <dataValidation sqref="D16 D22:D24" showDropDown="0" showInputMessage="0" showErrorMessage="0" allowBlank="1" errorTitle="Number" error="Numbers only" type="decimal" errorStyle="stop" operator="greaterThanOrEqual">
      <formula1>0</formula1>
      <formula2>0</formula2>
    </dataValidation>
    <dataValidation sqref="D9" showDropDown="0" showInputMessage="0" showErrorMessage="0" allowBlank="1" errorTitle="Email" error="Enter a valid email" type="custom" errorStyle="stop" operator="between">
      <formula1>ISNUMBER(SEARCH("@",D9))</formula1>
      <formula2>0</formula2>
    </dataValidation>
    <dataValidation sqref="D12" showDropDown="0" showInputMessage="0" showErrorMessage="0" allowBlank="1" type="list" errorStyle="stop" operator="between">
      <formula1>YesNo</formula1>
      <formula2>0</formula2>
    </dataValidation>
    <dataValidation sqref="D17" showDropDown="0" showInputMessage="0" showErrorMessage="0" allowBlank="1" errorTitle="Date" error="Enter a valid date" type="date" errorStyle="stop" operator="between">
      <formula1>DATE(2020,1,1)</formula1>
      <formula2>DATE(2035,12,31)</formula2>
    </dataValidation>
    <dataValidation sqref="D26" showDropDown="0" showInputMessage="0" showErrorMessage="0" allowBlank="1" type="list" errorStyle="stop" operator="between">
      <formula1>YesNo</formula1>
      <formula2>0</formula2>
    </dataValidation>
    <dataValidation sqref="D27" showDropDown="0" showInputMessage="0" showErrorMessage="0" allowBlank="1" type="list" errorStyle="stop" operator="between">
      <formula1>YesNo</formula1>
      <formula2>0</formula2>
    </dataValidation>
    <dataValidation sqref="D28" showDropDown="0" showInputMessage="0" showErrorMessage="0" allowBlank="1" type="list" errorStyle="stop" operator="between">
      <formula1>YesNo</formula1>
      <formula2>0</formula2>
    </dataValidation>
    <dataValidation sqref="D29" showDropDown="0" showInputMessage="0" showErrorMessage="0" allowBlank="1" type="list" errorStyle="stop" operator="between">
      <formula1>YesNo</formula1>
      <formula2>0</formula2>
    </dataValidation>
    <dataValidation sqref="D32" showDropDown="0" showInputMessage="0" showErrorMessage="0" allowBlank="1" type="list" errorStyle="stop" operator="between">
      <formula1>Currencies</formula1>
      <formula2>0</formula2>
    </dataValidation>
    <dataValidation sqref="D33" showDropDown="0" showInputMessage="0" showErrorMessage="0" allowBlank="1" type="list" errorStyle="stop" operator="between">
      <formula1>YesNo</formula1>
      <formula2>0</formula2>
    </dataValidation>
    <dataValidation sqref="D35" showDropDown="0" showInputMessage="0" showErrorMessage="0" allowBlank="1" type="list" errorStyle="stop" operator="between">
      <formula1>YesNo</formula1>
      <formula2>0</formula2>
    </dataValidation>
    <dataValidation sqref="D36" showDropDown="0" showInputMessage="0" showErrorMessage="0" allowBlank="1" type="list" errorStyle="stop" operator="between">
      <formula1>YesNo</formula1>
      <formula2>0</formula2>
    </dataValidation>
    <dataValidation sqref="D47" showDropDown="0" showInputMessage="0" showErrorMessage="0" allowBlank="1" type="list" errorStyle="stop" operator="between">
      <formula1>Channels</formula1>
      <formula2>0</formula2>
    </dataValidation>
    <dataValidation sqref="D49"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1"/>
  </sheetPr>
  <dimension ref="A1:E48"/>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30" customWidth="1" style="65" min="2" max="2"/>
    <col width="38" customWidth="1" style="65" min="3" max="3"/>
    <col width="30" customWidth="1" style="65" min="4" max="4"/>
    <col width="14" customWidth="1" style="65" min="5" max="5"/>
  </cols>
  <sheetData>
    <row r="1" ht="15" customHeight="1" s="66">
      <c r="A1" s="83" t="inlineStr">
        <is>
          <t>ACADEMY COHORT ENROLLMENT
تسجيل دفعة كيان فورج</t>
        </is>
      </c>
    </row>
    <row r="2" ht="15" customHeight="1" s="66"/>
    <row r="3" ht="15" customHeight="1" s="66">
      <c r="A3" s="68" t="inlineStr">
        <is>
          <t>Sheet code: ACE  ·  Version: v1.0  ·  Bilingual AR/EN  ·  Mobile + WhatsApp compatible  ·  Constitutional FX: dated Aden market rate</t>
        </is>
      </c>
    </row>
    <row r="4" ht="27.75" customHeight="1" s="66">
      <c r="A4" s="95" t="inlineStr">
        <is>
          <t>Once a cohort opens, this form confirms the learner's seat. Seat is released if first payment is not received within 5 business days.
عند فتح الدفعة يؤكد هذا النموذج مقعد المتعلم. يُلغى المقعد إن لم تصل الدفعة الأولى خلال 5 أيام عمل.</t>
        </is>
      </c>
    </row>
    <row r="5" ht="27.75" customHeight="1" s="66"/>
    <row r="6"/>
    <row r="7" ht="15" customHeight="1" s="66">
      <c r="A7" s="69" t="inlineStr">
        <is>
          <t>A. Learner / المتعلم</t>
        </is>
      </c>
    </row>
    <row r="8" ht="21.75" customHeight="1" s="66">
      <c r="A8" s="96" t="n">
        <v>1</v>
      </c>
      <c r="B8" s="97" t="inlineStr">
        <is>
          <t>Full name
الاسم الكامل</t>
        </is>
      </c>
      <c r="C8" s="75" t="n"/>
      <c r="D8" s="98" t="n"/>
      <c r="E8" s="99" t="inlineStr">
        <is>
          <t>Required</t>
        </is>
      </c>
    </row>
    <row r="9" ht="21.75" customHeight="1" s="66">
      <c r="A9" s="96" t="n">
        <v>2</v>
      </c>
      <c r="B9" s="97" t="inlineStr">
        <is>
          <t>Age band
الفئة العمرية</t>
        </is>
      </c>
      <c r="C9" s="75" t="n"/>
      <c r="D9" s="98" t="n"/>
      <c r="E9" s="99" t="inlineStr">
        <is>
          <t>Required</t>
        </is>
      </c>
    </row>
    <row r="10" ht="21.75" customHeight="1" s="66">
      <c r="A10" s="96" t="n">
        <v>3</v>
      </c>
      <c r="B10" s="97" t="inlineStr">
        <is>
          <t>Email
البريد الإلكتروني</t>
        </is>
      </c>
      <c r="C10" s="75" t="n"/>
      <c r="D10" s="98" t="n"/>
      <c r="E10" s="99" t="inlineStr">
        <is>
          <t>Required</t>
        </is>
      </c>
    </row>
    <row r="11" ht="21.75" customHeight="1" s="66">
      <c r="A11" s="96" t="n">
        <v>4</v>
      </c>
      <c r="B11" s="97" t="inlineStr">
        <is>
          <t>Mobile / WhatsApp
الجوال / واتساب</t>
        </is>
      </c>
      <c r="C11" s="75" t="n"/>
      <c r="D11" s="100" t="n"/>
      <c r="E11" s="99" t="inlineStr">
        <is>
          <t>Required</t>
        </is>
      </c>
    </row>
    <row r="12" ht="21.75" customHeight="1" s="66">
      <c r="A12" s="96" t="n">
        <v>5</v>
      </c>
      <c r="B12" s="97" t="inlineStr">
        <is>
          <t>Country
الدولة</t>
        </is>
      </c>
      <c r="C12" s="75" t="n"/>
      <c r="D12" s="98" t="n"/>
      <c r="E12" s="99" t="inlineStr">
        <is>
          <t>Required</t>
        </is>
      </c>
    </row>
    <row r="13" ht="21.75" customHeight="1" s="66">
      <c r="A13" s="96" t="n">
        <v>6</v>
      </c>
      <c r="B13" s="97" t="inlineStr">
        <is>
          <t>City
المدينة</t>
        </is>
      </c>
      <c r="C13" s="75" t="n"/>
      <c r="D13" s="98" t="n"/>
      <c r="E13" s="99" t="inlineStr">
        <is>
          <t>Required</t>
        </is>
      </c>
    </row>
    <row r="14" ht="15" customHeight="1" s="66">
      <c r="A14" s="69" t="inlineStr">
        <is>
          <t>B. Course / الدورة</t>
        </is>
      </c>
    </row>
    <row r="15" ht="21.75" customHeight="1" s="66">
      <c r="A15" s="96" t="n">
        <v>7</v>
      </c>
      <c r="B15" s="97" t="inlineStr">
        <is>
          <t>Course / track name
اسم الدورة أو المسار</t>
        </is>
      </c>
      <c r="C15" s="75" t="n"/>
      <c r="D15" s="98" t="n"/>
      <c r="E15" s="99" t="inlineStr">
        <is>
          <t>Required</t>
        </is>
      </c>
    </row>
    <row r="16" ht="21.75" customHeight="1" s="66">
      <c r="A16" s="96" t="n">
        <v>8</v>
      </c>
      <c r="B16" s="97" t="inlineStr">
        <is>
          <t>Cohort code / start date
رمز الدفعة / تاريخ البدء</t>
        </is>
      </c>
      <c r="C16" s="75" t="n"/>
      <c r="D16" s="98" t="n"/>
      <c r="E16" s="99" t="inlineStr">
        <is>
          <t>Required</t>
        </is>
      </c>
    </row>
    <row r="17" ht="21.75" customHeight="1" s="66">
      <c r="A17" s="96" t="n">
        <v>9</v>
      </c>
      <c r="B17" s="97" t="inlineStr">
        <is>
          <t>Format
الصيغة</t>
        </is>
      </c>
      <c r="C17" s="75" t="n"/>
      <c r="D17" s="98" t="n"/>
      <c r="E17" s="99" t="inlineStr">
        <is>
          <t>Required</t>
        </is>
      </c>
    </row>
    <row r="18" ht="21.75" customHeight="1" s="66">
      <c r="A18" s="96" t="n">
        <v>10</v>
      </c>
      <c r="B18" s="97" t="inlineStr">
        <is>
          <t>Duration (weeks)
المدة (أسابيع)</t>
        </is>
      </c>
      <c r="C18" s="75" t="n"/>
      <c r="D18" s="98" t="n"/>
      <c r="E18" s="99" t="inlineStr">
        <is>
          <t>Required</t>
        </is>
      </c>
    </row>
    <row r="19" ht="21.75" customHeight="1" s="66">
      <c r="A19" s="96" t="n">
        <v>11</v>
      </c>
      <c r="B19" s="97" t="inlineStr">
        <is>
          <t>Hours per week
الساعات الأسبوعية</t>
        </is>
      </c>
      <c r="C19" s="75" t="n"/>
      <c r="D19" s="98" t="n"/>
      <c r="E19" s="99" t="inlineStr">
        <is>
          <t>Required</t>
        </is>
      </c>
    </row>
    <row r="20" ht="15" customHeight="1" s="66">
      <c r="A20" s="69" t="inlineStr">
        <is>
          <t>C. Fee &amp; payment / الرسوم والدفع</t>
        </is>
      </c>
    </row>
    <row r="21" ht="21.75" customHeight="1" s="66">
      <c r="A21" s="96" t="n">
        <v>12</v>
      </c>
      <c r="B21" s="97" t="inlineStr">
        <is>
          <t>Full fee (USD)
الرسوم الكاملة ($)</t>
        </is>
      </c>
      <c r="C21" s="75" t="n"/>
      <c r="D21" s="98" t="n"/>
      <c r="E21" s="99" t="inlineStr">
        <is>
          <t>Required</t>
        </is>
      </c>
    </row>
    <row r="22" ht="21.75" customHeight="1" s="66">
      <c r="A22" s="96" t="n">
        <v>13</v>
      </c>
      <c r="B22" s="97" t="inlineStr">
        <is>
          <t>Scholarship applied (%)
المنحة المطبقة (%)</t>
        </is>
      </c>
      <c r="C22" s="75" t="n"/>
      <c r="D22" s="98" t="n"/>
      <c r="E22" s="101" t="inlineStr">
        <is>
          <t>Optional</t>
        </is>
      </c>
    </row>
    <row r="23" ht="21.75" customHeight="1" s="66">
      <c r="A23" s="96" t="n">
        <v>14</v>
      </c>
      <c r="B23" s="97" t="inlineStr">
        <is>
          <t>Amount due (USD)
المبلغ المستحق ($)</t>
        </is>
      </c>
      <c r="C23" s="75" t="n"/>
      <c r="D23" s="98" t="n"/>
      <c r="E23" s="99" t="inlineStr">
        <is>
          <t>Required</t>
        </is>
      </c>
    </row>
    <row r="24" ht="21.75" customHeight="1" s="66">
      <c r="A24" s="96" t="n">
        <v>15</v>
      </c>
      <c r="B24" s="97" t="inlineStr">
        <is>
          <t>Payment plan (installments)
خطة الدفع</t>
        </is>
      </c>
      <c r="C24" s="75" t="n"/>
      <c r="D24" s="98" t="n"/>
      <c r="E24" s="99" t="inlineStr">
        <is>
          <t>Required</t>
        </is>
      </c>
    </row>
    <row r="25" ht="21.75" customHeight="1" s="66">
      <c r="A25" s="96" t="n">
        <v>16</v>
      </c>
      <c r="B25" s="97" t="inlineStr">
        <is>
          <t>Currency
العملة</t>
        </is>
      </c>
      <c r="C25" s="75" t="n"/>
      <c r="D25" s="98" t="n"/>
      <c r="E25" s="99" t="inlineStr">
        <is>
          <t>Required</t>
        </is>
      </c>
    </row>
    <row r="26" ht="21.75" customHeight="1" s="66">
      <c r="A26" s="96" t="n">
        <v>17</v>
      </c>
      <c r="B26" s="97" t="inlineStr">
        <is>
          <t>First payment received?
تم استلام الدفعة الأولى؟</t>
        </is>
      </c>
      <c r="C26" s="75" t="n"/>
      <c r="D26" s="98" t="n"/>
      <c r="E26" s="99" t="inlineStr">
        <is>
          <t>Required</t>
        </is>
      </c>
    </row>
    <row r="27" ht="15" customHeight="1" s="66">
      <c r="A27" s="69" t="inlineStr">
        <is>
          <t>D. Agreements / الإقرارات</t>
        </is>
      </c>
    </row>
    <row r="28" ht="21.75" customHeight="1" s="66">
      <c r="A28" s="96" t="n">
        <v>18</v>
      </c>
      <c r="B28" s="97" t="inlineStr">
        <is>
          <t>Attendance policy accepted
قبول سياسة الحضور</t>
        </is>
      </c>
      <c r="C28" s="75" t="n"/>
      <c r="D28" s="98" t="n"/>
      <c r="E28" s="99" t="inlineStr">
        <is>
          <t>Required</t>
        </is>
      </c>
    </row>
    <row r="29" ht="21.75" customHeight="1" s="66">
      <c r="A29" s="96" t="n">
        <v>19</v>
      </c>
      <c r="B29" s="97" t="inlineStr">
        <is>
          <t>Refund policy acknowledged
الإقرار بسياسة الاسترداد</t>
        </is>
      </c>
      <c r="C29" s="75" t="n"/>
      <c r="D29" s="98" t="n"/>
      <c r="E29" s="99" t="inlineStr">
        <is>
          <t>Required</t>
        </is>
      </c>
    </row>
    <row r="30" ht="21.75" customHeight="1" s="66">
      <c r="A30" s="96" t="n">
        <v>20</v>
      </c>
      <c r="B30" s="97" t="inlineStr">
        <is>
          <t>Code of conduct accepted
ميثاق السلوك</t>
        </is>
      </c>
      <c r="C30" s="75" t="n"/>
      <c r="D30" s="98" t="n"/>
      <c r="E30" s="99" t="inlineStr">
        <is>
          <t>Required</t>
        </is>
      </c>
    </row>
    <row r="31" ht="21.75" customHeight="1" s="66">
      <c r="A31" s="96" t="n">
        <v>21</v>
      </c>
      <c r="B31" s="97" t="inlineStr">
        <is>
          <t>Consent to cohort group chat (WhatsApp)
الموافقة على مجموعة الواتساب</t>
        </is>
      </c>
      <c r="C31" s="75" t="n"/>
      <c r="D31" s="98" t="n"/>
      <c r="E31" s="101" t="inlineStr">
        <is>
          <t>Optional</t>
        </is>
      </c>
    </row>
    <row r="32"/>
    <row r="33" ht="15" customHeight="1" s="66">
      <c r="A33" s="69" t="inlineStr">
        <is>
          <t>CONSENT &amp; SUBMISSION META / الموافقة وبيانات الإرسال</t>
        </is>
      </c>
    </row>
    <row r="34" ht="36" customHeight="1" s="66">
      <c r="A34" s="104" t="inlineStr">
        <is>
          <t>☐</t>
        </is>
      </c>
      <c r="B34" s="74" t="inlineStr">
        <is>
          <t>I consent to Kayan storing my data for EOI processing.
أوافق على احتفاظ كيان ببياناتي لمعالجة اهتمامي.</t>
        </is>
      </c>
      <c r="C34" s="75" t="n"/>
      <c r="D34" s="75" t="n"/>
      <c r="E34" s="105" t="inlineStr">
        <is>
          <t>Required</t>
        </is>
      </c>
    </row>
    <row r="35" ht="36" customHeight="1" s="66">
      <c r="A35" s="104" t="inlineStr">
        <is>
          <t>☐</t>
        </is>
      </c>
      <c r="B35" s="74" t="inlineStr">
        <is>
          <t>I agree to be contacted by Kayan through the channel I specified.
أوافق على أن تتواصل كيان معي عبر القناة التي اخترتها.</t>
        </is>
      </c>
      <c r="C35" s="75" t="n"/>
      <c r="D35" s="75" t="n"/>
      <c r="E35" s="105" t="inlineStr">
        <is>
          <t>Required</t>
        </is>
      </c>
    </row>
    <row r="36" ht="36" customHeight="1" s="66">
      <c r="A36" s="104" t="inlineStr">
        <is>
          <t>☐</t>
        </is>
      </c>
      <c r="B36" s="74" t="inlineStr">
        <is>
          <t>I confirm that all information provided is accurate to the best of my knowledge.
أؤكد أن جميع المعلومات دقيقة حسب معرفتي.</t>
        </is>
      </c>
      <c r="C36" s="75" t="n"/>
      <c r="D36" s="75" t="n"/>
      <c r="E36" s="105" t="inlineStr">
        <is>
          <t>Required</t>
        </is>
      </c>
    </row>
    <row r="37" ht="36" customHeight="1" s="66">
      <c r="A37" s="104" t="inlineStr">
        <is>
          <t>☐</t>
        </is>
      </c>
      <c r="B37" s="74" t="inlineStr">
        <is>
          <t>I am happy to receive updates (newsletter, events, opportunities).
أرغب في تلقي التحديثات (النشرة والأحداث والفرص).</t>
        </is>
      </c>
      <c r="C37" s="75" t="n"/>
      <c r="D37" s="75" t="n"/>
      <c r="E37" s="106" t="inlineStr">
        <is>
          <t>Optional</t>
        </is>
      </c>
    </row>
    <row r="38"/>
    <row r="39" ht="15" customHeight="1" s="66">
      <c r="A39" s="107" t="inlineStr">
        <is>
          <t>INTERNAL USE ONLY / لاستعمال الفريق فقط</t>
        </is>
      </c>
    </row>
    <row r="40" ht="24" customHeight="1" s="66">
      <c r="A40" s="108" t="n"/>
      <c r="B40" s="109" t="inlineStr">
        <is>
          <t>Submission ID (auto)
معرّف الطلب</t>
        </is>
      </c>
      <c r="C40" s="75" t="n"/>
      <c r="D40" s="110">
        <f>"KYN-ACE-"&amp;TEXT(TODAY(),"YYYYMMDD")&amp;"-"&amp;TEXT(RANDBETWEEN(1000,9999),"0000")</f>
        <v/>
      </c>
      <c r="E40" s="111" t="inlineStr">
        <is>
          <t>Internal</t>
        </is>
      </c>
    </row>
    <row r="41" ht="24" customHeight="1" s="66">
      <c r="A41" s="108" t="n"/>
      <c r="B41" s="109" t="inlineStr">
        <is>
          <t>Received timestamp
تاريخ الاستلام</t>
        </is>
      </c>
      <c r="C41" s="75" t="n"/>
      <c r="D41" s="112">
        <f>NOW()</f>
        <v/>
      </c>
      <c r="E41" s="111" t="inlineStr">
        <is>
          <t>Internal</t>
        </is>
      </c>
    </row>
    <row r="42" ht="24" customHeight="1" s="66">
      <c r="A42" s="108" t="n"/>
      <c r="B42" s="109" t="inlineStr">
        <is>
          <t>Intake channel
قناة الاستلام</t>
        </is>
      </c>
      <c r="C42" s="75" t="n"/>
      <c r="D42" s="98" t="n"/>
      <c r="E42" s="111" t="inlineStr">
        <is>
          <t>Internal</t>
        </is>
      </c>
    </row>
    <row r="43" ht="24" customHeight="1" s="66">
      <c r="A43" s="108" t="n"/>
      <c r="B43" s="109" t="inlineStr">
        <is>
          <t>Assigned handler
الموظف المسؤول</t>
        </is>
      </c>
      <c r="C43" s="75" t="n"/>
      <c r="D43" s="98" t="n"/>
      <c r="E43" s="111" t="inlineStr">
        <is>
          <t>Internal</t>
        </is>
      </c>
    </row>
    <row r="44" ht="24" customHeight="1" s="66">
      <c r="A44" s="108" t="n"/>
      <c r="B44" s="109" t="inlineStr">
        <is>
          <t>Status
الحالة</t>
        </is>
      </c>
      <c r="C44" s="75" t="n"/>
      <c r="D44" s="98" t="n"/>
      <c r="E44" s="111" t="inlineStr">
        <is>
          <t>Internal</t>
        </is>
      </c>
    </row>
    <row r="45" ht="24" customHeight="1" s="66">
      <c r="A45" s="108" t="n"/>
      <c r="B45" s="109" t="inlineStr">
        <is>
          <t>Next action + due date
الإجراء التالي وتاريخه</t>
        </is>
      </c>
      <c r="C45" s="75" t="n"/>
      <c r="D45" s="98" t="n"/>
      <c r="E45" s="111" t="inlineStr">
        <is>
          <t>Internal</t>
        </is>
      </c>
    </row>
    <row r="46" ht="24" customHeight="1" s="66">
      <c r="A46" s="108" t="n"/>
      <c r="B46" s="109" t="inlineStr">
        <is>
          <t>Notes / comments
ملاحظات</t>
        </is>
      </c>
      <c r="C46" s="75" t="n"/>
      <c r="D46" s="98" t="n"/>
      <c r="E46" s="111" t="inlineStr">
        <is>
          <t>Internal</t>
        </is>
      </c>
    </row>
    <row r="47"/>
    <row r="48" ht="25.5" customHeight="1" s="66">
      <c r="A48" s="113" t="inlineStr">
        <is>
          <t>✦  PRE-LAUNCH TARGET: First cohort of 15-25 learners by 01 Jul 2026  ·  Measured weekly on 17_KPI_DASH</t>
        </is>
      </c>
    </row>
  </sheetData>
  <mergeCells count="42">
    <mergeCell ref="A39:E39"/>
    <mergeCell ref="B16:C16"/>
    <mergeCell ref="A48:E48"/>
    <mergeCell ref="B25:C25"/>
    <mergeCell ref="B46:C46"/>
    <mergeCell ref="B22:C22"/>
    <mergeCell ref="B31:C31"/>
    <mergeCell ref="B18:C18"/>
    <mergeCell ref="B43:C43"/>
    <mergeCell ref="B34:D34"/>
    <mergeCell ref="B12:C12"/>
    <mergeCell ref="B21:C21"/>
    <mergeCell ref="B37:D37"/>
    <mergeCell ref="A4:E5"/>
    <mergeCell ref="B11:C11"/>
    <mergeCell ref="A7:E7"/>
    <mergeCell ref="B42:C42"/>
    <mergeCell ref="B23:C23"/>
    <mergeCell ref="B17:C17"/>
    <mergeCell ref="B8:C8"/>
    <mergeCell ref="A27:E27"/>
    <mergeCell ref="A3:E3"/>
    <mergeCell ref="B13:C13"/>
    <mergeCell ref="B44:C44"/>
    <mergeCell ref="B36:D36"/>
    <mergeCell ref="B29:C29"/>
    <mergeCell ref="B19:C19"/>
    <mergeCell ref="B35:D35"/>
    <mergeCell ref="B10:C10"/>
    <mergeCell ref="B28:C28"/>
    <mergeCell ref="A33:E33"/>
    <mergeCell ref="A1:E2"/>
    <mergeCell ref="A14:E14"/>
    <mergeCell ref="B9:C9"/>
    <mergeCell ref="B40:C40"/>
    <mergeCell ref="B24:C24"/>
    <mergeCell ref="B30:C30"/>
    <mergeCell ref="B15:C15"/>
    <mergeCell ref="A20:E20"/>
    <mergeCell ref="B45:C45"/>
    <mergeCell ref="B26:C26"/>
    <mergeCell ref="B41:C41"/>
  </mergeCells>
  <dataValidations count="12">
    <dataValidation sqref="D18:D19 D21:D23" showDropDown="0" showInputMessage="0" showErrorMessage="0" allowBlank="1" errorTitle="Number" error="Numbers only" type="decimal" errorStyle="stop" operator="greaterThanOrEqual">
      <formula1>0</formula1>
      <formula2>0</formula2>
    </dataValidation>
    <dataValidation sqref="D9" showDropDown="0" showInputMessage="0" showErrorMessage="0" allowBlank="1" type="list" errorStyle="stop" operator="between">
      <formula1>AgeBands</formula1>
      <formula2>0</formula2>
    </dataValidation>
    <dataValidation sqref="D10" showDropDown="0" showInputMessage="0" showErrorMessage="0" allowBlank="1" errorTitle="Email" error="Enter a valid email" type="custom" errorStyle="stop" operator="between">
      <formula1>ISNUMBER(SEARCH("@",D10))</formula1>
      <formula2>0</formula2>
    </dataValidation>
    <dataValidation sqref="D12" showDropDown="0" showInputMessage="0" showErrorMessage="0" allowBlank="1" type="list" errorStyle="stop" operator="between">
      <formula1>Countries</formula1>
      <formula2>0</formula2>
    </dataValidation>
    <dataValidation sqref="D25" showDropDown="0" showInputMessage="0" showErrorMessage="0" allowBlank="1" type="list" errorStyle="stop" operator="between">
      <formula1>Currencies</formula1>
      <formula2>0</formula2>
    </dataValidation>
    <dataValidation sqref="D26" showDropDown="0" showInputMessage="0" showErrorMessage="0" allowBlank="1" type="list" errorStyle="stop" operator="between">
      <formula1>YesNo</formula1>
      <formula2>0</formula2>
    </dataValidation>
    <dataValidation sqref="D28" showDropDown="0" showInputMessage="0" showErrorMessage="0" allowBlank="1" type="list" errorStyle="stop" operator="between">
      <formula1>YesNo</formula1>
      <formula2>0</formula2>
    </dataValidation>
    <dataValidation sqref="D29" showDropDown="0" showInputMessage="0" showErrorMessage="0" allowBlank="1" type="list" errorStyle="stop" operator="between">
      <formula1>YesNo</formula1>
      <formula2>0</formula2>
    </dataValidation>
    <dataValidation sqref="D30" showDropDown="0" showInputMessage="0" showErrorMessage="0" allowBlank="1" type="list" errorStyle="stop" operator="between">
      <formula1>YesNo</formula1>
      <formula2>0</formula2>
    </dataValidation>
    <dataValidation sqref="D31" showDropDown="0" showInputMessage="0" showErrorMessage="0" allowBlank="1" type="list" errorStyle="stop" operator="between">
      <formula1>YesNo</formula1>
      <formula2>0</formula2>
    </dataValidation>
    <dataValidation sqref="D42" showDropDown="0" showInputMessage="0" showErrorMessage="0" allowBlank="1" type="list" errorStyle="stop" operator="between">
      <formula1>Channels</formula1>
      <formula2>0</formula2>
    </dataValidation>
    <dataValidation sqref="D44"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legacyDrawing xmlns:r="http://schemas.openxmlformats.org/officeDocument/2006/relationships" r:id="anysvml"/>
</worksheet>
</file>

<file path=xl/worksheets/sheet14.xml><?xml version="1.0" encoding="utf-8"?>
<worksheet xmlns="http://schemas.openxmlformats.org/spreadsheetml/2006/main">
  <sheetPr filterMode="0">
    <outlinePr summaryBelow="1" summaryRight="1"/>
    <pageSetUpPr fitToPage="1"/>
  </sheetPr>
  <dimension ref="A1:F65"/>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10" customWidth="1" style="65" min="2" max="2"/>
    <col width="34" customWidth="1" style="65" min="3" max="4"/>
    <col width="22" customWidth="1" style="65" min="5" max="6"/>
  </cols>
  <sheetData>
    <row r="1" ht="15" customHeight="1" s="66">
      <c r="A1" s="83" t="inlineStr">
        <is>
          <t>MICRO-SPECIALIZATIONS / التخصصات الدقيقة
60 disciplines across 8 domains</t>
        </is>
      </c>
    </row>
    <row r="2" ht="15" customHeight="1" s="66"/>
    <row r="3" ht="15" customHeight="1" s="66">
      <c r="A3" s="68" t="inlineStr">
        <is>
          <t>Every talent, pod and SOW maps to a code here. Codes feed the matching engine and the Kayan Card.</t>
        </is>
      </c>
    </row>
    <row r="4"/>
    <row r="5" ht="31.5" customHeight="1" s="66">
      <c r="A5" s="70" t="inlineStr">
        <is>
          <t>#</t>
        </is>
      </c>
      <c r="B5" s="70" t="inlineStr">
        <is>
          <t>Code</t>
        </is>
      </c>
      <c r="C5" s="70" t="inlineStr">
        <is>
          <t>Specialization (EN)</t>
        </is>
      </c>
      <c r="D5" s="70" t="inlineStr">
        <is>
          <t>التخصص (AR)</t>
        </is>
      </c>
      <c r="E5" s="70" t="inlineStr">
        <is>
          <t>Seniority tiers</t>
        </is>
      </c>
      <c r="F5" s="70" t="inlineStr">
        <is>
          <t>Typical deliverables</t>
        </is>
      </c>
    </row>
    <row r="6" ht="22.35" customHeight="1" s="66">
      <c r="A6" s="114" t="n">
        <v>1</v>
      </c>
      <c r="B6" s="115" t="inlineStr">
        <is>
          <t>TECH-01</t>
        </is>
      </c>
      <c r="C6" s="114" t="inlineStr">
        <is>
          <t>Frontend web engineering</t>
        </is>
      </c>
      <c r="D6" s="114" t="inlineStr">
        <is>
          <t>هندسة الواجهات الأمامية</t>
        </is>
      </c>
      <c r="E6" s="116" t="inlineStr">
        <is>
          <t>Jr / Mid / Sr / Lead</t>
        </is>
      </c>
      <c r="F6" s="116" t="inlineStr">
        <is>
          <t>Responsive UIs, Next.js apps</t>
        </is>
      </c>
    </row>
    <row r="7" ht="22.35" customHeight="1" s="66">
      <c r="A7" s="114" t="n">
        <v>2</v>
      </c>
      <c r="B7" s="115" t="inlineStr">
        <is>
          <t>TECH-02</t>
        </is>
      </c>
      <c r="C7" s="114" t="inlineStr">
        <is>
          <t>Backend API engineering</t>
        </is>
      </c>
      <c r="D7" s="114" t="inlineStr">
        <is>
          <t>هندسة الخلفيات وواجهات البرمجة</t>
        </is>
      </c>
      <c r="E7" s="116" t="inlineStr">
        <is>
          <t>Jr / Mid / Sr / Lead</t>
        </is>
      </c>
      <c r="F7" s="116" t="inlineStr">
        <is>
          <t>NestJS services, REST/GraphQL APIs</t>
        </is>
      </c>
    </row>
    <row r="8" ht="15" customHeight="1" s="66">
      <c r="A8" s="114" t="n">
        <v>3</v>
      </c>
      <c r="B8" s="115" t="inlineStr">
        <is>
          <t>TECH-03</t>
        </is>
      </c>
      <c r="C8" s="114" t="inlineStr">
        <is>
          <t>Mobile engineering (iOS/Android)</t>
        </is>
      </c>
      <c r="D8" s="114" t="inlineStr">
        <is>
          <t>هندسة تطبيقات الجوال</t>
        </is>
      </c>
      <c r="E8" s="116" t="inlineStr">
        <is>
          <t>Jr / Mid / Sr / Lead</t>
        </is>
      </c>
      <c r="F8" s="116" t="inlineStr">
        <is>
          <t>React Native / Flutter apps</t>
        </is>
      </c>
    </row>
    <row r="9" ht="22.35" customHeight="1" s="66">
      <c r="A9" s="114" t="n">
        <v>4</v>
      </c>
      <c r="B9" s="115" t="inlineStr">
        <is>
          <t>TECH-04</t>
        </is>
      </c>
      <c r="C9" s="114" t="inlineStr">
        <is>
          <t>DevOps &amp; cloud</t>
        </is>
      </c>
      <c r="D9" s="114" t="inlineStr">
        <is>
          <t>التشغيل السحابي</t>
        </is>
      </c>
      <c r="E9" s="116" t="inlineStr">
        <is>
          <t>Jr / Mid / Sr / Lead</t>
        </is>
      </c>
      <c r="F9" s="116" t="inlineStr">
        <is>
          <t>CI/CD, Docker, Hetzner/Cloudflare</t>
        </is>
      </c>
    </row>
    <row r="10" ht="22.35" customHeight="1" s="66">
      <c r="A10" s="114" t="n">
        <v>5</v>
      </c>
      <c r="B10" s="115" t="inlineStr">
        <is>
          <t>TECH-05</t>
        </is>
      </c>
      <c r="C10" s="114" t="inlineStr">
        <is>
          <t>Data engineering</t>
        </is>
      </c>
      <c r="D10" s="114" t="inlineStr">
        <is>
          <t>هندسة البيانات</t>
        </is>
      </c>
      <c r="E10" s="116" t="inlineStr">
        <is>
          <t>Jr / Mid / Sr / Lead</t>
        </is>
      </c>
      <c r="F10" s="116" t="inlineStr">
        <is>
          <t>ETL, warehouses, BI pipelines</t>
        </is>
      </c>
    </row>
    <row r="11" ht="22.35" customHeight="1" s="66">
      <c r="A11" s="114" t="n">
        <v>6</v>
      </c>
      <c r="B11" s="115" t="inlineStr">
        <is>
          <t>TECH-06</t>
        </is>
      </c>
      <c r="C11" s="114" t="inlineStr">
        <is>
          <t>Data science &amp; ML</t>
        </is>
      </c>
      <c r="D11" s="114" t="inlineStr">
        <is>
          <t>علوم البيانات وتعلم الآلة</t>
        </is>
      </c>
      <c r="E11" s="116" t="inlineStr">
        <is>
          <t>Jr / Mid / Sr / Lead</t>
        </is>
      </c>
      <c r="F11" s="116" t="inlineStr">
        <is>
          <t>Models, forecasting, scoring engines</t>
        </is>
      </c>
    </row>
    <row r="12" ht="22.35" customHeight="1" s="66">
      <c r="A12" s="114" t="n">
        <v>7</v>
      </c>
      <c r="B12" s="115" t="inlineStr">
        <is>
          <t>TECH-07</t>
        </is>
      </c>
      <c r="C12" s="114" t="inlineStr">
        <is>
          <t>QA / test engineering</t>
        </is>
      </c>
      <c r="D12" s="114" t="inlineStr">
        <is>
          <t>هندسة الجودة والاختبار</t>
        </is>
      </c>
      <c r="E12" s="116" t="inlineStr">
        <is>
          <t>Jr / Mid / Sr / Lead</t>
        </is>
      </c>
      <c r="F12" s="116" t="inlineStr">
        <is>
          <t>Test suites, automation, perf testing</t>
        </is>
      </c>
    </row>
    <row r="13" ht="15" customHeight="1" s="66">
      <c r="A13" s="114" t="n">
        <v>8</v>
      </c>
      <c r="B13" s="115" t="inlineStr">
        <is>
          <t>TECH-08</t>
        </is>
      </c>
      <c r="C13" s="114" t="inlineStr">
        <is>
          <t>Security engineering</t>
        </is>
      </c>
      <c r="D13" s="114" t="inlineStr">
        <is>
          <t>هندسة الأمن</t>
        </is>
      </c>
      <c r="E13" s="116" t="inlineStr">
        <is>
          <t>Mid / Sr / Lead</t>
        </is>
      </c>
      <c r="F13" s="116" t="inlineStr">
        <is>
          <t>Audits, pen-test, hardening</t>
        </is>
      </c>
    </row>
    <row r="14" ht="22.35" customHeight="1" s="66">
      <c r="A14" s="114" t="n">
        <v>9</v>
      </c>
      <c r="B14" s="115" t="inlineStr">
        <is>
          <t>TECH-09</t>
        </is>
      </c>
      <c r="C14" s="114" t="inlineStr">
        <is>
          <t>IT support &amp; systems</t>
        </is>
      </c>
      <c r="D14" s="114" t="inlineStr">
        <is>
          <t>الدعم الفني والنظم</t>
        </is>
      </c>
      <c r="E14" s="116" t="inlineStr">
        <is>
          <t>Jr / Mid / Sr</t>
        </is>
      </c>
      <c r="F14" s="116" t="inlineStr">
        <is>
          <t>Setup, troubleshoot, networks</t>
        </is>
      </c>
    </row>
    <row r="15" ht="15" customHeight="1" s="66">
      <c r="A15" s="114" t="n">
        <v>10</v>
      </c>
      <c r="B15" s="115" t="inlineStr">
        <is>
          <t>CRE-01</t>
        </is>
      </c>
      <c r="C15" s="114" t="inlineStr">
        <is>
          <t>Brand &amp; visual identity</t>
        </is>
      </c>
      <c r="D15" s="114" t="inlineStr">
        <is>
          <t>الهوية البصرية</t>
        </is>
      </c>
      <c r="E15" s="116" t="inlineStr">
        <is>
          <t>Jr / Mid / Sr / Lead</t>
        </is>
      </c>
      <c r="F15" s="116" t="inlineStr">
        <is>
          <t>Logo, brand book, systems</t>
        </is>
      </c>
    </row>
    <row r="16" ht="22.35" customHeight="1" s="66">
      <c r="A16" s="114" t="n">
        <v>11</v>
      </c>
      <c r="B16" s="115" t="inlineStr">
        <is>
          <t>CRE-02</t>
        </is>
      </c>
      <c r="C16" s="114" t="inlineStr">
        <is>
          <t>UI / UX design</t>
        </is>
      </c>
      <c r="D16" s="114" t="inlineStr">
        <is>
          <t>تصميم الواجهات والتجربة</t>
        </is>
      </c>
      <c r="E16" s="116" t="inlineStr">
        <is>
          <t>Jr / Mid / Sr / Lead</t>
        </is>
      </c>
      <c r="F16" s="116" t="inlineStr">
        <is>
          <t>Wireframes, prototypes, design systems</t>
        </is>
      </c>
    </row>
    <row r="17" ht="15" customHeight="1" s="66">
      <c r="A17" s="114" t="n">
        <v>12</v>
      </c>
      <c r="B17" s="115" t="inlineStr">
        <is>
          <t>CRE-03</t>
        </is>
      </c>
      <c r="C17" s="114" t="inlineStr">
        <is>
          <t>Graphic design</t>
        </is>
      </c>
      <c r="D17" s="114" t="inlineStr">
        <is>
          <t>التصميم الجرافيكي</t>
        </is>
      </c>
      <c r="E17" s="116" t="inlineStr">
        <is>
          <t>Jr / Mid / Sr</t>
        </is>
      </c>
      <c r="F17" s="116" t="inlineStr">
        <is>
          <t>Print, social, posters</t>
        </is>
      </c>
    </row>
    <row r="18" ht="22.35" customHeight="1" s="66">
      <c r="A18" s="114" t="n">
        <v>13</v>
      </c>
      <c r="B18" s="115" t="inlineStr">
        <is>
          <t>CRE-04</t>
        </is>
      </c>
      <c r="C18" s="114" t="inlineStr">
        <is>
          <t>Illustration</t>
        </is>
      </c>
      <c r="D18" s="114" t="inlineStr">
        <is>
          <t>الرسم التوضيحي</t>
        </is>
      </c>
      <c r="E18" s="116" t="inlineStr">
        <is>
          <t>Mid / Sr</t>
        </is>
      </c>
      <c r="F18" s="116" t="inlineStr">
        <is>
          <t>Editorial, product, hand-drawn</t>
        </is>
      </c>
    </row>
    <row r="19" ht="15" customHeight="1" s="66">
      <c r="A19" s="114" t="n">
        <v>14</v>
      </c>
      <c r="B19" s="115" t="inlineStr">
        <is>
          <t>CRE-05</t>
        </is>
      </c>
      <c r="C19" s="114" t="inlineStr">
        <is>
          <t>Motion graphics &amp; video</t>
        </is>
      </c>
      <c r="D19" s="114" t="inlineStr">
        <is>
          <t>الجرافيك المتحرك والفيديو</t>
        </is>
      </c>
      <c r="E19" s="116" t="inlineStr">
        <is>
          <t>Jr / Mid / Sr</t>
        </is>
      </c>
      <c r="F19" s="116" t="inlineStr">
        <is>
          <t>Explainers, reels, ads</t>
        </is>
      </c>
    </row>
    <row r="20" ht="15" customHeight="1" s="66">
      <c r="A20" s="114" t="n">
        <v>15</v>
      </c>
      <c r="B20" s="115" t="inlineStr">
        <is>
          <t>CRE-06</t>
        </is>
      </c>
      <c r="C20" s="114" t="inlineStr">
        <is>
          <t>Photography</t>
        </is>
      </c>
      <c r="D20" s="114" t="inlineStr">
        <is>
          <t>التصوير الفوتوغرافي</t>
        </is>
      </c>
      <c r="E20" s="116" t="inlineStr">
        <is>
          <t>Mid / Sr</t>
        </is>
      </c>
      <c r="F20" s="116" t="inlineStr">
        <is>
          <t>Events, product, portraits</t>
        </is>
      </c>
    </row>
    <row r="21" ht="15" customHeight="1" s="66">
      <c r="A21" s="114" t="n">
        <v>16</v>
      </c>
      <c r="B21" s="115" t="inlineStr">
        <is>
          <t>CRE-07</t>
        </is>
      </c>
      <c r="C21" s="114" t="inlineStr">
        <is>
          <t>Copywriting (AR)</t>
        </is>
      </c>
      <c r="D21" s="114" t="inlineStr">
        <is>
          <t>الكتابة الإبداعية (عربي)</t>
        </is>
      </c>
      <c r="E21" s="116" t="inlineStr">
        <is>
          <t>Jr / Mid / Sr</t>
        </is>
      </c>
      <c r="F21" s="116" t="inlineStr">
        <is>
          <t>Brand, campaigns, scripts</t>
        </is>
      </c>
    </row>
    <row r="22" ht="15" customHeight="1" s="66">
      <c r="A22" s="114" t="n">
        <v>17</v>
      </c>
      <c r="B22" s="115" t="inlineStr">
        <is>
          <t>CRE-08</t>
        </is>
      </c>
      <c r="C22" s="114" t="inlineStr">
        <is>
          <t>Copywriting (EN)</t>
        </is>
      </c>
      <c r="D22" s="114" t="inlineStr">
        <is>
          <t>Copywriting (English)</t>
        </is>
      </c>
      <c r="E22" s="116" t="inlineStr">
        <is>
          <t>Jr / Mid / Sr</t>
        </is>
      </c>
      <c r="F22" s="116" t="inlineStr">
        <is>
          <t>Brand, campaigns, scripts</t>
        </is>
      </c>
    </row>
    <row r="23" ht="22.35" customHeight="1" s="66">
      <c r="A23" s="114" t="n">
        <v>18</v>
      </c>
      <c r="B23" s="115" t="inlineStr">
        <is>
          <t>CRE-09</t>
        </is>
      </c>
      <c r="C23" s="114" t="inlineStr">
        <is>
          <t>Translation &amp; localization</t>
        </is>
      </c>
      <c r="D23" s="114" t="inlineStr">
        <is>
          <t>الترجمة والتوطين</t>
        </is>
      </c>
      <c r="E23" s="116" t="inlineStr">
        <is>
          <t>Mid / Sr</t>
        </is>
      </c>
      <c r="F23" s="116" t="inlineStr">
        <is>
          <t>AR↔EN, cultural adaptation</t>
        </is>
      </c>
    </row>
    <row r="24" ht="15" customHeight="1" s="66">
      <c r="A24" s="114" t="n">
        <v>19</v>
      </c>
      <c r="B24" s="115" t="inlineStr">
        <is>
          <t>BUS-01</t>
        </is>
      </c>
      <c r="C24" s="114" t="inlineStr">
        <is>
          <t>Financial modeling</t>
        </is>
      </c>
      <c r="D24" s="114" t="inlineStr">
        <is>
          <t>النمذجة المالية</t>
        </is>
      </c>
      <c r="E24" s="116" t="inlineStr">
        <is>
          <t>Mid / Sr / Lead</t>
        </is>
      </c>
      <c r="F24" s="116" t="inlineStr">
        <is>
          <t>Excel models, valuations</t>
        </is>
      </c>
    </row>
    <row r="25" ht="15" customHeight="1" s="66">
      <c r="A25" s="114" t="n">
        <v>20</v>
      </c>
      <c r="B25" s="115" t="inlineStr">
        <is>
          <t>BUS-02</t>
        </is>
      </c>
      <c r="C25" s="114" t="inlineStr">
        <is>
          <t>Accounting &amp; bookkeeping</t>
        </is>
      </c>
      <c r="D25" s="114" t="inlineStr">
        <is>
          <t>المحاسبة ومسك الدفاتر</t>
        </is>
      </c>
      <c r="E25" s="116" t="inlineStr">
        <is>
          <t>Jr / Mid / Sr</t>
        </is>
      </c>
      <c r="F25" s="116" t="inlineStr">
        <is>
          <t>GL, AR/AP, closing</t>
        </is>
      </c>
    </row>
    <row r="26" ht="22.35" customHeight="1" s="66">
      <c r="A26" s="114" t="n">
        <v>21</v>
      </c>
      <c r="B26" s="115" t="inlineStr">
        <is>
          <t>BUS-03</t>
        </is>
      </c>
      <c r="C26" s="114" t="inlineStr">
        <is>
          <t>Audit &amp; assurance</t>
        </is>
      </c>
      <c r="D26" s="114" t="inlineStr">
        <is>
          <t>التدقيق والضمان</t>
        </is>
      </c>
      <c r="E26" s="116" t="inlineStr">
        <is>
          <t>Mid / Sr</t>
        </is>
      </c>
      <c r="F26" s="116" t="inlineStr">
        <is>
          <t>Financial audit, SOX, compliance</t>
        </is>
      </c>
    </row>
    <row r="27" ht="15" customHeight="1" s="66">
      <c r="A27" s="114" t="n">
        <v>22</v>
      </c>
      <c r="B27" s="115" t="inlineStr">
        <is>
          <t>BUS-04</t>
        </is>
      </c>
      <c r="C27" s="114" t="inlineStr">
        <is>
          <t>Tax &amp; regulatory</t>
        </is>
      </c>
      <c r="D27" s="114" t="inlineStr">
        <is>
          <t>الضرائب والامتثال</t>
        </is>
      </c>
      <c r="E27" s="116" t="inlineStr">
        <is>
          <t>Mid / Sr</t>
        </is>
      </c>
      <c r="F27" s="116" t="inlineStr">
        <is>
          <t>Filings, advisory</t>
        </is>
      </c>
    </row>
    <row r="28" ht="15" customHeight="1" s="66">
      <c r="A28" s="114" t="n">
        <v>23</v>
      </c>
      <c r="B28" s="115" t="inlineStr">
        <is>
          <t>BUS-05</t>
        </is>
      </c>
      <c r="C28" s="114" t="inlineStr">
        <is>
          <t>Investment analysis</t>
        </is>
      </c>
      <c r="D28" s="114" t="inlineStr">
        <is>
          <t>تحليل الاستثمار</t>
        </is>
      </c>
      <c r="E28" s="116" t="inlineStr">
        <is>
          <t>Mid / Sr</t>
        </is>
      </c>
      <c r="F28" s="116" t="inlineStr">
        <is>
          <t>Deal screening, memos</t>
        </is>
      </c>
    </row>
    <row r="29" ht="15" customHeight="1" s="66">
      <c r="A29" s="114" t="n">
        <v>24</v>
      </c>
      <c r="B29" s="115" t="inlineStr">
        <is>
          <t>BUS-06</t>
        </is>
      </c>
      <c r="C29" s="114" t="inlineStr">
        <is>
          <t>Business development</t>
        </is>
      </c>
      <c r="D29" s="114" t="inlineStr">
        <is>
          <t>تطوير الأعمال</t>
        </is>
      </c>
      <c r="E29" s="116" t="inlineStr">
        <is>
          <t>Jr / Mid / Sr</t>
        </is>
      </c>
      <c r="F29" s="116" t="inlineStr">
        <is>
          <t>Pipeline, outreach, closing</t>
        </is>
      </c>
    </row>
    <row r="30" ht="22.35" customHeight="1" s="66">
      <c r="A30" s="114" t="n">
        <v>25</v>
      </c>
      <c r="B30" s="115" t="inlineStr">
        <is>
          <t>BUS-07</t>
        </is>
      </c>
      <c r="C30" s="114" t="inlineStr">
        <is>
          <t>Sales operations</t>
        </is>
      </c>
      <c r="D30" s="114" t="inlineStr">
        <is>
          <t>إدارة المبيعات</t>
        </is>
      </c>
      <c r="E30" s="116" t="inlineStr">
        <is>
          <t>Mid / Sr</t>
        </is>
      </c>
      <c r="F30" s="116" t="inlineStr">
        <is>
          <t>CRM, forecasting, enablement</t>
        </is>
      </c>
    </row>
    <row r="31" ht="22.35" customHeight="1" s="66">
      <c r="A31" s="114" t="n">
        <v>26</v>
      </c>
      <c r="B31" s="115" t="inlineStr">
        <is>
          <t>BUS-08</t>
        </is>
      </c>
      <c r="C31" s="114" t="inlineStr">
        <is>
          <t>Digital marketing</t>
        </is>
      </c>
      <c r="D31" s="114" t="inlineStr">
        <is>
          <t>التسويق الرقمي</t>
        </is>
      </c>
      <c r="E31" s="116" t="inlineStr">
        <is>
          <t>Jr / Mid / Sr / Lead</t>
        </is>
      </c>
      <c r="F31" s="116" t="inlineStr">
        <is>
          <t>Paid, SEO, content, lifecycle</t>
        </is>
      </c>
    </row>
    <row r="32" ht="22.35" customHeight="1" s="66">
      <c r="A32" s="114" t="n">
        <v>27</v>
      </c>
      <c r="B32" s="115" t="inlineStr">
        <is>
          <t>BUS-09</t>
        </is>
      </c>
      <c r="C32" s="114" t="inlineStr">
        <is>
          <t>Operations management</t>
        </is>
      </c>
      <c r="D32" s="114" t="inlineStr">
        <is>
          <t>إدارة العمليات</t>
        </is>
      </c>
      <c r="E32" s="116" t="inlineStr">
        <is>
          <t>Mid / Sr / Lead</t>
        </is>
      </c>
      <c r="F32" s="116" t="inlineStr">
        <is>
          <t>Process design, SOPs, scale</t>
        </is>
      </c>
    </row>
    <row r="33" ht="15" customHeight="1" s="66">
      <c r="A33" s="114" t="n">
        <v>28</v>
      </c>
      <c r="B33" s="115" t="inlineStr">
        <is>
          <t>BUS-10</t>
        </is>
      </c>
      <c r="C33" s="114" t="inlineStr">
        <is>
          <t>HR &amp; people ops</t>
        </is>
      </c>
      <c r="D33" s="114" t="inlineStr">
        <is>
          <t>الموارد البشرية</t>
        </is>
      </c>
      <c r="E33" s="116" t="inlineStr">
        <is>
          <t>Mid / Sr</t>
        </is>
      </c>
      <c r="F33" s="116" t="inlineStr">
        <is>
          <t>Hiring, culture, policies</t>
        </is>
      </c>
    </row>
    <row r="34" ht="22.35" customHeight="1" s="66">
      <c r="A34" s="114" t="n">
        <v>29</v>
      </c>
      <c r="B34" s="115" t="inlineStr">
        <is>
          <t>TRN-01</t>
        </is>
      </c>
      <c r="C34" s="114" t="inlineStr">
        <is>
          <t>Curriculum design</t>
        </is>
      </c>
      <c r="D34" s="114" t="inlineStr">
        <is>
          <t>تصميم المناهج</t>
        </is>
      </c>
      <c r="E34" s="116" t="inlineStr">
        <is>
          <t>Mid / Sr</t>
        </is>
      </c>
      <c r="F34" s="116" t="inlineStr">
        <is>
          <t>Learning outcomes, modules</t>
        </is>
      </c>
    </row>
    <row r="35" ht="15" customHeight="1" s="66">
      <c r="A35" s="114" t="n">
        <v>30</v>
      </c>
      <c r="B35" s="115" t="inlineStr">
        <is>
          <t>TRN-02</t>
        </is>
      </c>
      <c r="C35" s="114" t="inlineStr">
        <is>
          <t>Instructor / facilitator</t>
        </is>
      </c>
      <c r="D35" s="114" t="inlineStr">
        <is>
          <t>المدرب والميسّر</t>
        </is>
      </c>
      <c r="E35" s="116" t="inlineStr">
        <is>
          <t>Jr / Mid / Sr</t>
        </is>
      </c>
      <c r="F35" s="116" t="inlineStr">
        <is>
          <t>Workshops, cohorts</t>
        </is>
      </c>
    </row>
    <row r="36" ht="15" customHeight="1" s="66">
      <c r="A36" s="114" t="n">
        <v>31</v>
      </c>
      <c r="B36" s="115" t="inlineStr">
        <is>
          <t>TRN-03</t>
        </is>
      </c>
      <c r="C36" s="114" t="inlineStr">
        <is>
          <t>Coaching &amp; mentoring</t>
        </is>
      </c>
      <c r="D36" s="114" t="inlineStr">
        <is>
          <t>التدريب الفردي</t>
        </is>
      </c>
      <c r="E36" s="116" t="inlineStr">
        <is>
          <t>Mid / Sr</t>
        </is>
      </c>
      <c r="F36" s="116" t="inlineStr">
        <is>
          <t>1-on-1, career, leadership</t>
        </is>
      </c>
    </row>
    <row r="37" ht="15" customHeight="1" s="66">
      <c r="A37" s="114" t="n">
        <v>32</v>
      </c>
      <c r="B37" s="115" t="inlineStr">
        <is>
          <t>TRN-04</t>
        </is>
      </c>
      <c r="C37" s="114" t="inlineStr">
        <is>
          <t>E-learning production</t>
        </is>
      </c>
      <c r="D37" s="114" t="inlineStr">
        <is>
          <t>إنتاج التعلم الإلكتروني</t>
        </is>
      </c>
      <c r="E37" s="116" t="inlineStr">
        <is>
          <t>Jr / Mid / Sr</t>
        </is>
      </c>
      <c r="F37" s="116" t="inlineStr">
        <is>
          <t>SCORM, LMS, interactive</t>
        </is>
      </c>
    </row>
    <row r="38" ht="15" customHeight="1" s="66">
      <c r="A38" s="114" t="n">
        <v>33</v>
      </c>
      <c r="B38" s="115" t="inlineStr">
        <is>
          <t>TRN-05</t>
        </is>
      </c>
      <c r="C38" s="114" t="inlineStr">
        <is>
          <t>Assessment design</t>
        </is>
      </c>
      <c r="D38" s="114" t="inlineStr">
        <is>
          <t>تصميم التقييم</t>
        </is>
      </c>
      <c r="E38" s="116" t="inlineStr">
        <is>
          <t>Mid / Sr</t>
        </is>
      </c>
      <c r="F38" s="116" t="inlineStr">
        <is>
          <t>Exams, rubrics, skill tests</t>
        </is>
      </c>
    </row>
    <row r="39" ht="15" customHeight="1" s="66">
      <c r="A39" s="114" t="n">
        <v>34</v>
      </c>
      <c r="B39" s="115" t="inlineStr">
        <is>
          <t>RSH-01</t>
        </is>
      </c>
      <c r="C39" s="114" t="inlineStr">
        <is>
          <t>Market research</t>
        </is>
      </c>
      <c r="D39" s="114" t="inlineStr">
        <is>
          <t>أبحاث السوق</t>
        </is>
      </c>
      <c r="E39" s="116" t="inlineStr">
        <is>
          <t>Mid / Sr</t>
        </is>
      </c>
      <c r="F39" s="116" t="inlineStr">
        <is>
          <t>Surveys, interviews, sizing</t>
        </is>
      </c>
    </row>
    <row r="40" ht="15" customHeight="1" s="66">
      <c r="A40" s="114" t="n">
        <v>35</v>
      </c>
      <c r="B40" s="115" t="inlineStr">
        <is>
          <t>RSH-02</t>
        </is>
      </c>
      <c r="C40" s="114" t="inlineStr">
        <is>
          <t>Policy &amp; economic research</t>
        </is>
      </c>
      <c r="D40" s="114" t="inlineStr">
        <is>
          <t>أبحاث السياسات والاقتصاد</t>
        </is>
      </c>
      <c r="E40" s="116" t="inlineStr">
        <is>
          <t>Sr / Lead</t>
        </is>
      </c>
      <c r="F40" s="116" t="inlineStr">
        <is>
          <t>Reports, briefings</t>
        </is>
      </c>
    </row>
    <row r="41" ht="15" customHeight="1" s="66">
      <c r="A41" s="114" t="n">
        <v>36</v>
      </c>
      <c r="B41" s="115" t="inlineStr">
        <is>
          <t>RSH-03</t>
        </is>
      </c>
      <c r="C41" s="114" t="inlineStr">
        <is>
          <t>User research</t>
        </is>
      </c>
      <c r="D41" s="114" t="inlineStr">
        <is>
          <t>أبحاث المستخدم</t>
        </is>
      </c>
      <c r="E41" s="116" t="inlineStr">
        <is>
          <t>Mid / Sr</t>
        </is>
      </c>
      <c r="F41" s="116" t="inlineStr">
        <is>
          <t>Usability, ethnography</t>
        </is>
      </c>
    </row>
    <row r="42" ht="15" customHeight="1" s="66">
      <c r="A42" s="114" t="n">
        <v>37</v>
      </c>
      <c r="B42" s="115" t="inlineStr">
        <is>
          <t>RSH-04</t>
        </is>
      </c>
      <c r="C42" s="114" t="inlineStr">
        <is>
          <t>Data analytics</t>
        </is>
      </c>
      <c r="D42" s="114" t="inlineStr">
        <is>
          <t>تحليلات البيانات</t>
        </is>
      </c>
      <c r="E42" s="116" t="inlineStr">
        <is>
          <t>Jr / Mid / Sr</t>
        </is>
      </c>
      <c r="F42" s="116" t="inlineStr">
        <is>
          <t>Dashboards, insights</t>
        </is>
      </c>
    </row>
    <row r="43" ht="15" customHeight="1" s="66">
      <c r="A43" s="114" t="n">
        <v>38</v>
      </c>
      <c r="B43" s="115" t="inlineStr">
        <is>
          <t>RSH-05</t>
        </is>
      </c>
      <c r="C43" s="114" t="inlineStr">
        <is>
          <t>Academic / scientific writing</t>
        </is>
      </c>
      <c r="D43" s="114" t="inlineStr">
        <is>
          <t>الكتابة العلمية</t>
        </is>
      </c>
      <c r="E43" s="116" t="inlineStr">
        <is>
          <t>Sr / Lead</t>
        </is>
      </c>
      <c r="F43" s="116" t="inlineStr">
        <is>
          <t>Papers, reviews, citations</t>
        </is>
      </c>
    </row>
    <row r="44" ht="15" customHeight="1" s="66">
      <c r="A44" s="114" t="n">
        <v>39</v>
      </c>
      <c r="B44" s="115" t="inlineStr">
        <is>
          <t>CNS-01</t>
        </is>
      </c>
      <c r="C44" s="114" t="inlineStr">
        <is>
          <t>Strategy consulting</t>
        </is>
      </c>
      <c r="D44" s="114" t="inlineStr">
        <is>
          <t>الاستشارات الاستراتيجية</t>
        </is>
      </c>
      <c r="E44" s="116" t="inlineStr">
        <is>
          <t>Mid / Sr / Lead</t>
        </is>
      </c>
      <c r="F44" s="116" t="inlineStr">
        <is>
          <t>Growth plans, market entry</t>
        </is>
      </c>
    </row>
    <row r="45" ht="15" customHeight="1" s="66">
      <c r="A45" s="114" t="n">
        <v>40</v>
      </c>
      <c r="B45" s="115" t="inlineStr">
        <is>
          <t>CNS-02</t>
        </is>
      </c>
      <c r="C45" s="114" t="inlineStr">
        <is>
          <t>Management consulting</t>
        </is>
      </c>
      <c r="D45" s="114" t="inlineStr">
        <is>
          <t>الاستشارات الإدارية</t>
        </is>
      </c>
      <c r="E45" s="116" t="inlineStr">
        <is>
          <t>Mid / Sr / Lead</t>
        </is>
      </c>
      <c r="F45" s="116" t="inlineStr">
        <is>
          <t>Org design, transformation</t>
        </is>
      </c>
    </row>
    <row r="46" ht="22.35" customHeight="1" s="66">
      <c r="A46" s="114" t="n">
        <v>41</v>
      </c>
      <c r="B46" s="115" t="inlineStr">
        <is>
          <t>CNS-03</t>
        </is>
      </c>
      <c r="C46" s="114" t="inlineStr">
        <is>
          <t>Technology advisory</t>
        </is>
      </c>
      <c r="D46" s="114" t="inlineStr">
        <is>
          <t>الاستشارات التقنية</t>
        </is>
      </c>
      <c r="E46" s="116" t="inlineStr">
        <is>
          <t>Mid / Sr / Lead</t>
        </is>
      </c>
      <c r="F46" s="116" t="inlineStr">
        <is>
          <t>Stack selection, architecture</t>
        </is>
      </c>
    </row>
    <row r="47" ht="22.35" customHeight="1" s="66">
      <c r="A47" s="114" t="n">
        <v>42</v>
      </c>
      <c r="B47" s="115" t="inlineStr">
        <is>
          <t>CNS-04</t>
        </is>
      </c>
      <c r="C47" s="114" t="inlineStr">
        <is>
          <t>M&amp;A advisory</t>
        </is>
      </c>
      <c r="D47" s="114" t="inlineStr">
        <is>
          <t>استشارات الاستحواذ</t>
        </is>
      </c>
      <c r="E47" s="116" t="inlineStr">
        <is>
          <t>Sr / Lead</t>
        </is>
      </c>
      <c r="F47" s="116" t="inlineStr">
        <is>
          <t>Deal structuring, due diligence</t>
        </is>
      </c>
    </row>
    <row r="48" ht="22.35" customHeight="1" s="66">
      <c r="A48" s="114" t="n">
        <v>43</v>
      </c>
      <c r="B48" s="115" t="inlineStr">
        <is>
          <t>CNS-05</t>
        </is>
      </c>
      <c r="C48" s="114" t="inlineStr">
        <is>
          <t>Legal advisory</t>
        </is>
      </c>
      <c r="D48" s="114" t="inlineStr">
        <is>
          <t>الاستشارات القانونية</t>
        </is>
      </c>
      <c r="E48" s="116" t="inlineStr">
        <is>
          <t>Sr / Lead</t>
        </is>
      </c>
      <c r="F48" s="116" t="inlineStr">
        <is>
          <t>Contracts, compliance (via partners)</t>
        </is>
      </c>
    </row>
    <row r="49" ht="22.35" customHeight="1" s="66">
      <c r="A49" s="114" t="n">
        <v>44</v>
      </c>
      <c r="B49" s="115" t="inlineStr">
        <is>
          <t>CNS-06</t>
        </is>
      </c>
      <c r="C49" s="114" t="inlineStr">
        <is>
          <t>Financial advisory</t>
        </is>
      </c>
      <c r="D49" s="114" t="inlineStr">
        <is>
          <t>الاستشارات المالية</t>
        </is>
      </c>
      <c r="E49" s="116" t="inlineStr">
        <is>
          <t>Sr / Lead</t>
        </is>
      </c>
      <c r="F49" s="116" t="inlineStr">
        <is>
          <t>Restructuring, working capital</t>
        </is>
      </c>
    </row>
    <row r="50" ht="15" customHeight="1" s="66">
      <c r="A50" s="114" t="n">
        <v>45</v>
      </c>
      <c r="B50" s="115" t="inlineStr">
        <is>
          <t>CNS-07</t>
        </is>
      </c>
      <c r="C50" s="114" t="inlineStr">
        <is>
          <t>Sustainability / ESG</t>
        </is>
      </c>
      <c r="D50" s="114" t="inlineStr">
        <is>
          <t>الاستدامة والحوكمة</t>
        </is>
      </c>
      <c r="E50" s="116" t="inlineStr">
        <is>
          <t>Mid / Sr</t>
        </is>
      </c>
      <c r="F50" s="116" t="inlineStr">
        <is>
          <t>Frameworks, reports</t>
        </is>
      </c>
    </row>
    <row r="51" ht="22.35" customHeight="1" s="66">
      <c r="A51" s="114" t="n">
        <v>46</v>
      </c>
      <c r="B51" s="115" t="inlineStr">
        <is>
          <t>PHY-01</t>
        </is>
      </c>
      <c r="C51" s="114" t="inlineStr">
        <is>
          <t>Event management</t>
        </is>
      </c>
      <c r="D51" s="114" t="inlineStr">
        <is>
          <t>إدارة الفعاليات</t>
        </is>
      </c>
      <c r="E51" s="116" t="inlineStr">
        <is>
          <t>Jr / Mid / Sr</t>
        </is>
      </c>
      <c r="F51" s="116" t="inlineStr">
        <is>
          <t>Planning, ops, vendor mgmt</t>
        </is>
      </c>
    </row>
    <row r="52" ht="15" customHeight="1" s="66">
      <c r="A52" s="114" t="n">
        <v>47</v>
      </c>
      <c r="B52" s="115" t="inlineStr">
        <is>
          <t>PHY-02</t>
        </is>
      </c>
      <c r="C52" s="114" t="inlineStr">
        <is>
          <t>Logistics &amp; supply chain</t>
        </is>
      </c>
      <c r="D52" s="114" t="inlineStr">
        <is>
          <t>اللوجستيات وسلسلة الإمداد</t>
        </is>
      </c>
      <c r="E52" s="116" t="inlineStr">
        <is>
          <t>Mid / Sr</t>
        </is>
      </c>
      <c r="F52" s="116" t="inlineStr">
        <is>
          <t>Warehousing, transport</t>
        </is>
      </c>
    </row>
    <row r="53" ht="22.35" customHeight="1" s="66">
      <c r="A53" s="114" t="n">
        <v>48</v>
      </c>
      <c r="B53" s="115" t="inlineStr">
        <is>
          <t>PHY-03</t>
        </is>
      </c>
      <c r="C53" s="114" t="inlineStr">
        <is>
          <t>Construction &amp; fit-out</t>
        </is>
      </c>
      <c r="D53" s="114" t="inlineStr">
        <is>
          <t>البناء والتشطيب</t>
        </is>
      </c>
      <c r="E53" s="116" t="inlineStr">
        <is>
          <t>Mid / Sr / Lead</t>
        </is>
      </c>
      <c r="F53" s="116" t="inlineStr">
        <is>
          <t>Site ops, fit-out, supervision</t>
        </is>
      </c>
    </row>
    <row r="54" ht="22.35" customHeight="1" s="66">
      <c r="A54" s="114" t="n">
        <v>49</v>
      </c>
      <c r="B54" s="115" t="inlineStr">
        <is>
          <t>PHY-04</t>
        </is>
      </c>
      <c r="C54" s="114" t="inlineStr">
        <is>
          <t>Field survey / audit</t>
        </is>
      </c>
      <c r="D54" s="114" t="inlineStr">
        <is>
          <t>المسوح والتدقيق الميداني</t>
        </is>
      </c>
      <c r="E54" s="116" t="inlineStr">
        <is>
          <t>Jr / Mid / Sr</t>
        </is>
      </c>
      <c r="F54" s="116" t="inlineStr">
        <is>
          <t>Household surveys, asset audits</t>
        </is>
      </c>
    </row>
    <row r="55" ht="22.35" customHeight="1" s="66">
      <c r="A55" s="114" t="n">
        <v>50</v>
      </c>
      <c r="B55" s="115" t="inlineStr">
        <is>
          <t>PHY-05</t>
        </is>
      </c>
      <c r="C55" s="114" t="inlineStr">
        <is>
          <t>Hospitality operations</t>
        </is>
      </c>
      <c r="D55" s="114" t="inlineStr">
        <is>
          <t>عمليات الضيافة</t>
        </is>
      </c>
      <c r="E55" s="116" t="inlineStr">
        <is>
          <t>Jr / Mid / Sr</t>
        </is>
      </c>
      <c r="F55" s="116" t="inlineStr">
        <is>
          <t>F&amp;B, front-of-house, guest ops</t>
        </is>
      </c>
    </row>
    <row r="56" ht="15" customHeight="1" s="66">
      <c r="A56" s="114" t="n">
        <v>51</v>
      </c>
      <c r="B56" s="115" t="inlineStr">
        <is>
          <t>PHY-06</t>
        </is>
      </c>
      <c r="C56" s="114" t="inlineStr">
        <is>
          <t>Facilities &amp; maintenance</t>
        </is>
      </c>
      <c r="D56" s="114" t="inlineStr">
        <is>
          <t>الصيانة والمرافق</t>
        </is>
      </c>
      <c r="E56" s="116" t="inlineStr">
        <is>
          <t>Jr / Mid / Sr</t>
        </is>
      </c>
      <c r="F56" s="116" t="inlineStr">
        <is>
          <t>Hub upkeep, systems</t>
        </is>
      </c>
    </row>
    <row r="57" ht="15" customHeight="1" s="66">
      <c r="A57" s="114" t="n">
        <v>52</v>
      </c>
      <c r="B57" s="115" t="inlineStr">
        <is>
          <t>SPC-01</t>
        </is>
      </c>
      <c r="C57" s="114" t="inlineStr">
        <is>
          <t>Arabic calligraphy &amp; typography</t>
        </is>
      </c>
      <c r="D57" s="114" t="inlineStr">
        <is>
          <t>الخط والطباعة العربية</t>
        </is>
      </c>
      <c r="E57" s="116" t="inlineStr">
        <is>
          <t>Mid / Sr</t>
        </is>
      </c>
      <c r="F57" s="116" t="inlineStr">
        <is>
          <t>Custom scripts, typefaces</t>
        </is>
      </c>
    </row>
    <row r="58" ht="15" customHeight="1" s="66">
      <c r="A58" s="114" t="n">
        <v>53</v>
      </c>
      <c r="B58" s="115" t="inlineStr">
        <is>
          <t>SPC-02</t>
        </is>
      </c>
      <c r="C58" s="114" t="inlineStr">
        <is>
          <t>Islamic finance specialist</t>
        </is>
      </c>
      <c r="D58" s="114" t="inlineStr">
        <is>
          <t>التمويل الإسلامي</t>
        </is>
      </c>
      <c r="E58" s="116" t="inlineStr">
        <is>
          <t>Sr / Lead</t>
        </is>
      </c>
      <c r="F58" s="116" t="inlineStr">
        <is>
          <t>Shariah structuring</t>
        </is>
      </c>
    </row>
    <row r="59" ht="15" customHeight="1" s="66">
      <c r="A59" s="114" t="n">
        <v>54</v>
      </c>
      <c r="B59" s="115" t="inlineStr">
        <is>
          <t>SPC-03</t>
        </is>
      </c>
      <c r="C59" s="114" t="inlineStr">
        <is>
          <t>Humanitarian / INGO ops</t>
        </is>
      </c>
      <c r="D59" s="114" t="inlineStr">
        <is>
          <t>العمل الإنساني</t>
        </is>
      </c>
      <c r="E59" s="116" t="inlineStr">
        <is>
          <t>Mid / Sr</t>
        </is>
      </c>
      <c r="F59" s="116" t="inlineStr">
        <is>
          <t>Program design, M&amp;E</t>
        </is>
      </c>
    </row>
    <row r="60" ht="15" customHeight="1" s="66">
      <c r="A60" s="114" t="n">
        <v>55</v>
      </c>
      <c r="B60" s="115" t="inlineStr">
        <is>
          <t>SPC-04</t>
        </is>
      </c>
      <c r="C60" s="114" t="inlineStr">
        <is>
          <t>Journalism &amp; editorial</t>
        </is>
      </c>
      <c r="D60" s="114" t="inlineStr">
        <is>
          <t>الصحافة والتحرير</t>
        </is>
      </c>
      <c r="E60" s="116" t="inlineStr">
        <is>
          <t>Mid / Sr</t>
        </is>
      </c>
      <c r="F60" s="116" t="inlineStr">
        <is>
          <t>Reporting, long-form</t>
        </is>
      </c>
    </row>
    <row r="61" ht="15" customHeight="1" s="66">
      <c r="A61" s="114" t="n">
        <v>56</v>
      </c>
      <c r="B61" s="115" t="inlineStr">
        <is>
          <t>SPC-05</t>
        </is>
      </c>
      <c r="C61" s="114" t="inlineStr">
        <is>
          <t>Podcast production</t>
        </is>
      </c>
      <c r="D61" s="114" t="inlineStr">
        <is>
          <t>إنتاج البودكاست</t>
        </is>
      </c>
      <c r="E61" s="116" t="inlineStr">
        <is>
          <t>Mid / Sr</t>
        </is>
      </c>
      <c r="F61" s="116" t="inlineStr">
        <is>
          <t>Editing, distribution</t>
        </is>
      </c>
    </row>
    <row r="62" ht="15" customHeight="1" s="66">
      <c r="A62" s="114" t="n">
        <v>57</v>
      </c>
      <c r="B62" s="115" t="inlineStr">
        <is>
          <t>SPC-06</t>
        </is>
      </c>
      <c r="C62" s="114" t="inlineStr">
        <is>
          <t>Public relations</t>
        </is>
      </c>
      <c r="D62" s="114" t="inlineStr">
        <is>
          <t>العلاقات العامة</t>
        </is>
      </c>
      <c r="E62" s="116" t="inlineStr">
        <is>
          <t>Mid / Sr</t>
        </is>
      </c>
      <c r="F62" s="116" t="inlineStr">
        <is>
          <t>Media, crisis, reputation</t>
        </is>
      </c>
    </row>
    <row r="63" ht="15" customHeight="1" s="66">
      <c r="A63" s="114" t="n">
        <v>58</v>
      </c>
      <c r="B63" s="115" t="inlineStr">
        <is>
          <t>SPC-07</t>
        </is>
      </c>
      <c r="C63" s="114" t="inlineStr">
        <is>
          <t>Government relations</t>
        </is>
      </c>
      <c r="D63" s="114" t="inlineStr">
        <is>
          <t>العلاقات الحكومية</t>
        </is>
      </c>
      <c r="E63" s="116" t="inlineStr">
        <is>
          <t>Sr / Lead</t>
        </is>
      </c>
      <c r="F63" s="116" t="inlineStr">
        <is>
          <t>Stakeholder engagement</t>
        </is>
      </c>
    </row>
    <row r="64" ht="22.35" customHeight="1" s="66">
      <c r="A64" s="114" t="n">
        <v>59</v>
      </c>
      <c r="B64" s="115" t="inlineStr">
        <is>
          <t>SPC-08</t>
        </is>
      </c>
      <c r="C64" s="114" t="inlineStr">
        <is>
          <t>Investor relations</t>
        </is>
      </c>
      <c r="D64" s="114" t="inlineStr">
        <is>
          <t>علاقات المستثمرين</t>
        </is>
      </c>
      <c r="E64" s="116" t="inlineStr">
        <is>
          <t>Sr / Lead</t>
        </is>
      </c>
      <c r="F64" s="116" t="inlineStr">
        <is>
          <t>Decks, reporting, roadshows</t>
        </is>
      </c>
    </row>
    <row r="65" ht="15" customHeight="1" s="66">
      <c r="A65" s="114" t="n">
        <v>60</v>
      </c>
      <c r="B65" s="115" t="inlineStr">
        <is>
          <t>SPC-09</t>
        </is>
      </c>
      <c r="C65" s="114" t="inlineStr">
        <is>
          <t>Impact measurement</t>
        </is>
      </c>
      <c r="D65" s="114" t="inlineStr">
        <is>
          <t>قياس الأثر</t>
        </is>
      </c>
      <c r="E65" s="116" t="inlineStr">
        <is>
          <t>Mid / Sr</t>
        </is>
      </c>
      <c r="F65" s="116" t="inlineStr">
        <is>
          <t>M&amp;E frameworks, reporting</t>
        </is>
      </c>
    </row>
  </sheetData>
  <mergeCells count="2">
    <mergeCell ref="A3:F3"/>
    <mergeCell ref="A1:F2"/>
  </mergeCell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E63"/>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20" customWidth="1" style="65" min="2" max="2"/>
    <col width="50" customWidth="1" style="65" min="3" max="4"/>
    <col width="14" customWidth="1" style="65" min="5" max="5"/>
  </cols>
  <sheetData>
    <row r="1" ht="15" customHeight="1" s="66">
      <c r="A1" s="83" t="inlineStr">
        <is>
          <t>WHATSAPP INTAKE SCRIPTS / سكربتات واتساب للاستقبال</t>
        </is>
      </c>
    </row>
    <row r="2" ht="15" customHeight="1" s="66"/>
    <row r="3" ht="15" customHeight="1" s="66">
      <c r="A3" s="68" t="inlineStr">
        <is>
          <t>Bilingual conversational flows. Each message ≤ 160 chars where possible. Bot sends → saves partial capture → human handler closes the loop within 24 hours.</t>
        </is>
      </c>
    </row>
    <row r="4"/>
    <row r="5" ht="31.5" customHeight="1" s="66">
      <c r="A5" s="70" t="inlineStr">
        <is>
          <t>#</t>
        </is>
      </c>
      <c r="B5" s="70" t="inlineStr">
        <is>
          <t>Step</t>
        </is>
      </c>
      <c r="C5" s="70" t="inlineStr">
        <is>
          <t>English</t>
        </is>
      </c>
      <c r="D5" s="70" t="inlineStr">
        <is>
          <t>Arabic / العربية</t>
        </is>
      </c>
      <c r="E5" s="70" t="inlineStr">
        <is>
          <t>Type</t>
        </is>
      </c>
    </row>
    <row r="6" ht="24" customHeight="1" s="66">
      <c r="A6" s="117" t="n"/>
      <c r="B6" s="118" t="inlineStr">
        <is>
          <t>— CLIENT / العميل —</t>
        </is>
      </c>
    </row>
    <row r="7" ht="36" customHeight="1" s="66">
      <c r="A7" s="119" t="inlineStr">
        <is>
          <t>01</t>
        </is>
      </c>
      <c r="B7" s="120" t="inlineStr">
        <is>
          <t>Welcome</t>
        </is>
      </c>
      <c r="C7" s="121" t="inlineStr">
        <is>
          <t>Ahlan 👋 This is Kayan — managed delivery + trusted pods. Reply START to share your project in 2 minutes.</t>
        </is>
      </c>
      <c r="D7" s="121" t="inlineStr">
        <is>
          <t>أهلاً 👋 هذه كيان — تنفيذ مُدار وفِرق موثوقة. أرسل ابدأ لنأخذ تفاصيل مشروعك في دقيقتين.</t>
        </is>
      </c>
      <c r="E7" s="122" t="inlineStr">
        <is>
          <t>bot</t>
        </is>
      </c>
    </row>
    <row r="8" ht="36" customHeight="1" s="66">
      <c r="A8" s="119" t="inlineStr">
        <is>
          <t>02</t>
        </is>
      </c>
      <c r="B8" s="120" t="inlineStr">
        <is>
          <t>Name</t>
        </is>
      </c>
      <c r="C8" s="121" t="inlineStr">
        <is>
          <t>What is your full name?</t>
        </is>
      </c>
      <c r="D8" s="121" t="inlineStr">
        <is>
          <t>ما اسمك الكامل؟</t>
        </is>
      </c>
      <c r="E8" s="122" t="inlineStr">
        <is>
          <t>capture</t>
        </is>
      </c>
    </row>
    <row r="9" ht="36" customHeight="1" s="66">
      <c r="A9" s="119" t="inlineStr">
        <is>
          <t>03</t>
        </is>
      </c>
      <c r="B9" s="120" t="inlineStr">
        <is>
          <t>Company</t>
        </is>
      </c>
      <c r="C9" s="121" t="inlineStr">
        <is>
          <t>Company or organization name?</t>
        </is>
      </c>
      <c r="D9" s="121" t="inlineStr">
        <is>
          <t>اسم الشركة أو الجهة؟</t>
        </is>
      </c>
      <c r="E9" s="122" t="inlineStr">
        <is>
          <t>capture</t>
        </is>
      </c>
    </row>
    <row r="10" ht="36" customHeight="1" s="66">
      <c r="A10" s="119" t="inlineStr">
        <is>
          <t>04</t>
        </is>
      </c>
      <c r="B10" s="120" t="inlineStr">
        <is>
          <t>Industry</t>
        </is>
      </c>
      <c r="C10" s="121" t="inlineStr">
        <is>
          <t>Which industry? (e.g., retail, finance, health)</t>
        </is>
      </c>
      <c r="D10" s="121" t="inlineStr">
        <is>
          <t>ما القطاع؟ (مثلاً: تجارة، مالية، صحة)</t>
        </is>
      </c>
      <c r="E10" s="122" t="inlineStr">
        <is>
          <t>capture</t>
        </is>
      </c>
    </row>
    <row r="11" ht="36" customHeight="1" s="66">
      <c r="A11" s="119" t="inlineStr">
        <is>
          <t>05</t>
        </is>
      </c>
      <c r="B11" s="120" t="inlineStr">
        <is>
          <t>Need</t>
        </is>
      </c>
      <c r="C11" s="121" t="inlineStr">
        <is>
          <t>In one sentence — what do you want to get done?</t>
        </is>
      </c>
      <c r="D11" s="121" t="inlineStr">
        <is>
          <t>في جملة — ما الذي تريد إنجازه؟</t>
        </is>
      </c>
      <c r="E11" s="122" t="inlineStr">
        <is>
          <t>capture</t>
        </is>
      </c>
    </row>
    <row r="12" ht="36" customHeight="1" s="66">
      <c r="A12" s="119" t="inlineStr">
        <is>
          <t>06</t>
        </is>
      </c>
      <c r="B12" s="120" t="inlineStr">
        <is>
          <t>Budget</t>
        </is>
      </c>
      <c r="C12" s="121" t="inlineStr">
        <is>
          <t>Budget band: &lt;$500, $500-2k, $2k-10k, $10k-50k, $50k+, undecided?</t>
        </is>
      </c>
      <c r="D12" s="121" t="inlineStr">
        <is>
          <t>شريحة الميزانية: أقل من 500، 500-2000، 2000-10000، 10000-50000، 50000+، أو لم تحدد؟</t>
        </is>
      </c>
      <c r="E12" s="122" t="inlineStr">
        <is>
          <t>capture</t>
        </is>
      </c>
    </row>
    <row r="13" ht="36" customHeight="1" s="66">
      <c r="A13" s="119" t="inlineStr">
        <is>
          <t>07</t>
        </is>
      </c>
      <c r="B13" s="120" t="inlineStr">
        <is>
          <t>Deadline</t>
        </is>
      </c>
      <c r="C13" s="121" t="inlineStr">
        <is>
          <t>When do you need it done? (date or rough week)</t>
        </is>
      </c>
      <c r="D13" s="121" t="inlineStr">
        <is>
          <t>متى تحتاج الإنجاز؟ (تاريخ أو أسبوع تقريبي)</t>
        </is>
      </c>
      <c r="E13" s="122" t="inlineStr">
        <is>
          <t>capture</t>
        </is>
      </c>
    </row>
    <row r="14" ht="36" customHeight="1" s="66">
      <c r="A14" s="119" t="inlineStr">
        <is>
          <t>08</t>
        </is>
      </c>
      <c r="B14" s="120" t="inlineStr">
        <is>
          <t>Email</t>
        </is>
      </c>
      <c r="C14" s="121" t="inlineStr">
        <is>
          <t>What email should we send the scoping call invite to?</t>
        </is>
      </c>
      <c r="D14" s="121" t="inlineStr">
        <is>
          <t>على أي بريد نرسل دعوة جلسة التحديد؟</t>
        </is>
      </c>
      <c r="E14" s="122" t="inlineStr">
        <is>
          <t>capture</t>
        </is>
      </c>
    </row>
    <row r="15" ht="36" customHeight="1" s="66">
      <c r="A15" s="119" t="inlineStr">
        <is>
          <t>09</t>
        </is>
      </c>
      <c r="B15" s="120" t="inlineStr">
        <is>
          <t>Close</t>
        </is>
      </c>
      <c r="C15" s="121" t="inlineStr">
        <is>
          <t>Thank you. A handler will reach you within 24 hours with a scoping call. Reply STOP to pause.</t>
        </is>
      </c>
      <c r="D15" s="121" t="inlineStr">
        <is>
          <t>شكراً لك. سيتواصل معك أحد الفريق خلال 24 ساعة لتحديد جلسة العمل. أرسل إيقاف لإيقاف المحادثة.</t>
        </is>
      </c>
      <c r="E15" s="122" t="inlineStr">
        <is>
          <t>bot</t>
        </is>
      </c>
    </row>
    <row r="16" ht="24" customHeight="1" s="66">
      <c r="A16" s="117" t="n"/>
      <c r="B16" s="118" t="inlineStr">
        <is>
          <t>— TALENT / المستقل —</t>
        </is>
      </c>
    </row>
    <row r="17" ht="36" customHeight="1" s="66">
      <c r="A17" s="119" t="inlineStr">
        <is>
          <t>01</t>
        </is>
      </c>
      <c r="B17" s="120" t="inlineStr">
        <is>
          <t>Welcome</t>
        </is>
      </c>
      <c r="C17" s="121" t="inlineStr">
        <is>
          <t>Ahlan, talent 👋 This is Kayan. We match verified talent to paid, escrow-protected work. Reply START to join the waitlist in 90 seconds.</t>
        </is>
      </c>
      <c r="D17" s="121" t="inlineStr">
        <is>
          <t>أهلاً أيها المستقل 👋 كيان تربط الموهبة الموثقة بعمل مدفوع محمي بضمان. أرسل ابدأ للانضمام إلى قائمة الانتظار في 90 ثانية.</t>
        </is>
      </c>
      <c r="E17" s="122" t="inlineStr">
        <is>
          <t>bot</t>
        </is>
      </c>
    </row>
    <row r="18" ht="36" customHeight="1" s="66">
      <c r="A18" s="119" t="inlineStr">
        <is>
          <t>02</t>
        </is>
      </c>
      <c r="B18" s="120" t="inlineStr">
        <is>
          <t>Name</t>
        </is>
      </c>
      <c r="C18" s="121" t="inlineStr">
        <is>
          <t>Full name?</t>
        </is>
      </c>
      <c r="D18" s="121" t="inlineStr">
        <is>
          <t>الاسم الكامل؟</t>
        </is>
      </c>
      <c r="E18" s="122" t="inlineStr">
        <is>
          <t>capture</t>
        </is>
      </c>
    </row>
    <row r="19" ht="36" customHeight="1" s="66">
      <c r="A19" s="119" t="inlineStr">
        <is>
          <t>03</t>
        </is>
      </c>
      <c r="B19" s="120" t="inlineStr">
        <is>
          <t>Domain</t>
        </is>
      </c>
      <c r="C19" s="121" t="inlineStr">
        <is>
          <t>Primary domain: 1-Tech 2-Creative 3-Business 4-Training 5-Research 6-Consulting 7-Field 8-Specialist</t>
        </is>
      </c>
      <c r="D19" s="121" t="inlineStr">
        <is>
          <t>المجال الأساسي: 1-تقني 2-إبداعي 3-أعمال 4-تدريب 5-بحث 6-استشارات 7-ميداني 8-متخصص</t>
        </is>
      </c>
      <c r="E19" s="122" t="inlineStr">
        <is>
          <t>capture</t>
        </is>
      </c>
    </row>
    <row r="20" ht="36" customHeight="1" s="66">
      <c r="A20" s="119" t="inlineStr">
        <is>
          <t>04</t>
        </is>
      </c>
      <c r="B20" s="120" t="inlineStr">
        <is>
          <t>MicroSpec</t>
        </is>
      </c>
      <c r="C20" s="121" t="inlineStr">
        <is>
          <t>Your top skill (1-2 words)</t>
        </is>
      </c>
      <c r="D20" s="121" t="inlineStr">
        <is>
          <t>مهارتك الأبرز (كلمة أو اثنتان)</t>
        </is>
      </c>
      <c r="E20" s="122" t="inlineStr">
        <is>
          <t>capture</t>
        </is>
      </c>
    </row>
    <row r="21" ht="36" customHeight="1" s="66">
      <c r="A21" s="119" t="inlineStr">
        <is>
          <t>05</t>
        </is>
      </c>
      <c r="B21" s="120" t="inlineStr">
        <is>
          <t>Years</t>
        </is>
      </c>
      <c r="C21" s="121" t="inlineStr">
        <is>
          <t>Years of experience?</t>
        </is>
      </c>
      <c r="D21" s="121" t="inlineStr">
        <is>
          <t>سنوات الخبرة؟</t>
        </is>
      </c>
      <c r="E21" s="122" t="inlineStr">
        <is>
          <t>capture</t>
        </is>
      </c>
    </row>
    <row r="22" ht="36" customHeight="1" s="66">
      <c r="A22" s="119" t="inlineStr">
        <is>
          <t>06</t>
        </is>
      </c>
      <c r="B22" s="120" t="inlineStr">
        <is>
          <t>Rate</t>
        </is>
      </c>
      <c r="C22" s="121" t="inlineStr">
        <is>
          <t>Your hourly rate in USD (or YER)?</t>
        </is>
      </c>
      <c r="D22" s="121" t="inlineStr">
        <is>
          <t>سعرك بالساعة بالدولار (أو بالريال)؟</t>
        </is>
      </c>
      <c r="E22" s="122" t="inlineStr">
        <is>
          <t>capture</t>
        </is>
      </c>
    </row>
    <row r="23" ht="36" customHeight="1" s="66">
      <c r="A23" s="119" t="inlineStr">
        <is>
          <t>07</t>
        </is>
      </c>
      <c r="B23" s="120" t="inlineStr">
        <is>
          <t>Portfolio</t>
        </is>
      </c>
      <c r="C23" s="121" t="inlineStr">
        <is>
          <t>Portfolio / LinkedIn URL (skip if none)</t>
        </is>
      </c>
      <c r="D23" s="121" t="inlineStr">
        <is>
          <t>رابط أعمالك أو لينكدإن (تجاوز إن لم يوجد)</t>
        </is>
      </c>
      <c r="E23" s="122" t="inlineStr">
        <is>
          <t>capture</t>
        </is>
      </c>
    </row>
    <row r="24" ht="36" customHeight="1" s="66">
      <c r="A24" s="119" t="inlineStr">
        <is>
          <t>08</t>
        </is>
      </c>
      <c r="B24" s="120" t="inlineStr">
        <is>
          <t>City</t>
        </is>
      </c>
      <c r="C24" s="121" t="inlineStr">
        <is>
          <t>City of residence?</t>
        </is>
      </c>
      <c r="D24" s="121" t="inlineStr">
        <is>
          <t>مدينة الإقامة؟</t>
        </is>
      </c>
      <c r="E24" s="122" t="inlineStr">
        <is>
          <t>capture</t>
        </is>
      </c>
    </row>
    <row r="25" ht="36" customHeight="1" s="66">
      <c r="A25" s="119" t="inlineStr">
        <is>
          <t>09</t>
        </is>
      </c>
      <c r="B25" s="120" t="inlineStr">
        <is>
          <t>Email</t>
        </is>
      </c>
      <c r="C25" s="121" t="inlineStr">
        <is>
          <t>Email for verification?</t>
        </is>
      </c>
      <c r="D25" s="121" t="inlineStr">
        <is>
          <t>بريدك للتحقق؟</t>
        </is>
      </c>
      <c r="E25" s="122" t="inlineStr">
        <is>
          <t>capture</t>
        </is>
      </c>
    </row>
    <row r="26" ht="36" customHeight="1" s="66">
      <c r="A26" s="119" t="inlineStr">
        <is>
          <t>10</t>
        </is>
      </c>
      <c r="B26" s="120" t="inlineStr">
        <is>
          <t>Close</t>
        </is>
      </c>
      <c r="C26" s="121" t="inlineStr">
        <is>
          <t>Saved ✦ A verifier will reach you within 48 hours. Pass the skill test and we issue your Kayan Card (T2).</t>
        </is>
      </c>
      <c r="D26" s="121" t="inlineStr">
        <is>
          <t>تم الحفظ ✦ سيتواصل معك مسؤول التحقق خلال 48 ساعة. بعد اجتياز الاختبار نُصدر لك بطاقة كيان (T2).</t>
        </is>
      </c>
      <c r="E26" s="122" t="inlineStr">
        <is>
          <t>bot</t>
        </is>
      </c>
    </row>
    <row r="27" ht="24" customHeight="1" s="66">
      <c r="A27" s="117" t="n"/>
      <c r="B27" s="118" t="inlineStr">
        <is>
          <t>— VOLUNTEER / المتطوع —</t>
        </is>
      </c>
    </row>
    <row r="28" ht="36" customHeight="1" s="66">
      <c r="A28" s="119" t="inlineStr">
        <is>
          <t>01</t>
        </is>
      </c>
      <c r="B28" s="120" t="inlineStr">
        <is>
          <t>Welcome</t>
        </is>
      </c>
      <c r="C28" s="121" t="inlineStr">
        <is>
          <t>Ahlan 👋 Kayan for Yemen (by Kayan) — volunteers matched to causes where their skill lands. Reply START to join.</t>
        </is>
      </c>
      <c r="D28" s="121" t="inlineStr">
        <is>
          <t>أهلاً 👋 كيان لليمن (من كيان) — متطوعون يُطابقون بمهاراتهم على القضايا. أرسل ابدأ للانضمام.</t>
        </is>
      </c>
      <c r="E28" s="122" t="inlineStr">
        <is>
          <t>bot</t>
        </is>
      </c>
    </row>
    <row r="29" ht="36" customHeight="1" s="66">
      <c r="A29" s="119" t="inlineStr">
        <is>
          <t>02</t>
        </is>
      </c>
      <c r="B29" s="120" t="inlineStr">
        <is>
          <t>Name</t>
        </is>
      </c>
      <c r="C29" s="121" t="inlineStr">
        <is>
          <t>Full name?</t>
        </is>
      </c>
      <c r="D29" s="121" t="inlineStr">
        <is>
          <t>الاسم الكامل؟</t>
        </is>
      </c>
      <c r="E29" s="122" t="inlineStr">
        <is>
          <t>capture</t>
        </is>
      </c>
    </row>
    <row r="30" ht="36" customHeight="1" s="66">
      <c r="A30" s="119" t="inlineStr">
        <is>
          <t>03</t>
        </is>
      </c>
      <c r="B30" s="120" t="inlineStr">
        <is>
          <t>City</t>
        </is>
      </c>
      <c r="C30" s="121" t="inlineStr">
        <is>
          <t>City?</t>
        </is>
      </c>
      <c r="D30" s="121" t="inlineStr">
        <is>
          <t>المدينة؟</t>
        </is>
      </c>
      <c r="E30" s="122" t="inlineStr">
        <is>
          <t>capture</t>
        </is>
      </c>
    </row>
    <row r="31" ht="36" customHeight="1" s="66">
      <c r="A31" s="119" t="inlineStr">
        <is>
          <t>04</t>
        </is>
      </c>
      <c r="B31" s="120" t="inlineStr">
        <is>
          <t>Causes</t>
        </is>
      </c>
      <c r="C31" s="121" t="inlineStr">
        <is>
          <t>Top 3 causes (education, youth, women, health, env, community, humanitarian)</t>
        </is>
      </c>
      <c r="D31" s="121" t="inlineStr">
        <is>
          <t>أهم 3 قضايا (تعليم، شباب، مرأة، صحة، بيئة، مجتمع، إنساني)</t>
        </is>
      </c>
      <c r="E31" s="122" t="inlineStr">
        <is>
          <t>capture</t>
        </is>
      </c>
    </row>
    <row r="32" ht="36" customHeight="1" s="66">
      <c r="A32" s="119" t="inlineStr">
        <is>
          <t>05</t>
        </is>
      </c>
      <c r="B32" s="120" t="inlineStr">
        <is>
          <t>Skill</t>
        </is>
      </c>
      <c r="C32" s="121" t="inlineStr">
        <is>
          <t>Your main skill you can offer?</t>
        </is>
      </c>
      <c r="D32" s="121" t="inlineStr">
        <is>
          <t>مهارتك الرئيسية التي يمكن تقديمها؟</t>
        </is>
      </c>
      <c r="E32" s="122" t="inlineStr">
        <is>
          <t>capture</t>
        </is>
      </c>
    </row>
    <row r="33" ht="36" customHeight="1" s="66">
      <c r="A33" s="119" t="inlineStr">
        <is>
          <t>06</t>
        </is>
      </c>
      <c r="B33" s="120" t="inlineStr">
        <is>
          <t>Hours</t>
        </is>
      </c>
      <c r="C33" s="121" t="inlineStr">
        <is>
          <t>Hours per month you can give?</t>
        </is>
      </c>
      <c r="D33" s="121" t="inlineStr">
        <is>
          <t>ساعات شهرياً يمكنك التبرع بها؟</t>
        </is>
      </c>
      <c r="E33" s="122" t="inlineStr">
        <is>
          <t>capture</t>
        </is>
      </c>
    </row>
    <row r="34" ht="36" customHeight="1" s="66">
      <c r="A34" s="119" t="inlineStr">
        <is>
          <t>07</t>
        </is>
      </c>
      <c r="B34" s="120" t="inlineStr">
        <is>
          <t>Start</t>
        </is>
      </c>
      <c r="C34" s="121" t="inlineStr">
        <is>
          <t>When can you start?</t>
        </is>
      </c>
      <c r="D34" s="121" t="inlineStr">
        <is>
          <t>متى يمكنك البدء؟</t>
        </is>
      </c>
      <c r="E34" s="122" t="inlineStr">
        <is>
          <t>capture</t>
        </is>
      </c>
    </row>
    <row r="35" ht="36" customHeight="1" s="66">
      <c r="A35" s="119" t="inlineStr">
        <is>
          <t>08</t>
        </is>
      </c>
      <c r="B35" s="120" t="inlineStr">
        <is>
          <t>Email</t>
        </is>
      </c>
      <c r="C35" s="121" t="inlineStr">
        <is>
          <t>Email for coordination?</t>
        </is>
      </c>
      <c r="D35" s="121" t="inlineStr">
        <is>
          <t>بريد للتنسيق؟</t>
        </is>
      </c>
      <c r="E35" s="122" t="inlineStr">
        <is>
          <t>capture</t>
        </is>
      </c>
    </row>
    <row r="36" ht="36" customHeight="1" s="66">
      <c r="A36" s="119" t="inlineStr">
        <is>
          <t>09</t>
        </is>
      </c>
      <c r="B36" s="120" t="inlineStr">
        <is>
          <t>Close</t>
        </is>
      </c>
      <c r="C36" s="121" t="inlineStr">
        <is>
          <t>Thank you ✦ A Kayan for Yemen coordinator will reach you within 48 hours.</t>
        </is>
      </c>
      <c r="D36" s="121" t="inlineStr">
        <is>
          <t>شكراً ✦ سيتواصل معك منسق كيان لليمن خلال 48 ساعة.</t>
        </is>
      </c>
      <c r="E36" s="122" t="inlineStr">
        <is>
          <t>bot</t>
        </is>
      </c>
    </row>
    <row r="37" ht="24" customHeight="1" s="66">
      <c r="A37" s="117" t="n"/>
      <c r="B37" s="118" t="inlineStr">
        <is>
          <t>— HUB / المساحة —</t>
        </is>
      </c>
    </row>
    <row r="38" ht="36" customHeight="1" s="66">
      <c r="A38" s="119" t="inlineStr">
        <is>
          <t>01</t>
        </is>
      </c>
      <c r="B38" s="120" t="inlineStr">
        <is>
          <t>Welcome</t>
        </is>
      </c>
      <c r="C38" s="121" t="inlineStr">
        <is>
          <t>Ahlan 👋 Kayan Hub — quiet, beautiful, where work gets done. Reply START to tell us what you need.</t>
        </is>
      </c>
      <c r="D38" s="121" t="inlineStr">
        <is>
          <t>أهلاً 👋 مساحة كيان — هادئة وجميلة، حيث يُنجَز العمل. أرسل ابدأ لنعرف ما تحتاج.</t>
        </is>
      </c>
      <c r="E38" s="122" t="inlineStr">
        <is>
          <t>bot</t>
        </is>
      </c>
    </row>
    <row r="39" ht="36" customHeight="1" s="66">
      <c r="A39" s="119" t="inlineStr">
        <is>
          <t>02</t>
        </is>
      </c>
      <c r="B39" s="120" t="inlineStr">
        <is>
          <t>Use</t>
        </is>
      </c>
      <c r="C39" s="121" t="inlineStr">
        <is>
          <t>What do you need? (hot desk / private office / meeting room / event)</t>
        </is>
      </c>
      <c r="D39" s="121" t="inlineStr">
        <is>
          <t>ماذا تحتاج؟ (مكتب مفتوح / مكتب خاص / قاعة اجتماعات / فعالية)</t>
        </is>
      </c>
      <c r="E39" s="122" t="inlineStr">
        <is>
          <t>capture</t>
        </is>
      </c>
    </row>
    <row r="40" ht="36" customHeight="1" s="66">
      <c r="A40" s="119" t="inlineStr">
        <is>
          <t>03</t>
        </is>
      </c>
      <c r="B40" s="120" t="inlineStr">
        <is>
          <t>People</t>
        </is>
      </c>
      <c r="C40" s="121" t="inlineStr">
        <is>
          <t>Number of people?</t>
        </is>
      </c>
      <c r="D40" s="121" t="inlineStr">
        <is>
          <t>عدد الأشخاص؟</t>
        </is>
      </c>
      <c r="E40" s="122" t="inlineStr">
        <is>
          <t>capture</t>
        </is>
      </c>
    </row>
    <row r="41" ht="36" customHeight="1" s="66">
      <c r="A41" s="119" t="inlineStr">
        <is>
          <t>04</t>
        </is>
      </c>
      <c r="B41" s="120" t="inlineStr">
        <is>
          <t>When</t>
        </is>
      </c>
      <c r="C41" s="121" t="inlineStr">
        <is>
          <t>Date and time?</t>
        </is>
      </c>
      <c r="D41" s="121" t="inlineStr">
        <is>
          <t>التاريخ والوقت؟</t>
        </is>
      </c>
      <c r="E41" s="122" t="inlineStr">
        <is>
          <t>capture</t>
        </is>
      </c>
    </row>
    <row r="42" ht="36" customHeight="1" s="66">
      <c r="A42" s="119" t="inlineStr">
        <is>
          <t>05</t>
        </is>
      </c>
      <c r="B42" s="120" t="inlineStr">
        <is>
          <t>Freq</t>
        </is>
      </c>
      <c r="C42" s="121" t="inlineStr">
        <is>
          <t>One-off or recurring?</t>
        </is>
      </c>
      <c r="D42" s="121" t="inlineStr">
        <is>
          <t>مرة واحدة أم متكرر؟</t>
        </is>
      </c>
      <c r="E42" s="122" t="inlineStr">
        <is>
          <t>capture</t>
        </is>
      </c>
    </row>
    <row r="43" ht="36" customHeight="1" s="66">
      <c r="A43" s="119" t="inlineStr">
        <is>
          <t>06</t>
        </is>
      </c>
      <c r="B43" s="120" t="inlineStr">
        <is>
          <t>Name</t>
        </is>
      </c>
      <c r="C43" s="121" t="inlineStr">
        <is>
          <t>Your name?</t>
        </is>
      </c>
      <c r="D43" s="121" t="inlineStr">
        <is>
          <t>اسمك؟</t>
        </is>
      </c>
      <c r="E43" s="122" t="inlineStr">
        <is>
          <t>capture</t>
        </is>
      </c>
    </row>
    <row r="44" ht="36" customHeight="1" s="66">
      <c r="A44" s="119" t="inlineStr">
        <is>
          <t>07</t>
        </is>
      </c>
      <c r="B44" s="120" t="inlineStr">
        <is>
          <t>Contact</t>
        </is>
      </c>
      <c r="C44" s="121" t="inlineStr">
        <is>
          <t>Email?</t>
        </is>
      </c>
      <c r="D44" s="121" t="inlineStr">
        <is>
          <t>البريد؟</t>
        </is>
      </c>
      <c r="E44" s="122" t="inlineStr">
        <is>
          <t>capture</t>
        </is>
      </c>
    </row>
    <row r="45" ht="36" customHeight="1" s="66">
      <c r="A45" s="119" t="inlineStr">
        <is>
          <t>08</t>
        </is>
      </c>
      <c r="B45" s="120" t="inlineStr">
        <is>
          <t>Close</t>
        </is>
      </c>
      <c r="C45" s="121" t="inlineStr">
        <is>
          <t>Noted ✦ We will confirm within 2 hours with a quote and a reservation link.</t>
        </is>
      </c>
      <c r="D45" s="121" t="inlineStr">
        <is>
          <t>تم التسجيل ✦ سنؤكد خلال ساعتين بعرض سعر ورابط حجز.</t>
        </is>
      </c>
      <c r="E45" s="122" t="inlineStr">
        <is>
          <t>bot</t>
        </is>
      </c>
    </row>
    <row r="46" ht="24" customHeight="1" s="66">
      <c r="A46" s="117" t="n"/>
      <c r="B46" s="118" t="inlineStr">
        <is>
          <t>— ACADEMY / كيان فورج —</t>
        </is>
      </c>
    </row>
    <row r="47" ht="36" customHeight="1" s="66">
      <c r="A47" s="119" t="inlineStr">
        <is>
          <t>01</t>
        </is>
      </c>
      <c r="B47" s="120" t="inlineStr">
        <is>
          <t>Welcome</t>
        </is>
      </c>
      <c r="C47" s="121" t="inlineStr">
        <is>
          <t>Ahlan 👋 Kayan Kayan Forge — practice-first learning, real paid projects at the end. Reply START.</t>
        </is>
      </c>
      <c r="D47" s="121" t="inlineStr">
        <is>
          <t>أهلاً 👋 أكاديمية كيان — تعلُّم تطبيقي ومشاريع حقيقية مدفوعة في النهاية. أرسل ابدأ.</t>
        </is>
      </c>
      <c r="E47" s="122" t="inlineStr">
        <is>
          <t>bot</t>
        </is>
      </c>
    </row>
    <row r="48" ht="36" customHeight="1" s="66">
      <c r="A48" s="119" t="inlineStr">
        <is>
          <t>02</t>
        </is>
      </c>
      <c r="B48" s="120" t="inlineStr">
        <is>
          <t>Name</t>
        </is>
      </c>
      <c r="C48" s="121" t="inlineStr">
        <is>
          <t>Full name?</t>
        </is>
      </c>
      <c r="D48" s="121" t="inlineStr">
        <is>
          <t>الاسم الكامل؟</t>
        </is>
      </c>
      <c r="E48" s="122" t="inlineStr">
        <is>
          <t>capture</t>
        </is>
      </c>
    </row>
    <row r="49" ht="36" customHeight="1" s="66">
      <c r="A49" s="119" t="inlineStr">
        <is>
          <t>03</t>
        </is>
      </c>
      <c r="B49" s="120" t="inlineStr">
        <is>
          <t>Track</t>
        </is>
      </c>
      <c r="C49" s="121" t="inlineStr">
        <is>
          <t>Which track interests you? (tech, creative, business, training, research)</t>
        </is>
      </c>
      <c r="D49" s="121" t="inlineStr">
        <is>
          <t>ما المسار الذي يهمك؟ (تقني، إبداعي، أعمال، تدريب، بحث)</t>
        </is>
      </c>
      <c r="E49" s="122" t="inlineStr">
        <is>
          <t>capture</t>
        </is>
      </c>
    </row>
    <row r="50" ht="36" customHeight="1" s="66">
      <c r="A50" s="119" t="inlineStr">
        <is>
          <t>04</t>
        </is>
      </c>
      <c r="B50" s="120" t="inlineStr">
        <is>
          <t>Level</t>
        </is>
      </c>
      <c r="C50" s="121" t="inlineStr">
        <is>
          <t>Your current level (beginner / intermediate / advanced)</t>
        </is>
      </c>
      <c r="D50" s="121" t="inlineStr">
        <is>
          <t>مستواك الحالي (مبتدئ / متوسط / متقدم)</t>
        </is>
      </c>
      <c r="E50" s="122" t="inlineStr">
        <is>
          <t>capture</t>
        </is>
      </c>
    </row>
    <row r="51" ht="36" customHeight="1" s="66">
      <c r="A51" s="119" t="inlineStr">
        <is>
          <t>05</t>
        </is>
      </c>
      <c r="B51" s="120" t="inlineStr">
        <is>
          <t>Format</t>
        </is>
      </c>
      <c r="C51" s="121" t="inlineStr">
        <is>
          <t>In-person, online, or hybrid?</t>
        </is>
      </c>
      <c r="D51" s="121" t="inlineStr">
        <is>
          <t>حضوري، عن بعد، أم مختلط؟</t>
        </is>
      </c>
      <c r="E51" s="122" t="inlineStr">
        <is>
          <t>capture</t>
        </is>
      </c>
    </row>
    <row r="52" ht="36" customHeight="1" s="66">
      <c r="A52" s="119" t="inlineStr">
        <is>
          <t>06</t>
        </is>
      </c>
      <c r="B52" s="120" t="inlineStr">
        <is>
          <t>Pay</t>
        </is>
      </c>
      <c r="C52" s="121" t="inlineStr">
        <is>
          <t>Can you pay the fee, or need scholarship?</t>
        </is>
      </c>
      <c r="D52" s="121" t="inlineStr">
        <is>
          <t>هل يمكنك دفع الرسوم أم تحتاج منحة؟</t>
        </is>
      </c>
      <c r="E52" s="122" t="inlineStr">
        <is>
          <t>capture</t>
        </is>
      </c>
    </row>
    <row r="53" ht="36" customHeight="1" s="66">
      <c r="A53" s="119" t="inlineStr">
        <is>
          <t>07</t>
        </is>
      </c>
      <c r="B53" s="120" t="inlineStr">
        <is>
          <t>Email</t>
        </is>
      </c>
      <c r="C53" s="121" t="inlineStr">
        <is>
          <t>Email?</t>
        </is>
      </c>
      <c r="D53" s="121" t="inlineStr">
        <is>
          <t>البريد؟</t>
        </is>
      </c>
      <c r="E53" s="122" t="inlineStr">
        <is>
          <t>capture</t>
        </is>
      </c>
    </row>
    <row r="54" ht="36" customHeight="1" s="66">
      <c r="A54" s="119" t="inlineStr">
        <is>
          <t>08</t>
        </is>
      </c>
      <c r="B54" s="120" t="inlineStr">
        <is>
          <t>Close</t>
        </is>
      </c>
      <c r="C54" s="121" t="inlineStr">
        <is>
          <t>Thanks ✦ You are on the cohort waitlist. We will invite you to the next cohort briefing.</t>
        </is>
      </c>
      <c r="D54" s="121" t="inlineStr">
        <is>
          <t>شكراً ✦ تم إدراجك في قائمة الدفعة. سندعوك للجلسة التعريفية التالية.</t>
        </is>
      </c>
      <c r="E54" s="122" t="inlineStr">
        <is>
          <t>bot</t>
        </is>
      </c>
    </row>
    <row r="55" ht="24" customHeight="1" s="66">
      <c r="A55" s="117" t="n"/>
      <c r="B55" s="118" t="inlineStr">
        <is>
          <t>— BUSINESS / الشركة —</t>
        </is>
      </c>
    </row>
    <row r="56" ht="36" customHeight="1" s="66">
      <c r="A56" s="119" t="inlineStr">
        <is>
          <t>01</t>
        </is>
      </c>
      <c r="B56" s="120" t="inlineStr">
        <is>
          <t>Welcome</t>
        </is>
      </c>
      <c r="C56" s="121" t="inlineStr">
        <is>
          <t>Ahlan 👋 Kayan for Business — one operating system for your team, space, learning, and delivery. Reply START.</t>
        </is>
      </c>
      <c r="D56" s="121" t="inlineStr">
        <is>
          <t>أهلاً 👋 كيان للأعمال — نظام تشغيل واحد لفريقك ومساحتك وتدريبك وتنفيذك. أرسل ابدأ.</t>
        </is>
      </c>
      <c r="E56" s="122" t="inlineStr">
        <is>
          <t>bot</t>
        </is>
      </c>
    </row>
    <row r="57" ht="36" customHeight="1" s="66">
      <c r="A57" s="119" t="inlineStr">
        <is>
          <t>02</t>
        </is>
      </c>
      <c r="B57" s="120" t="inlineStr">
        <is>
          <t>Name</t>
        </is>
      </c>
      <c r="C57" s="121" t="inlineStr">
        <is>
          <t>Decision-maker full name?</t>
        </is>
      </c>
      <c r="D57" s="121" t="inlineStr">
        <is>
          <t>اسم صاحب القرار الكامل؟</t>
        </is>
      </c>
      <c r="E57" s="122" t="inlineStr">
        <is>
          <t>capture</t>
        </is>
      </c>
    </row>
    <row r="58" ht="36" customHeight="1" s="66">
      <c r="A58" s="119" t="inlineStr">
        <is>
          <t>03</t>
        </is>
      </c>
      <c r="B58" s="120" t="inlineStr">
        <is>
          <t>Company</t>
        </is>
      </c>
      <c r="C58" s="121" t="inlineStr">
        <is>
          <t>Company name?</t>
        </is>
      </c>
      <c r="D58" s="121" t="inlineStr">
        <is>
          <t>اسم الشركة؟</t>
        </is>
      </c>
      <c r="E58" s="122" t="inlineStr">
        <is>
          <t>capture</t>
        </is>
      </c>
    </row>
    <row r="59" ht="36" customHeight="1" s="66">
      <c r="A59" s="119" t="inlineStr">
        <is>
          <t>04</t>
        </is>
      </c>
      <c r="B59" s="120" t="inlineStr">
        <is>
          <t>Size</t>
        </is>
      </c>
      <c r="C59" s="121" t="inlineStr">
        <is>
          <t>Company size (sole, 2-10, 11-50, 51-250, 251+)</t>
        </is>
      </c>
      <c r="D59" s="121" t="inlineStr">
        <is>
          <t>حجم الشركة (فرد، 2-10، 11-50، 51-250، 251+)</t>
        </is>
      </c>
      <c r="E59" s="122" t="inlineStr">
        <is>
          <t>capture</t>
        </is>
      </c>
    </row>
    <row r="60" ht="36" customHeight="1" s="66">
      <c r="A60" s="119" t="inlineStr">
        <is>
          <t>05</t>
        </is>
      </c>
      <c r="B60" s="120" t="inlineStr">
        <is>
          <t>Need</t>
        </is>
      </c>
      <c r="C60" s="121" t="inlineStr">
        <is>
          <t>Which of these matter most: Delivery / Talent / Hub / Kayan Forge / Vendor / Partnership?</t>
        </is>
      </c>
      <c r="D60" s="121" t="inlineStr">
        <is>
          <t>أي الخدمات الأهم: تنفيذ / كوادر / مساحة / أكاديمية / توريد / شراكة؟</t>
        </is>
      </c>
      <c r="E60" s="122" t="inlineStr">
        <is>
          <t>capture</t>
        </is>
      </c>
    </row>
    <row r="61" ht="36" customHeight="1" s="66">
      <c r="A61" s="119" t="inlineStr">
        <is>
          <t>06</t>
        </is>
      </c>
      <c r="B61" s="120" t="inlineStr">
        <is>
          <t>Budget</t>
        </is>
      </c>
      <c r="C61" s="121" t="inlineStr">
        <is>
          <t>Annual spend estimate (USD)?</t>
        </is>
      </c>
      <c r="D61" s="121" t="inlineStr">
        <is>
          <t>الإنفاق السنوي التقديري ($)؟</t>
        </is>
      </c>
      <c r="E61" s="122" t="inlineStr">
        <is>
          <t>capture</t>
        </is>
      </c>
    </row>
    <row r="62" ht="36" customHeight="1" s="66">
      <c r="A62" s="119" t="inlineStr">
        <is>
          <t>07</t>
        </is>
      </c>
      <c r="B62" s="120" t="inlineStr">
        <is>
          <t>Email</t>
        </is>
      </c>
      <c r="C62" s="121" t="inlineStr">
        <is>
          <t>Work email?</t>
        </is>
      </c>
      <c r="D62" s="121" t="inlineStr">
        <is>
          <t>البريد الرسمي؟</t>
        </is>
      </c>
      <c r="E62" s="122" t="inlineStr">
        <is>
          <t>capture</t>
        </is>
      </c>
    </row>
    <row r="63" ht="36" customHeight="1" s="66">
      <c r="A63" s="119" t="inlineStr">
        <is>
          <t>08</t>
        </is>
      </c>
      <c r="B63" s="120" t="inlineStr">
        <is>
          <t>Close</t>
        </is>
      </c>
      <c r="C63" s="121" t="inlineStr">
        <is>
          <t>Shukran ✦ A Kayan relationship lead will reach you within 48 hours with a tailored package.</t>
        </is>
      </c>
      <c r="D63" s="121" t="inlineStr">
        <is>
          <t>شكراً ✦ سيتواصل معك مدير العلاقات خلال 48 ساعة بعرض مخصص.</t>
        </is>
      </c>
      <c r="E63" s="122" t="inlineStr">
        <is>
          <t>bot</t>
        </is>
      </c>
    </row>
  </sheetData>
  <mergeCells count="8">
    <mergeCell ref="B27:E27"/>
    <mergeCell ref="B6:E6"/>
    <mergeCell ref="B16:E16"/>
    <mergeCell ref="B55:E55"/>
    <mergeCell ref="A1:E2"/>
    <mergeCell ref="B37:E37"/>
    <mergeCell ref="B46:E46"/>
    <mergeCell ref="A3:E3"/>
  </mergeCell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1:E17"/>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22" customWidth="1" style="65" min="2" max="2"/>
    <col width="18" customWidth="1" style="65" min="3" max="3"/>
    <col width="60" customWidth="1" style="65" min="4" max="5"/>
  </cols>
  <sheetData>
    <row r="1" ht="15" customHeight="1" s="66">
      <c r="A1" s="83" t="inlineStr">
        <is>
          <t>AUTO-REPLY TEMPLATES / قوالب الرد التلقائي</t>
        </is>
      </c>
    </row>
    <row r="2" ht="15" customHeight="1" s="66"/>
    <row r="3" ht="15" customHeight="1" s="66">
      <c r="A3" s="68" t="inlineStr">
        <is>
          <t>Used by email + WhatsApp + SMS bots. Placeholders in {curly braces} come from the captured form data.</t>
        </is>
      </c>
    </row>
    <row r="4"/>
    <row r="5" ht="31.5" customHeight="1" s="66">
      <c r="A5" s="70" t="inlineStr">
        <is>
          <t>#</t>
        </is>
      </c>
      <c r="B5" s="70" t="inlineStr">
        <is>
          <t>Template code</t>
        </is>
      </c>
      <c r="C5" s="70" t="inlineStr">
        <is>
          <t>Channel</t>
        </is>
      </c>
      <c r="D5" s="70" t="inlineStr">
        <is>
          <t>English body</t>
        </is>
      </c>
      <c r="E5" s="70" t="inlineStr">
        <is>
          <t>Arabic / العربية</t>
        </is>
      </c>
    </row>
    <row r="6" ht="51.75" customHeight="1" s="66">
      <c r="A6" s="121" t="n">
        <v>1</v>
      </c>
      <c r="B6" s="120" t="inlineStr">
        <is>
          <t>T-ACK-CLIENT</t>
        </is>
      </c>
      <c r="C6" s="123" t="inlineStr">
        <is>
          <t>Email + WA</t>
        </is>
      </c>
      <c r="D6" s="121" t="inlineStr">
        <is>
          <t>Hi {name}, thank you for your interest in Kayan. We received your brief for {company}. A handler will contact you within 24h to schedule a scoping call. — Kayan</t>
        </is>
      </c>
      <c r="E6" s="121" t="inlineStr">
        <is>
          <t>مرحباً {name}، شكراً لاهتمامك بكيان. استلمنا بياناتك عن {company}. سيتواصل معك أحد الفريق خلال 24 ساعة لتحديد موعد جلسة العمل. — كيان</t>
        </is>
      </c>
    </row>
    <row r="7" ht="51.75" customHeight="1" s="66">
      <c r="A7" s="121" t="n">
        <v>2</v>
      </c>
      <c r="B7" s="120" t="inlineStr">
        <is>
          <t>T-ACK-TALENT</t>
        </is>
      </c>
      <c r="C7" s="123" t="inlineStr">
        <is>
          <t>Email + WA</t>
        </is>
      </c>
      <c r="D7" s="121" t="inlineStr">
        <is>
          <t>Hi {name}, thanks for joining the Kayan talent waitlist. Expect a verification call within 48h. Pass the skill test and we issue your Kayan Card (T2). — Kayan Talent Desk</t>
        </is>
      </c>
      <c r="E7" s="121" t="inlineStr">
        <is>
          <t>مرحباً {name}، شكراً لانضمامك إلى قائمة انتظار مواهب كيان. سيصلك اتصال تحقق خلال 48 ساعة. بعد اختبار المهارة نُصدر بطاقة كيان (T2). — مكتب المواهب</t>
        </is>
      </c>
    </row>
    <row r="8" ht="51.75" customHeight="1" s="66">
      <c r="A8" s="121" t="n">
        <v>3</v>
      </c>
      <c r="B8" s="120" t="inlineStr">
        <is>
          <t>T-ACK-VOL</t>
        </is>
      </c>
      <c r="C8" s="123" t="inlineStr">
        <is>
          <t>Email + WA</t>
        </is>
      </c>
      <c r="D8" s="121" t="inlineStr">
        <is>
          <t>Salam {name}, welcome to Kayan for Yemen. We match volunteers to missions where their skill counts. A coordinator reaches you within 48h. — Kayan for Yemen by Kayan</t>
        </is>
      </c>
      <c r="E8" s="121" t="inlineStr">
        <is>
          <t>السلام عليكم {name}، أهلاً بك في كيان لليمن. نطابقك مع مهمة تفيد فيها مهارتك. سيتواصل معك المنسق خلال 48 ساعة. — كيان لليمن من كيان</t>
        </is>
      </c>
    </row>
    <row r="9" ht="51.75" customHeight="1" s="66">
      <c r="A9" s="121" t="n">
        <v>4</v>
      </c>
      <c r="B9" s="120" t="inlineStr">
        <is>
          <t>T-ACK-HUB</t>
        </is>
      </c>
      <c r="C9" s="123" t="inlineStr">
        <is>
          <t>Email + WA</t>
        </is>
      </c>
      <c r="D9" s="121" t="inlineStr">
        <is>
          <t>Hi {name}, your hub enquiry is noted. We hold your preferred setup and reply within 2h with a quote and reservation link. — Kayan Hub</t>
        </is>
      </c>
      <c r="E9" s="121" t="inlineStr">
        <is>
          <t>مرحباً {name}، تم تسجيل استفسارك عن المساحة. نحجز إعدادك المفضل ونرد خلال ساعتين بعرض سعر ورابط الحجز. — مساحة كيان</t>
        </is>
      </c>
    </row>
    <row r="10" ht="51.75" customHeight="1" s="66">
      <c r="A10" s="121" t="n">
        <v>5</v>
      </c>
      <c r="B10" s="120" t="inlineStr">
        <is>
          <t>T-ACK-ACADEMY</t>
        </is>
      </c>
      <c r="C10" s="123" t="inlineStr">
        <is>
          <t>Email + WA</t>
        </is>
      </c>
      <c r="D10" s="121" t="inlineStr">
        <is>
          <t>Hi {name}, you are on the Kayan Kayan Forge cohort waitlist for {track}. We will invite you to the next cohort briefing.</t>
        </is>
      </c>
      <c r="E10" s="121" t="inlineStr">
        <is>
          <t>مرحباً {name}، تم إدراجك في قائمة دفعة أكاديمية كيان لمسار {track}. سندعوك للجلسة التعريفية القادمة.</t>
        </is>
      </c>
    </row>
    <row r="11" ht="51.75" customHeight="1" s="66">
      <c r="A11" s="121" t="n">
        <v>6</v>
      </c>
      <c r="B11" s="120" t="inlineStr">
        <is>
          <t>T-ACK-BUSINESS</t>
        </is>
      </c>
      <c r="C11" s="123" t="inlineStr">
        <is>
          <t>Email + WA</t>
        </is>
      </c>
      <c r="D11" s="121" t="inlineStr">
        <is>
          <t>Hello {name}, thank you. A Kayan relationship lead will reach you within 48h with a tailored package for {company}.</t>
        </is>
      </c>
      <c r="E11" s="121" t="inlineStr">
        <is>
          <t>مرحباً {name}، شكراً لك. سيتواصل معك مدير العلاقات في كيان خلال 48 ساعة بعرض مخصص لـ{company}.</t>
        </is>
      </c>
    </row>
    <row r="12" ht="51.75" customHeight="1" s="66">
      <c r="A12" s="121" t="n">
        <v>7</v>
      </c>
      <c r="B12" s="120" t="inlineStr">
        <is>
          <t>T-FOLLOWUP-D3</t>
        </is>
      </c>
      <c r="C12" s="123" t="inlineStr">
        <is>
          <t>Email</t>
        </is>
      </c>
      <c r="D12" s="121" t="inlineStr">
        <is>
          <t>Gentle follow-up to your EOI — reminder we are still here and would love to connect. Reply with a time window that works for you.</t>
        </is>
      </c>
      <c r="E12" s="121" t="inlineStr">
        <is>
          <t>متابعة لنموذج اهتمامك — لا زلنا في الخدمة ونود التواصل. أرسل لنا وقتاً مناسباً.</t>
        </is>
      </c>
    </row>
    <row r="13" ht="51.75" customHeight="1" s="66">
      <c r="A13" s="121" t="n">
        <v>8</v>
      </c>
      <c r="B13" s="120" t="inlineStr">
        <is>
          <t>T-FOLLOWUP-D7</t>
        </is>
      </c>
      <c r="C13" s="123" t="inlineStr">
        <is>
          <t>Email</t>
        </is>
      </c>
      <c r="D13" s="121" t="inlineStr">
        <is>
          <t>Just checking in — does the timing still make sense? We will park your file for 90 days unless we hear back.</t>
        </is>
      </c>
      <c r="E13" s="121" t="inlineStr">
        <is>
          <t>متابعة — هل ما زال التوقيت مناسباً؟ سنحتفظ بملفك لمدة 90 يوماً ما لم نسمع منك.</t>
        </is>
      </c>
    </row>
    <row r="14" ht="51.75" customHeight="1" s="66">
      <c r="A14" s="121" t="n">
        <v>9</v>
      </c>
      <c r="B14" s="120" t="inlineStr">
        <is>
          <t>T-SCHEDULE</t>
        </is>
      </c>
      <c r="C14" s="123" t="inlineStr">
        <is>
          <t>Email</t>
        </is>
      </c>
      <c r="D14" s="121" t="inlineStr">
        <is>
          <t>Scoping call scheduled for {date} at {time} ({timezone}). Location: {location}. Agenda attached. — Kayan</t>
        </is>
      </c>
      <c r="E14" s="121" t="inlineStr">
        <is>
          <t>تم تحديد جلسة العمل في {date} الساعة {time} ({timezone}). المكان: {location}. جدول الأعمال مرفق. — كيان</t>
        </is>
      </c>
    </row>
    <row r="15" ht="51.75" customHeight="1" s="66">
      <c r="A15" s="121" t="n">
        <v>10</v>
      </c>
      <c r="B15" s="120" t="inlineStr">
        <is>
          <t>T-SOW-READY</t>
        </is>
      </c>
      <c r="C15" s="123" t="inlineStr">
        <is>
          <t>Email</t>
        </is>
      </c>
      <c r="D15" s="121" t="inlineStr">
        <is>
          <t>Your SOW ({sow_id}) is ready for review. Please open the link, review, and sign if you are happy. Escrow funding instructions follow signature.</t>
        </is>
      </c>
      <c r="E15" s="121" t="inlineStr">
        <is>
          <t>نطاق العمل {sow_id} جاهز للمراجعة. افتح الرابط وراجعه ووقّعه إن وافقت. تعليمات تمويل الضمان تتبع التوقيع.</t>
        </is>
      </c>
    </row>
    <row r="16" ht="51.75" customHeight="1" s="66">
      <c r="A16" s="121" t="n">
        <v>11</v>
      </c>
      <c r="B16" s="120" t="inlineStr">
        <is>
          <t>T-DECLINE-POLITE</t>
        </is>
      </c>
      <c r="C16" s="123" t="inlineStr">
        <is>
          <t>Email + WA</t>
        </is>
      </c>
      <c r="D16" s="121" t="inlineStr">
        <is>
          <t>Thank you — we are not able to take this on right now, but we will keep your brief on file for 18 months. We are grateful you considered us.</t>
        </is>
      </c>
      <c r="E16" s="121" t="inlineStr">
        <is>
          <t>شكراً لك — لا يمكننا تولي هذا الأمر حالياً، لكننا سنحتفظ ببياناتك لمدة 18 شهراً. نُقدّر ثقتك.</t>
        </is>
      </c>
    </row>
    <row r="17" ht="51.75" customHeight="1" s="66">
      <c r="A17" s="121" t="n">
        <v>12</v>
      </c>
      <c r="B17" s="120" t="inlineStr">
        <is>
          <t>T-OOH</t>
        </is>
      </c>
      <c r="C17" s="123" t="inlineStr">
        <is>
          <t>WA</t>
        </is>
      </c>
      <c r="D17" s="121" t="inlineStr">
        <is>
          <t>Outside office hours — we reply Sun-Thu 8:30-17:00 (AST). Leave your message and we will respond first thing.</t>
        </is>
      </c>
      <c r="E17" s="121" t="inlineStr">
        <is>
          <t>خارج ساعات العمل — نرد من الأحد إلى الخميس 8:30-17:00 (بتوقيت عدن). اترك رسالتك ونرد في أول فرصة.</t>
        </is>
      </c>
    </row>
  </sheetData>
  <mergeCells count="2">
    <mergeCell ref="A1:E2"/>
    <mergeCell ref="A3:E3"/>
  </mergeCell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A1:J205"/>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20" customWidth="1" style="65" min="2" max="2"/>
    <col width="14" customWidth="1" style="65" min="3" max="4"/>
    <col width="20" customWidth="1" style="65" min="5" max="5"/>
    <col width="16" customWidth="1" style="65" min="6" max="7"/>
    <col width="28" customWidth="1" style="65" min="8" max="8"/>
    <col width="18" customWidth="1" style="65" min="9" max="9"/>
    <col width="16" customWidth="1" style="65" min="10" max="10"/>
  </cols>
  <sheetData>
    <row r="1" ht="15" customHeight="1" s="66">
      <c r="A1" s="83" t="inlineStr">
        <is>
          <t>AUDIT LOG — EOI SUBMISSIONS / سجل التدقيق</t>
        </is>
      </c>
    </row>
    <row r="2" ht="15" customHeight="1" s="66"/>
    <row r="3" ht="15" customHeight="1" s="66">
      <c r="A3" s="68" t="inlineStr">
        <is>
          <t>Append-only log. One row per submission. Production system replaces this with the immutable Postgres audit table + SHA-256 chain hash — this sheet is the manual mirror for the pre-launch period.</t>
        </is>
      </c>
    </row>
    <row r="4"/>
    <row r="5" ht="31.5" customHeight="1" s="66">
      <c r="A5" s="70" t="inlineStr">
        <is>
          <t>#</t>
        </is>
      </c>
      <c r="B5" s="70" t="inlineStr">
        <is>
          <t>Submission ID</t>
        </is>
      </c>
      <c r="C5" s="70" t="inlineStr">
        <is>
          <t>Form</t>
        </is>
      </c>
      <c r="D5" s="70" t="inlineStr">
        <is>
          <t>Channel</t>
        </is>
      </c>
      <c r="E5" s="70" t="inlineStr">
        <is>
          <t>Received (UTC)</t>
        </is>
      </c>
      <c r="F5" s="70" t="inlineStr">
        <is>
          <t>Name</t>
        </is>
      </c>
      <c r="G5" s="70" t="inlineStr">
        <is>
          <t>Country</t>
        </is>
      </c>
      <c r="H5" s="70" t="inlineStr">
        <is>
          <t>Email / Phone</t>
        </is>
      </c>
      <c r="I5" s="70" t="inlineStr">
        <is>
          <t>Status</t>
        </is>
      </c>
      <c r="J5" s="70" t="inlineStr">
        <is>
          <t>Handler</t>
        </is>
      </c>
    </row>
    <row r="6" ht="23.85" customHeight="1" s="66">
      <c r="A6" s="124" t="n">
        <v>1</v>
      </c>
      <c r="B6" s="125" t="inlineStr">
        <is>
          <t>KYN-CL-20260419-0001</t>
        </is>
      </c>
      <c r="C6" s="125" t="inlineStr">
        <is>
          <t>02_EOI_CLIENT</t>
        </is>
      </c>
      <c r="D6" s="125" t="inlineStr">
        <is>
          <t>Web</t>
        </is>
      </c>
      <c r="E6" s="125" t="inlineStr">
        <is>
          <t>2026-04-19 10:14</t>
        </is>
      </c>
      <c r="F6" s="125" t="inlineStr">
        <is>
          <t>{auto}</t>
        </is>
      </c>
      <c r="G6" s="125" t="inlineStr">
        <is>
          <t>Yemen</t>
        </is>
      </c>
      <c r="H6" s="125" t="inlineStr">
        <is>
          <t>client@example.com</t>
        </is>
      </c>
      <c r="I6" s="125" t="inlineStr">
        <is>
          <t>Received</t>
        </is>
      </c>
      <c r="J6" s="125" t="inlineStr">
        <is>
          <t>—</t>
        </is>
      </c>
    </row>
    <row r="7" ht="23.85" customHeight="1" s="66">
      <c r="A7" s="124" t="n">
        <v>2</v>
      </c>
      <c r="B7" s="125" t="inlineStr">
        <is>
          <t>KYN-TL-20260419-0002</t>
        </is>
      </c>
      <c r="C7" s="125" t="inlineStr">
        <is>
          <t>03_EOI_FREELANCER</t>
        </is>
      </c>
      <c r="D7" s="125" t="inlineStr">
        <is>
          <t>WhatsApp</t>
        </is>
      </c>
      <c r="E7" s="125" t="inlineStr">
        <is>
          <t>2026-04-19 10:22</t>
        </is>
      </c>
      <c r="F7" s="125" t="inlineStr">
        <is>
          <t>{auto}</t>
        </is>
      </c>
      <c r="G7" s="125" t="inlineStr">
        <is>
          <t>Egypt</t>
        </is>
      </c>
      <c r="H7" s="125" t="inlineStr">
        <is>
          <t>+20 xx xxxx xxxx</t>
        </is>
      </c>
      <c r="I7" s="125" t="inlineStr">
        <is>
          <t>Received</t>
        </is>
      </c>
      <c r="J7" s="125" t="inlineStr">
        <is>
          <t>—</t>
        </is>
      </c>
    </row>
    <row r="8" ht="23.85" customHeight="1" s="66">
      <c r="A8" s="124" t="n">
        <v>3</v>
      </c>
      <c r="B8" s="125" t="inlineStr">
        <is>
          <t>KYN-VL-20260419-0003</t>
        </is>
      </c>
      <c r="C8" s="125" t="inlineStr">
        <is>
          <t>05_EOI_VOLUNTEER</t>
        </is>
      </c>
      <c r="D8" s="125" t="inlineStr">
        <is>
          <t>Referral</t>
        </is>
      </c>
      <c r="E8" s="125" t="inlineStr">
        <is>
          <t>2026-04-19 10:41</t>
        </is>
      </c>
      <c r="F8" s="125" t="inlineStr">
        <is>
          <t>{auto}</t>
        </is>
      </c>
      <c r="G8" s="125" t="inlineStr">
        <is>
          <t>Yemen</t>
        </is>
      </c>
      <c r="H8" s="125" t="inlineStr">
        <is>
          <t>vol@example.com</t>
        </is>
      </c>
      <c r="I8" s="125" t="inlineStr">
        <is>
          <t>Contacted</t>
        </is>
      </c>
      <c r="J8" s="125" t="inlineStr">
        <is>
          <t>Amal</t>
        </is>
      </c>
    </row>
    <row r="9" ht="15" customHeight="1" s="66">
      <c r="A9" s="124" t="n"/>
      <c r="B9" s="125" t="n"/>
      <c r="C9" s="125" t="n"/>
      <c r="D9" s="125" t="n"/>
      <c r="E9" s="125" t="n"/>
      <c r="F9" s="125" t="n"/>
      <c r="G9" s="125" t="n"/>
      <c r="H9" s="125" t="n"/>
      <c r="I9" s="125" t="n"/>
      <c r="J9" s="125" t="n"/>
    </row>
    <row r="10" ht="15" customHeight="1" s="66">
      <c r="A10" s="124" t="n"/>
      <c r="B10" s="125" t="n"/>
      <c r="C10" s="125" t="n"/>
      <c r="D10" s="125" t="n"/>
      <c r="E10" s="125" t="n"/>
      <c r="F10" s="125" t="n"/>
      <c r="G10" s="125" t="n"/>
      <c r="H10" s="125" t="n"/>
      <c r="I10" s="125" t="n"/>
      <c r="J10" s="125" t="n"/>
    </row>
    <row r="11" ht="15" customHeight="1" s="66">
      <c r="A11" s="124" t="n"/>
      <c r="B11" s="125" t="n"/>
      <c r="C11" s="125" t="n"/>
      <c r="D11" s="125" t="n"/>
      <c r="E11" s="125" t="n"/>
      <c r="F11" s="125" t="n"/>
      <c r="G11" s="125" t="n"/>
      <c r="H11" s="125" t="n"/>
      <c r="I11" s="125" t="n"/>
      <c r="J11" s="125" t="n"/>
    </row>
    <row r="12" ht="15" customHeight="1" s="66">
      <c r="A12" s="124" t="n"/>
      <c r="B12" s="125" t="n"/>
      <c r="C12" s="125" t="n"/>
      <c r="D12" s="125" t="n"/>
      <c r="E12" s="125" t="n"/>
      <c r="F12" s="125" t="n"/>
      <c r="G12" s="125" t="n"/>
      <c r="H12" s="125" t="n"/>
      <c r="I12" s="125" t="n"/>
      <c r="J12" s="125" t="n"/>
    </row>
    <row r="13" ht="15" customHeight="1" s="66">
      <c r="A13" s="124" t="n"/>
      <c r="B13" s="125" t="n"/>
      <c r="C13" s="125" t="n"/>
      <c r="D13" s="125" t="n"/>
      <c r="E13" s="125" t="n"/>
      <c r="F13" s="125" t="n"/>
      <c r="G13" s="125" t="n"/>
      <c r="H13" s="125" t="n"/>
      <c r="I13" s="125" t="n"/>
      <c r="J13" s="125" t="n"/>
    </row>
    <row r="14" ht="15" customHeight="1" s="66">
      <c r="A14" s="124" t="n"/>
      <c r="B14" s="125" t="n"/>
      <c r="C14" s="125" t="n"/>
      <c r="D14" s="125" t="n"/>
      <c r="E14" s="125" t="n"/>
      <c r="F14" s="125" t="n"/>
      <c r="G14" s="125" t="n"/>
      <c r="H14" s="125" t="n"/>
      <c r="I14" s="125" t="n"/>
      <c r="J14" s="125" t="n"/>
    </row>
    <row r="15" ht="15" customHeight="1" s="66">
      <c r="A15" s="124" t="n"/>
      <c r="B15" s="125" t="n"/>
      <c r="C15" s="125" t="n"/>
      <c r="D15" s="125" t="n"/>
      <c r="E15" s="125" t="n"/>
      <c r="F15" s="125" t="n"/>
      <c r="G15" s="125" t="n"/>
      <c r="H15" s="125" t="n"/>
      <c r="I15" s="125" t="n"/>
      <c r="J15" s="125" t="n"/>
    </row>
    <row r="16" ht="15" customHeight="1" s="66">
      <c r="A16" s="124" t="n"/>
      <c r="B16" s="125" t="n"/>
      <c r="C16" s="125" t="n"/>
      <c r="D16" s="125" t="n"/>
      <c r="E16" s="125" t="n"/>
      <c r="F16" s="125" t="n"/>
      <c r="G16" s="125" t="n"/>
      <c r="H16" s="125" t="n"/>
      <c r="I16" s="125" t="n"/>
      <c r="J16" s="125" t="n"/>
    </row>
    <row r="17" ht="15" customHeight="1" s="66">
      <c r="A17" s="124" t="n"/>
      <c r="B17" s="125" t="n"/>
      <c r="C17" s="125" t="n"/>
      <c r="D17" s="125" t="n"/>
      <c r="E17" s="125" t="n"/>
      <c r="F17" s="125" t="n"/>
      <c r="G17" s="125" t="n"/>
      <c r="H17" s="125" t="n"/>
      <c r="I17" s="125" t="n"/>
      <c r="J17" s="125" t="n"/>
    </row>
    <row r="18" ht="15" customHeight="1" s="66">
      <c r="A18" s="124" t="n"/>
      <c r="B18" s="125" t="n"/>
      <c r="C18" s="125" t="n"/>
      <c r="D18" s="125" t="n"/>
      <c r="E18" s="125" t="n"/>
      <c r="F18" s="125" t="n"/>
      <c r="G18" s="125" t="n"/>
      <c r="H18" s="125" t="n"/>
      <c r="I18" s="125" t="n"/>
      <c r="J18" s="125" t="n"/>
    </row>
    <row r="19" ht="15" customHeight="1" s="66">
      <c r="A19" s="124" t="n"/>
      <c r="B19" s="125" t="n"/>
      <c r="C19" s="125" t="n"/>
      <c r="D19" s="125" t="n"/>
      <c r="E19" s="125" t="n"/>
      <c r="F19" s="125" t="n"/>
      <c r="G19" s="125" t="n"/>
      <c r="H19" s="125" t="n"/>
      <c r="I19" s="125" t="n"/>
      <c r="J19" s="125" t="n"/>
    </row>
    <row r="20" ht="15" customHeight="1" s="66">
      <c r="A20" s="124" t="n"/>
      <c r="B20" s="125" t="n"/>
      <c r="C20" s="125" t="n"/>
      <c r="D20" s="125" t="n"/>
      <c r="E20" s="125" t="n"/>
      <c r="F20" s="125" t="n"/>
      <c r="G20" s="125" t="n"/>
      <c r="H20" s="125" t="n"/>
      <c r="I20" s="125" t="n"/>
      <c r="J20" s="125" t="n"/>
    </row>
    <row r="21" ht="15" customHeight="1" s="66">
      <c r="A21" s="124" t="n"/>
      <c r="B21" s="125" t="n"/>
      <c r="C21" s="125" t="n"/>
      <c r="D21" s="125" t="n"/>
      <c r="E21" s="125" t="n"/>
      <c r="F21" s="125" t="n"/>
      <c r="G21" s="125" t="n"/>
      <c r="H21" s="125" t="n"/>
      <c r="I21" s="125" t="n"/>
      <c r="J21" s="125" t="n"/>
    </row>
    <row r="22" ht="15" customHeight="1" s="66">
      <c r="A22" s="124" t="n"/>
      <c r="B22" s="125" t="n"/>
      <c r="C22" s="125" t="n"/>
      <c r="D22" s="125" t="n"/>
      <c r="E22" s="125" t="n"/>
      <c r="F22" s="125" t="n"/>
      <c r="G22" s="125" t="n"/>
      <c r="H22" s="125" t="n"/>
      <c r="I22" s="125" t="n"/>
      <c r="J22" s="125" t="n"/>
    </row>
    <row r="23" ht="15" customHeight="1" s="66">
      <c r="A23" s="124" t="n"/>
      <c r="B23" s="125" t="n"/>
      <c r="C23" s="125" t="n"/>
      <c r="D23" s="125" t="n"/>
      <c r="E23" s="125" t="n"/>
      <c r="F23" s="125" t="n"/>
      <c r="G23" s="125" t="n"/>
      <c r="H23" s="125" t="n"/>
      <c r="I23" s="125" t="n"/>
      <c r="J23" s="125" t="n"/>
    </row>
    <row r="24" ht="15" customHeight="1" s="66">
      <c r="A24" s="124" t="n"/>
      <c r="B24" s="125" t="n"/>
      <c r="C24" s="125" t="n"/>
      <c r="D24" s="125" t="n"/>
      <c r="E24" s="125" t="n"/>
      <c r="F24" s="125" t="n"/>
      <c r="G24" s="125" t="n"/>
      <c r="H24" s="125" t="n"/>
      <c r="I24" s="125" t="n"/>
      <c r="J24" s="125" t="n"/>
    </row>
    <row r="25" ht="15" customHeight="1" s="66">
      <c r="A25" s="124" t="n"/>
      <c r="B25" s="125" t="n"/>
      <c r="C25" s="125" t="n"/>
      <c r="D25" s="125" t="n"/>
      <c r="E25" s="125" t="n"/>
      <c r="F25" s="125" t="n"/>
      <c r="G25" s="125" t="n"/>
      <c r="H25" s="125" t="n"/>
      <c r="I25" s="125" t="n"/>
      <c r="J25" s="125" t="n"/>
    </row>
    <row r="26" ht="15" customHeight="1" s="66">
      <c r="A26" s="124" t="n"/>
      <c r="B26" s="125" t="n"/>
      <c r="C26" s="125" t="n"/>
      <c r="D26" s="125" t="n"/>
      <c r="E26" s="125" t="n"/>
      <c r="F26" s="125" t="n"/>
      <c r="G26" s="125" t="n"/>
      <c r="H26" s="125" t="n"/>
      <c r="I26" s="125" t="n"/>
      <c r="J26" s="125" t="n"/>
    </row>
    <row r="27" ht="15" customHeight="1" s="66">
      <c r="A27" s="124" t="n"/>
      <c r="B27" s="125" t="n"/>
      <c r="C27" s="125" t="n"/>
      <c r="D27" s="125" t="n"/>
      <c r="E27" s="125" t="n"/>
      <c r="F27" s="125" t="n"/>
      <c r="G27" s="125" t="n"/>
      <c r="H27" s="125" t="n"/>
      <c r="I27" s="125" t="n"/>
      <c r="J27" s="125" t="n"/>
    </row>
    <row r="28" ht="15" customHeight="1" s="66">
      <c r="A28" s="124" t="n"/>
      <c r="B28" s="125" t="n"/>
      <c r="C28" s="125" t="n"/>
      <c r="D28" s="125" t="n"/>
      <c r="E28" s="125" t="n"/>
      <c r="F28" s="125" t="n"/>
      <c r="G28" s="125" t="n"/>
      <c r="H28" s="125" t="n"/>
      <c r="I28" s="125" t="n"/>
      <c r="J28" s="125" t="n"/>
    </row>
    <row r="29" ht="15" customHeight="1" s="66">
      <c r="A29" s="124" t="n"/>
      <c r="B29" s="125" t="n"/>
      <c r="C29" s="125" t="n"/>
      <c r="D29" s="125" t="n"/>
      <c r="E29" s="125" t="n"/>
      <c r="F29" s="125" t="n"/>
      <c r="G29" s="125" t="n"/>
      <c r="H29" s="125" t="n"/>
      <c r="I29" s="125" t="n"/>
      <c r="J29" s="125" t="n"/>
    </row>
    <row r="30" ht="15" customHeight="1" s="66">
      <c r="A30" s="124" t="n"/>
      <c r="B30" s="125" t="n"/>
      <c r="C30" s="125" t="n"/>
      <c r="D30" s="125" t="n"/>
      <c r="E30" s="125" t="n"/>
      <c r="F30" s="125" t="n"/>
      <c r="G30" s="125" t="n"/>
      <c r="H30" s="125" t="n"/>
      <c r="I30" s="125" t="n"/>
      <c r="J30" s="125" t="n"/>
    </row>
    <row r="31" ht="15" customHeight="1" s="66">
      <c r="A31" s="124" t="n"/>
      <c r="B31" s="125" t="n"/>
      <c r="C31" s="125" t="n"/>
      <c r="D31" s="125" t="n"/>
      <c r="E31" s="125" t="n"/>
      <c r="F31" s="125" t="n"/>
      <c r="G31" s="125" t="n"/>
      <c r="H31" s="125" t="n"/>
      <c r="I31" s="125" t="n"/>
      <c r="J31" s="125" t="n"/>
    </row>
    <row r="32" ht="15" customHeight="1" s="66">
      <c r="A32" s="124" t="n"/>
      <c r="B32" s="125" t="n"/>
      <c r="C32" s="125" t="n"/>
      <c r="D32" s="125" t="n"/>
      <c r="E32" s="125" t="n"/>
      <c r="F32" s="125" t="n"/>
      <c r="G32" s="125" t="n"/>
      <c r="H32" s="125" t="n"/>
      <c r="I32" s="125" t="n"/>
      <c r="J32" s="125" t="n"/>
    </row>
    <row r="33" ht="15" customHeight="1" s="66">
      <c r="A33" s="124" t="n"/>
      <c r="B33" s="125" t="n"/>
      <c r="C33" s="125" t="n"/>
      <c r="D33" s="125" t="n"/>
      <c r="E33" s="125" t="n"/>
      <c r="F33" s="125" t="n"/>
      <c r="G33" s="125" t="n"/>
      <c r="H33" s="125" t="n"/>
      <c r="I33" s="125" t="n"/>
      <c r="J33" s="125" t="n"/>
    </row>
    <row r="34" ht="15" customHeight="1" s="66">
      <c r="A34" s="124" t="n"/>
      <c r="B34" s="125" t="n"/>
      <c r="C34" s="125" t="n"/>
      <c r="D34" s="125" t="n"/>
      <c r="E34" s="125" t="n"/>
      <c r="F34" s="125" t="n"/>
      <c r="G34" s="125" t="n"/>
      <c r="H34" s="125" t="n"/>
      <c r="I34" s="125" t="n"/>
      <c r="J34" s="125" t="n"/>
    </row>
    <row r="35" ht="15" customHeight="1" s="66">
      <c r="A35" s="124" t="n"/>
      <c r="B35" s="125" t="n"/>
      <c r="C35" s="125" t="n"/>
      <c r="D35" s="125" t="n"/>
      <c r="E35" s="125" t="n"/>
      <c r="F35" s="125" t="n"/>
      <c r="G35" s="125" t="n"/>
      <c r="H35" s="125" t="n"/>
      <c r="I35" s="125" t="n"/>
      <c r="J35" s="125" t="n"/>
    </row>
    <row r="36" ht="15" customHeight="1" s="66">
      <c r="A36" s="124" t="n"/>
      <c r="B36" s="125" t="n"/>
      <c r="C36" s="125" t="n"/>
      <c r="D36" s="125" t="n"/>
      <c r="E36" s="125" t="n"/>
      <c r="F36" s="125" t="n"/>
      <c r="G36" s="125" t="n"/>
      <c r="H36" s="125" t="n"/>
      <c r="I36" s="125" t="n"/>
      <c r="J36" s="125" t="n"/>
    </row>
    <row r="37" ht="15" customHeight="1" s="66">
      <c r="A37" s="124" t="n"/>
      <c r="B37" s="125" t="n"/>
      <c r="C37" s="125" t="n"/>
      <c r="D37" s="125" t="n"/>
      <c r="E37" s="125" t="n"/>
      <c r="F37" s="125" t="n"/>
      <c r="G37" s="125" t="n"/>
      <c r="H37" s="125" t="n"/>
      <c r="I37" s="125" t="n"/>
      <c r="J37" s="125" t="n"/>
    </row>
    <row r="38" ht="15" customHeight="1" s="66">
      <c r="A38" s="124" t="n"/>
      <c r="B38" s="125" t="n"/>
      <c r="C38" s="125" t="n"/>
      <c r="D38" s="125" t="n"/>
      <c r="E38" s="125" t="n"/>
      <c r="F38" s="125" t="n"/>
      <c r="G38" s="125" t="n"/>
      <c r="H38" s="125" t="n"/>
      <c r="I38" s="125" t="n"/>
      <c r="J38" s="125" t="n"/>
    </row>
    <row r="39" ht="15" customHeight="1" s="66">
      <c r="A39" s="124" t="n"/>
      <c r="B39" s="125" t="n"/>
      <c r="C39" s="125" t="n"/>
      <c r="D39" s="125" t="n"/>
      <c r="E39" s="125" t="n"/>
      <c r="F39" s="125" t="n"/>
      <c r="G39" s="125" t="n"/>
      <c r="H39" s="125" t="n"/>
      <c r="I39" s="125" t="n"/>
      <c r="J39" s="125" t="n"/>
    </row>
    <row r="40" ht="15" customHeight="1" s="66">
      <c r="A40" s="124" t="n"/>
      <c r="B40" s="125" t="n"/>
      <c r="C40" s="125" t="n"/>
      <c r="D40" s="125" t="n"/>
      <c r="E40" s="125" t="n"/>
      <c r="F40" s="125" t="n"/>
      <c r="G40" s="125" t="n"/>
      <c r="H40" s="125" t="n"/>
      <c r="I40" s="125" t="n"/>
      <c r="J40" s="125" t="n"/>
    </row>
    <row r="41" ht="15" customHeight="1" s="66">
      <c r="A41" s="124" t="n"/>
      <c r="B41" s="125" t="n"/>
      <c r="C41" s="125" t="n"/>
      <c r="D41" s="125" t="n"/>
      <c r="E41" s="125" t="n"/>
      <c r="F41" s="125" t="n"/>
      <c r="G41" s="125" t="n"/>
      <c r="H41" s="125" t="n"/>
      <c r="I41" s="125" t="n"/>
      <c r="J41" s="125" t="n"/>
    </row>
    <row r="42" ht="15" customHeight="1" s="66">
      <c r="A42" s="124" t="n"/>
      <c r="B42" s="125" t="n"/>
      <c r="C42" s="125" t="n"/>
      <c r="D42" s="125" t="n"/>
      <c r="E42" s="125" t="n"/>
      <c r="F42" s="125" t="n"/>
      <c r="G42" s="125" t="n"/>
      <c r="H42" s="125" t="n"/>
      <c r="I42" s="125" t="n"/>
      <c r="J42" s="125" t="n"/>
    </row>
    <row r="43" ht="15" customHeight="1" s="66">
      <c r="A43" s="124" t="n"/>
      <c r="B43" s="125" t="n"/>
      <c r="C43" s="125" t="n"/>
      <c r="D43" s="125" t="n"/>
      <c r="E43" s="125" t="n"/>
      <c r="F43" s="125" t="n"/>
      <c r="G43" s="125" t="n"/>
      <c r="H43" s="125" t="n"/>
      <c r="I43" s="125" t="n"/>
      <c r="J43" s="125" t="n"/>
    </row>
    <row r="44" ht="15" customHeight="1" s="66">
      <c r="A44" s="124" t="n"/>
      <c r="B44" s="125" t="n"/>
      <c r="C44" s="125" t="n"/>
      <c r="D44" s="125" t="n"/>
      <c r="E44" s="125" t="n"/>
      <c r="F44" s="125" t="n"/>
      <c r="G44" s="125" t="n"/>
      <c r="H44" s="125" t="n"/>
      <c r="I44" s="125" t="n"/>
      <c r="J44" s="125" t="n"/>
    </row>
    <row r="45" ht="15" customHeight="1" s="66">
      <c r="A45" s="124" t="n"/>
      <c r="B45" s="125" t="n"/>
      <c r="C45" s="125" t="n"/>
      <c r="D45" s="125" t="n"/>
      <c r="E45" s="125" t="n"/>
      <c r="F45" s="125" t="n"/>
      <c r="G45" s="125" t="n"/>
      <c r="H45" s="125" t="n"/>
      <c r="I45" s="125" t="n"/>
      <c r="J45" s="125" t="n"/>
    </row>
    <row r="46" ht="15" customHeight="1" s="66">
      <c r="A46" s="124" t="n"/>
      <c r="B46" s="125" t="n"/>
      <c r="C46" s="125" t="n"/>
      <c r="D46" s="125" t="n"/>
      <c r="E46" s="125" t="n"/>
      <c r="F46" s="125" t="n"/>
      <c r="G46" s="125" t="n"/>
      <c r="H46" s="125" t="n"/>
      <c r="I46" s="125" t="n"/>
      <c r="J46" s="125" t="n"/>
    </row>
    <row r="47" ht="15" customHeight="1" s="66">
      <c r="A47" s="124" t="n"/>
      <c r="B47" s="125" t="n"/>
      <c r="C47" s="125" t="n"/>
      <c r="D47" s="125" t="n"/>
      <c r="E47" s="125" t="n"/>
      <c r="F47" s="125" t="n"/>
      <c r="G47" s="125" t="n"/>
      <c r="H47" s="125" t="n"/>
      <c r="I47" s="125" t="n"/>
      <c r="J47" s="125" t="n"/>
    </row>
    <row r="48" ht="15" customHeight="1" s="66">
      <c r="A48" s="124" t="n"/>
      <c r="B48" s="125" t="n"/>
      <c r="C48" s="125" t="n"/>
      <c r="D48" s="125" t="n"/>
      <c r="E48" s="125" t="n"/>
      <c r="F48" s="125" t="n"/>
      <c r="G48" s="125" t="n"/>
      <c r="H48" s="125" t="n"/>
      <c r="I48" s="125" t="n"/>
      <c r="J48" s="125" t="n"/>
    </row>
    <row r="49" ht="15" customHeight="1" s="66">
      <c r="A49" s="124" t="n"/>
      <c r="B49" s="125" t="n"/>
      <c r="C49" s="125" t="n"/>
      <c r="D49" s="125" t="n"/>
      <c r="E49" s="125" t="n"/>
      <c r="F49" s="125" t="n"/>
      <c r="G49" s="125" t="n"/>
      <c r="H49" s="125" t="n"/>
      <c r="I49" s="125" t="n"/>
      <c r="J49" s="125" t="n"/>
    </row>
    <row r="50" ht="15" customHeight="1" s="66">
      <c r="A50" s="124" t="n"/>
      <c r="B50" s="125" t="n"/>
      <c r="C50" s="125" t="n"/>
      <c r="D50" s="125" t="n"/>
      <c r="E50" s="125" t="n"/>
      <c r="F50" s="125" t="n"/>
      <c r="G50" s="125" t="n"/>
      <c r="H50" s="125" t="n"/>
      <c r="I50" s="125" t="n"/>
      <c r="J50" s="125" t="n"/>
    </row>
    <row r="51" ht="15" customHeight="1" s="66">
      <c r="A51" s="124" t="n"/>
      <c r="B51" s="125" t="n"/>
      <c r="C51" s="125" t="n"/>
      <c r="D51" s="125" t="n"/>
      <c r="E51" s="125" t="n"/>
      <c r="F51" s="125" t="n"/>
      <c r="G51" s="125" t="n"/>
      <c r="H51" s="125" t="n"/>
      <c r="I51" s="125" t="n"/>
      <c r="J51" s="125" t="n"/>
    </row>
    <row r="52" ht="15" customHeight="1" s="66">
      <c r="A52" s="124" t="n"/>
      <c r="B52" s="125" t="n"/>
      <c r="C52" s="125" t="n"/>
      <c r="D52" s="125" t="n"/>
      <c r="E52" s="125" t="n"/>
      <c r="F52" s="125" t="n"/>
      <c r="G52" s="125" t="n"/>
      <c r="H52" s="125" t="n"/>
      <c r="I52" s="125" t="n"/>
      <c r="J52" s="125" t="n"/>
    </row>
    <row r="53" ht="15" customHeight="1" s="66">
      <c r="A53" s="124" t="n"/>
      <c r="B53" s="125" t="n"/>
      <c r="C53" s="125" t="n"/>
      <c r="D53" s="125" t="n"/>
      <c r="E53" s="125" t="n"/>
      <c r="F53" s="125" t="n"/>
      <c r="G53" s="125" t="n"/>
      <c r="H53" s="125" t="n"/>
      <c r="I53" s="125" t="n"/>
      <c r="J53" s="125" t="n"/>
    </row>
    <row r="54" ht="15" customHeight="1" s="66">
      <c r="A54" s="124" t="n"/>
      <c r="B54" s="125" t="n"/>
      <c r="C54" s="125" t="n"/>
      <c r="D54" s="125" t="n"/>
      <c r="E54" s="125" t="n"/>
      <c r="F54" s="125" t="n"/>
      <c r="G54" s="125" t="n"/>
      <c r="H54" s="125" t="n"/>
      <c r="I54" s="125" t="n"/>
      <c r="J54" s="125" t="n"/>
    </row>
    <row r="55" ht="15" customHeight="1" s="66">
      <c r="A55" s="124" t="n"/>
      <c r="B55" s="125" t="n"/>
      <c r="C55" s="125" t="n"/>
      <c r="D55" s="125" t="n"/>
      <c r="E55" s="125" t="n"/>
      <c r="F55" s="125" t="n"/>
      <c r="G55" s="125" t="n"/>
      <c r="H55" s="125" t="n"/>
      <c r="I55" s="125" t="n"/>
      <c r="J55" s="125" t="n"/>
    </row>
    <row r="56" ht="15" customHeight="1" s="66">
      <c r="A56" s="124" t="n"/>
      <c r="B56" s="125" t="n"/>
      <c r="C56" s="125" t="n"/>
      <c r="D56" s="125" t="n"/>
      <c r="E56" s="125" t="n"/>
      <c r="F56" s="125" t="n"/>
      <c r="G56" s="125" t="n"/>
      <c r="H56" s="125" t="n"/>
      <c r="I56" s="125" t="n"/>
      <c r="J56" s="125" t="n"/>
    </row>
    <row r="57" ht="15" customHeight="1" s="66">
      <c r="A57" s="124" t="n"/>
      <c r="B57" s="125" t="n"/>
      <c r="C57" s="125" t="n"/>
      <c r="D57" s="125" t="n"/>
      <c r="E57" s="125" t="n"/>
      <c r="F57" s="125" t="n"/>
      <c r="G57" s="125" t="n"/>
      <c r="H57" s="125" t="n"/>
      <c r="I57" s="125" t="n"/>
      <c r="J57" s="125" t="n"/>
    </row>
    <row r="58" ht="15" customHeight="1" s="66">
      <c r="A58" s="124" t="n"/>
      <c r="B58" s="125" t="n"/>
      <c r="C58" s="125" t="n"/>
      <c r="D58" s="125" t="n"/>
      <c r="E58" s="125" t="n"/>
      <c r="F58" s="125" t="n"/>
      <c r="G58" s="125" t="n"/>
      <c r="H58" s="125" t="n"/>
      <c r="I58" s="125" t="n"/>
      <c r="J58" s="125" t="n"/>
    </row>
    <row r="59" ht="15" customHeight="1" s="66">
      <c r="A59" s="124" t="n"/>
      <c r="B59" s="125" t="n"/>
      <c r="C59" s="125" t="n"/>
      <c r="D59" s="125" t="n"/>
      <c r="E59" s="125" t="n"/>
      <c r="F59" s="125" t="n"/>
      <c r="G59" s="125" t="n"/>
      <c r="H59" s="125" t="n"/>
      <c r="I59" s="125" t="n"/>
      <c r="J59" s="125" t="n"/>
    </row>
    <row r="60" ht="15" customHeight="1" s="66">
      <c r="A60" s="124" t="n"/>
      <c r="B60" s="125" t="n"/>
      <c r="C60" s="125" t="n"/>
      <c r="D60" s="125" t="n"/>
      <c r="E60" s="125" t="n"/>
      <c r="F60" s="125" t="n"/>
      <c r="G60" s="125" t="n"/>
      <c r="H60" s="125" t="n"/>
      <c r="I60" s="125" t="n"/>
      <c r="J60" s="125" t="n"/>
    </row>
    <row r="61" ht="15" customHeight="1" s="66">
      <c r="A61" s="124" t="n"/>
      <c r="B61" s="125" t="n"/>
      <c r="C61" s="125" t="n"/>
      <c r="D61" s="125" t="n"/>
      <c r="E61" s="125" t="n"/>
      <c r="F61" s="125" t="n"/>
      <c r="G61" s="125" t="n"/>
      <c r="H61" s="125" t="n"/>
      <c r="I61" s="125" t="n"/>
      <c r="J61" s="125" t="n"/>
    </row>
    <row r="62" ht="15" customHeight="1" s="66">
      <c r="A62" s="124" t="n"/>
      <c r="B62" s="125" t="n"/>
      <c r="C62" s="125" t="n"/>
      <c r="D62" s="125" t="n"/>
      <c r="E62" s="125" t="n"/>
      <c r="F62" s="125" t="n"/>
      <c r="G62" s="125" t="n"/>
      <c r="H62" s="125" t="n"/>
      <c r="I62" s="125" t="n"/>
      <c r="J62" s="125" t="n"/>
    </row>
    <row r="63" ht="15" customHeight="1" s="66">
      <c r="A63" s="124" t="n"/>
      <c r="B63" s="125" t="n"/>
      <c r="C63" s="125" t="n"/>
      <c r="D63" s="125" t="n"/>
      <c r="E63" s="125" t="n"/>
      <c r="F63" s="125" t="n"/>
      <c r="G63" s="125" t="n"/>
      <c r="H63" s="125" t="n"/>
      <c r="I63" s="125" t="n"/>
      <c r="J63" s="125" t="n"/>
    </row>
    <row r="64" ht="15" customHeight="1" s="66">
      <c r="A64" s="124" t="n"/>
      <c r="B64" s="125" t="n"/>
      <c r="C64" s="125" t="n"/>
      <c r="D64" s="125" t="n"/>
      <c r="E64" s="125" t="n"/>
      <c r="F64" s="125" t="n"/>
      <c r="G64" s="125" t="n"/>
      <c r="H64" s="125" t="n"/>
      <c r="I64" s="125" t="n"/>
      <c r="J64" s="125" t="n"/>
    </row>
    <row r="65" ht="15" customHeight="1" s="66">
      <c r="A65" s="124" t="n"/>
      <c r="B65" s="125" t="n"/>
      <c r="C65" s="125" t="n"/>
      <c r="D65" s="125" t="n"/>
      <c r="E65" s="125" t="n"/>
      <c r="F65" s="125" t="n"/>
      <c r="G65" s="125" t="n"/>
      <c r="H65" s="125" t="n"/>
      <c r="I65" s="125" t="n"/>
      <c r="J65" s="125" t="n"/>
    </row>
    <row r="66" ht="15" customHeight="1" s="66">
      <c r="A66" s="124" t="n"/>
      <c r="B66" s="125" t="n"/>
      <c r="C66" s="125" t="n"/>
      <c r="D66" s="125" t="n"/>
      <c r="E66" s="125" t="n"/>
      <c r="F66" s="125" t="n"/>
      <c r="G66" s="125" t="n"/>
      <c r="H66" s="125" t="n"/>
      <c r="I66" s="125" t="n"/>
      <c r="J66" s="125" t="n"/>
    </row>
    <row r="67" ht="15" customHeight="1" s="66">
      <c r="A67" s="124" t="n"/>
      <c r="B67" s="125" t="n"/>
      <c r="C67" s="125" t="n"/>
      <c r="D67" s="125" t="n"/>
      <c r="E67" s="125" t="n"/>
      <c r="F67" s="125" t="n"/>
      <c r="G67" s="125" t="n"/>
      <c r="H67" s="125" t="n"/>
      <c r="I67" s="125" t="n"/>
      <c r="J67" s="125" t="n"/>
    </row>
    <row r="68" ht="15" customHeight="1" s="66">
      <c r="A68" s="124" t="n"/>
      <c r="B68" s="125" t="n"/>
      <c r="C68" s="125" t="n"/>
      <c r="D68" s="125" t="n"/>
      <c r="E68" s="125" t="n"/>
      <c r="F68" s="125" t="n"/>
      <c r="G68" s="125" t="n"/>
      <c r="H68" s="125" t="n"/>
      <c r="I68" s="125" t="n"/>
      <c r="J68" s="125" t="n"/>
    </row>
    <row r="69" ht="15" customHeight="1" s="66">
      <c r="A69" s="124" t="n"/>
      <c r="B69" s="125" t="n"/>
      <c r="C69" s="125" t="n"/>
      <c r="D69" s="125" t="n"/>
      <c r="E69" s="125" t="n"/>
      <c r="F69" s="125" t="n"/>
      <c r="G69" s="125" t="n"/>
      <c r="H69" s="125" t="n"/>
      <c r="I69" s="125" t="n"/>
      <c r="J69" s="125" t="n"/>
    </row>
    <row r="70" ht="15" customHeight="1" s="66">
      <c r="A70" s="124" t="n"/>
      <c r="B70" s="125" t="n"/>
      <c r="C70" s="125" t="n"/>
      <c r="D70" s="125" t="n"/>
      <c r="E70" s="125" t="n"/>
      <c r="F70" s="125" t="n"/>
      <c r="G70" s="125" t="n"/>
      <c r="H70" s="125" t="n"/>
      <c r="I70" s="125" t="n"/>
      <c r="J70" s="125" t="n"/>
    </row>
    <row r="71" ht="15" customHeight="1" s="66">
      <c r="A71" s="124" t="n"/>
      <c r="B71" s="125" t="n"/>
      <c r="C71" s="125" t="n"/>
      <c r="D71" s="125" t="n"/>
      <c r="E71" s="125" t="n"/>
      <c r="F71" s="125" t="n"/>
      <c r="G71" s="125" t="n"/>
      <c r="H71" s="125" t="n"/>
      <c r="I71" s="125" t="n"/>
      <c r="J71" s="125" t="n"/>
    </row>
    <row r="72" ht="15" customHeight="1" s="66">
      <c r="A72" s="124" t="n"/>
      <c r="B72" s="125" t="n"/>
      <c r="C72" s="125" t="n"/>
      <c r="D72" s="125" t="n"/>
      <c r="E72" s="125" t="n"/>
      <c r="F72" s="125" t="n"/>
      <c r="G72" s="125" t="n"/>
      <c r="H72" s="125" t="n"/>
      <c r="I72" s="125" t="n"/>
      <c r="J72" s="125" t="n"/>
    </row>
    <row r="73" ht="15" customHeight="1" s="66">
      <c r="A73" s="124" t="n"/>
      <c r="B73" s="125" t="n"/>
      <c r="C73" s="125" t="n"/>
      <c r="D73" s="125" t="n"/>
      <c r="E73" s="125" t="n"/>
      <c r="F73" s="125" t="n"/>
      <c r="G73" s="125" t="n"/>
      <c r="H73" s="125" t="n"/>
      <c r="I73" s="125" t="n"/>
      <c r="J73" s="125" t="n"/>
    </row>
    <row r="74" ht="15" customHeight="1" s="66">
      <c r="A74" s="124" t="n"/>
      <c r="B74" s="125" t="n"/>
      <c r="C74" s="125" t="n"/>
      <c r="D74" s="125" t="n"/>
      <c r="E74" s="125" t="n"/>
      <c r="F74" s="125" t="n"/>
      <c r="G74" s="125" t="n"/>
      <c r="H74" s="125" t="n"/>
      <c r="I74" s="125" t="n"/>
      <c r="J74" s="125" t="n"/>
    </row>
    <row r="75" ht="15" customHeight="1" s="66">
      <c r="A75" s="124" t="n"/>
      <c r="B75" s="125" t="n"/>
      <c r="C75" s="125" t="n"/>
      <c r="D75" s="125" t="n"/>
      <c r="E75" s="125" t="n"/>
      <c r="F75" s="125" t="n"/>
      <c r="G75" s="125" t="n"/>
      <c r="H75" s="125" t="n"/>
      <c r="I75" s="125" t="n"/>
      <c r="J75" s="125" t="n"/>
    </row>
    <row r="76" ht="15" customHeight="1" s="66">
      <c r="A76" s="124" t="n"/>
      <c r="B76" s="125" t="n"/>
      <c r="C76" s="125" t="n"/>
      <c r="D76" s="125" t="n"/>
      <c r="E76" s="125" t="n"/>
      <c r="F76" s="125" t="n"/>
      <c r="G76" s="125" t="n"/>
      <c r="H76" s="125" t="n"/>
      <c r="I76" s="125" t="n"/>
      <c r="J76" s="125" t="n"/>
    </row>
    <row r="77" ht="15" customHeight="1" s="66">
      <c r="A77" s="124" t="n"/>
      <c r="B77" s="125" t="n"/>
      <c r="C77" s="125" t="n"/>
      <c r="D77" s="125" t="n"/>
      <c r="E77" s="125" t="n"/>
      <c r="F77" s="125" t="n"/>
      <c r="G77" s="125" t="n"/>
      <c r="H77" s="125" t="n"/>
      <c r="I77" s="125" t="n"/>
      <c r="J77" s="125" t="n"/>
    </row>
    <row r="78" ht="15" customHeight="1" s="66">
      <c r="A78" s="124" t="n"/>
      <c r="B78" s="125" t="n"/>
      <c r="C78" s="125" t="n"/>
      <c r="D78" s="125" t="n"/>
      <c r="E78" s="125" t="n"/>
      <c r="F78" s="125" t="n"/>
      <c r="G78" s="125" t="n"/>
      <c r="H78" s="125" t="n"/>
      <c r="I78" s="125" t="n"/>
      <c r="J78" s="125" t="n"/>
    </row>
    <row r="79" ht="15" customHeight="1" s="66">
      <c r="A79" s="124" t="n"/>
      <c r="B79" s="125" t="n"/>
      <c r="C79" s="125" t="n"/>
      <c r="D79" s="125" t="n"/>
      <c r="E79" s="125" t="n"/>
      <c r="F79" s="125" t="n"/>
      <c r="G79" s="125" t="n"/>
      <c r="H79" s="125" t="n"/>
      <c r="I79" s="125" t="n"/>
      <c r="J79" s="125" t="n"/>
    </row>
    <row r="80" ht="15" customHeight="1" s="66">
      <c r="A80" s="124" t="n"/>
      <c r="B80" s="125" t="n"/>
      <c r="C80" s="125" t="n"/>
      <c r="D80" s="125" t="n"/>
      <c r="E80" s="125" t="n"/>
      <c r="F80" s="125" t="n"/>
      <c r="G80" s="125" t="n"/>
      <c r="H80" s="125" t="n"/>
      <c r="I80" s="125" t="n"/>
      <c r="J80" s="125" t="n"/>
    </row>
    <row r="81" ht="15" customHeight="1" s="66">
      <c r="A81" s="124" t="n"/>
      <c r="B81" s="125" t="n"/>
      <c r="C81" s="125" t="n"/>
      <c r="D81" s="125" t="n"/>
      <c r="E81" s="125" t="n"/>
      <c r="F81" s="125" t="n"/>
      <c r="G81" s="125" t="n"/>
      <c r="H81" s="125" t="n"/>
      <c r="I81" s="125" t="n"/>
      <c r="J81" s="125" t="n"/>
    </row>
    <row r="82" ht="15" customHeight="1" s="66">
      <c r="A82" s="124" t="n"/>
      <c r="B82" s="125" t="n"/>
      <c r="C82" s="125" t="n"/>
      <c r="D82" s="125" t="n"/>
      <c r="E82" s="125" t="n"/>
      <c r="F82" s="125" t="n"/>
      <c r="G82" s="125" t="n"/>
      <c r="H82" s="125" t="n"/>
      <c r="I82" s="125" t="n"/>
      <c r="J82" s="125" t="n"/>
    </row>
    <row r="83" ht="15" customHeight="1" s="66">
      <c r="A83" s="124" t="n"/>
      <c r="B83" s="125" t="n"/>
      <c r="C83" s="125" t="n"/>
      <c r="D83" s="125" t="n"/>
      <c r="E83" s="125" t="n"/>
      <c r="F83" s="125" t="n"/>
      <c r="G83" s="125" t="n"/>
      <c r="H83" s="125" t="n"/>
      <c r="I83" s="125" t="n"/>
      <c r="J83" s="125" t="n"/>
    </row>
    <row r="84" ht="15" customHeight="1" s="66">
      <c r="A84" s="124" t="n"/>
      <c r="B84" s="125" t="n"/>
      <c r="C84" s="125" t="n"/>
      <c r="D84" s="125" t="n"/>
      <c r="E84" s="125" t="n"/>
      <c r="F84" s="125" t="n"/>
      <c r="G84" s="125" t="n"/>
      <c r="H84" s="125" t="n"/>
      <c r="I84" s="125" t="n"/>
      <c r="J84" s="125" t="n"/>
    </row>
    <row r="85" ht="15" customHeight="1" s="66">
      <c r="A85" s="124" t="n"/>
      <c r="B85" s="125" t="n"/>
      <c r="C85" s="125" t="n"/>
      <c r="D85" s="125" t="n"/>
      <c r="E85" s="125" t="n"/>
      <c r="F85" s="125" t="n"/>
      <c r="G85" s="125" t="n"/>
      <c r="H85" s="125" t="n"/>
      <c r="I85" s="125" t="n"/>
      <c r="J85" s="125" t="n"/>
    </row>
    <row r="86" ht="15" customHeight="1" s="66">
      <c r="A86" s="124" t="n"/>
      <c r="B86" s="125" t="n"/>
      <c r="C86" s="125" t="n"/>
      <c r="D86" s="125" t="n"/>
      <c r="E86" s="125" t="n"/>
      <c r="F86" s="125" t="n"/>
      <c r="G86" s="125" t="n"/>
      <c r="H86" s="125" t="n"/>
      <c r="I86" s="125" t="n"/>
      <c r="J86" s="125" t="n"/>
    </row>
    <row r="87" ht="15" customHeight="1" s="66">
      <c r="A87" s="124" t="n"/>
      <c r="B87" s="125" t="n"/>
      <c r="C87" s="125" t="n"/>
      <c r="D87" s="125" t="n"/>
      <c r="E87" s="125" t="n"/>
      <c r="F87" s="125" t="n"/>
      <c r="G87" s="125" t="n"/>
      <c r="H87" s="125" t="n"/>
      <c r="I87" s="125" t="n"/>
      <c r="J87" s="125" t="n"/>
    </row>
    <row r="88" ht="15" customHeight="1" s="66">
      <c r="A88" s="124" t="n"/>
      <c r="B88" s="125" t="n"/>
      <c r="C88" s="125" t="n"/>
      <c r="D88" s="125" t="n"/>
      <c r="E88" s="125" t="n"/>
      <c r="F88" s="125" t="n"/>
      <c r="G88" s="125" t="n"/>
      <c r="H88" s="125" t="n"/>
      <c r="I88" s="125" t="n"/>
      <c r="J88" s="125" t="n"/>
    </row>
    <row r="89" ht="15" customHeight="1" s="66">
      <c r="A89" s="124" t="n"/>
      <c r="B89" s="125" t="n"/>
      <c r="C89" s="125" t="n"/>
      <c r="D89" s="125" t="n"/>
      <c r="E89" s="125" t="n"/>
      <c r="F89" s="125" t="n"/>
      <c r="G89" s="125" t="n"/>
      <c r="H89" s="125" t="n"/>
      <c r="I89" s="125" t="n"/>
      <c r="J89" s="125" t="n"/>
    </row>
    <row r="90" ht="15" customHeight="1" s="66">
      <c r="A90" s="124" t="n"/>
      <c r="B90" s="125" t="n"/>
      <c r="C90" s="125" t="n"/>
      <c r="D90" s="125" t="n"/>
      <c r="E90" s="125" t="n"/>
      <c r="F90" s="125" t="n"/>
      <c r="G90" s="125" t="n"/>
      <c r="H90" s="125" t="n"/>
      <c r="I90" s="125" t="n"/>
      <c r="J90" s="125" t="n"/>
    </row>
    <row r="91" ht="15" customHeight="1" s="66">
      <c r="A91" s="124" t="n"/>
      <c r="B91" s="125" t="n"/>
      <c r="C91" s="125" t="n"/>
      <c r="D91" s="125" t="n"/>
      <c r="E91" s="125" t="n"/>
      <c r="F91" s="125" t="n"/>
      <c r="G91" s="125" t="n"/>
      <c r="H91" s="125" t="n"/>
      <c r="I91" s="125" t="n"/>
      <c r="J91" s="125" t="n"/>
    </row>
    <row r="92" ht="15" customHeight="1" s="66">
      <c r="A92" s="124" t="n"/>
      <c r="B92" s="125" t="n"/>
      <c r="C92" s="125" t="n"/>
      <c r="D92" s="125" t="n"/>
      <c r="E92" s="125" t="n"/>
      <c r="F92" s="125" t="n"/>
      <c r="G92" s="125" t="n"/>
      <c r="H92" s="125" t="n"/>
      <c r="I92" s="125" t="n"/>
      <c r="J92" s="125" t="n"/>
    </row>
    <row r="93" ht="15" customHeight="1" s="66">
      <c r="A93" s="124" t="n"/>
      <c r="B93" s="125" t="n"/>
      <c r="C93" s="125" t="n"/>
      <c r="D93" s="125" t="n"/>
      <c r="E93" s="125" t="n"/>
      <c r="F93" s="125" t="n"/>
      <c r="G93" s="125" t="n"/>
      <c r="H93" s="125" t="n"/>
      <c r="I93" s="125" t="n"/>
      <c r="J93" s="125" t="n"/>
    </row>
    <row r="94" ht="15" customHeight="1" s="66">
      <c r="A94" s="124" t="n"/>
      <c r="B94" s="125" t="n"/>
      <c r="C94" s="125" t="n"/>
      <c r="D94" s="125" t="n"/>
      <c r="E94" s="125" t="n"/>
      <c r="F94" s="125" t="n"/>
      <c r="G94" s="125" t="n"/>
      <c r="H94" s="125" t="n"/>
      <c r="I94" s="125" t="n"/>
      <c r="J94" s="125" t="n"/>
    </row>
    <row r="95" ht="15" customHeight="1" s="66">
      <c r="A95" s="124" t="n"/>
      <c r="B95" s="125" t="n"/>
      <c r="C95" s="125" t="n"/>
      <c r="D95" s="125" t="n"/>
      <c r="E95" s="125" t="n"/>
      <c r="F95" s="125" t="n"/>
      <c r="G95" s="125" t="n"/>
      <c r="H95" s="125" t="n"/>
      <c r="I95" s="125" t="n"/>
      <c r="J95" s="125" t="n"/>
    </row>
    <row r="96" ht="15" customHeight="1" s="66">
      <c r="A96" s="124" t="n"/>
      <c r="B96" s="125" t="n"/>
      <c r="C96" s="125" t="n"/>
      <c r="D96" s="125" t="n"/>
      <c r="E96" s="125" t="n"/>
      <c r="F96" s="125" t="n"/>
      <c r="G96" s="125" t="n"/>
      <c r="H96" s="125" t="n"/>
      <c r="I96" s="125" t="n"/>
      <c r="J96" s="125" t="n"/>
    </row>
    <row r="97" ht="15" customHeight="1" s="66">
      <c r="A97" s="124" t="n"/>
      <c r="B97" s="125" t="n"/>
      <c r="C97" s="125" t="n"/>
      <c r="D97" s="125" t="n"/>
      <c r="E97" s="125" t="n"/>
      <c r="F97" s="125" t="n"/>
      <c r="G97" s="125" t="n"/>
      <c r="H97" s="125" t="n"/>
      <c r="I97" s="125" t="n"/>
      <c r="J97" s="125" t="n"/>
    </row>
    <row r="98" ht="15" customHeight="1" s="66">
      <c r="A98" s="124" t="n"/>
      <c r="B98" s="125" t="n"/>
      <c r="C98" s="125" t="n"/>
      <c r="D98" s="125" t="n"/>
      <c r="E98" s="125" t="n"/>
      <c r="F98" s="125" t="n"/>
      <c r="G98" s="125" t="n"/>
      <c r="H98" s="125" t="n"/>
      <c r="I98" s="125" t="n"/>
      <c r="J98" s="125" t="n"/>
    </row>
    <row r="99" ht="15" customHeight="1" s="66">
      <c r="A99" s="124" t="n"/>
      <c r="B99" s="125" t="n"/>
      <c r="C99" s="125" t="n"/>
      <c r="D99" s="125" t="n"/>
      <c r="E99" s="125" t="n"/>
      <c r="F99" s="125" t="n"/>
      <c r="G99" s="125" t="n"/>
      <c r="H99" s="125" t="n"/>
      <c r="I99" s="125" t="n"/>
      <c r="J99" s="125" t="n"/>
    </row>
    <row r="100" ht="15" customHeight="1" s="66">
      <c r="A100" s="124" t="n"/>
      <c r="B100" s="125" t="n"/>
      <c r="C100" s="125" t="n"/>
      <c r="D100" s="125" t="n"/>
      <c r="E100" s="125" t="n"/>
      <c r="F100" s="125" t="n"/>
      <c r="G100" s="125" t="n"/>
      <c r="H100" s="125" t="n"/>
      <c r="I100" s="125" t="n"/>
      <c r="J100" s="125" t="n"/>
    </row>
    <row r="101" ht="15" customHeight="1" s="66">
      <c r="A101" s="124" t="n"/>
      <c r="B101" s="125" t="n"/>
      <c r="C101" s="125" t="n"/>
      <c r="D101" s="125" t="n"/>
      <c r="E101" s="125" t="n"/>
      <c r="F101" s="125" t="n"/>
      <c r="G101" s="125" t="n"/>
      <c r="H101" s="125" t="n"/>
      <c r="I101" s="125" t="n"/>
      <c r="J101" s="125" t="n"/>
    </row>
    <row r="102" ht="15" customHeight="1" s="66">
      <c r="A102" s="124" t="n"/>
      <c r="B102" s="125" t="n"/>
      <c r="C102" s="125" t="n"/>
      <c r="D102" s="125" t="n"/>
      <c r="E102" s="125" t="n"/>
      <c r="F102" s="125" t="n"/>
      <c r="G102" s="125" t="n"/>
      <c r="H102" s="125" t="n"/>
      <c r="I102" s="125" t="n"/>
      <c r="J102" s="125" t="n"/>
    </row>
    <row r="103" ht="15" customHeight="1" s="66">
      <c r="A103" s="124" t="n"/>
      <c r="B103" s="125" t="n"/>
      <c r="C103" s="125" t="n"/>
      <c r="D103" s="125" t="n"/>
      <c r="E103" s="125" t="n"/>
      <c r="F103" s="125" t="n"/>
      <c r="G103" s="125" t="n"/>
      <c r="H103" s="125" t="n"/>
      <c r="I103" s="125" t="n"/>
      <c r="J103" s="125" t="n"/>
    </row>
    <row r="104" ht="15" customHeight="1" s="66">
      <c r="A104" s="124" t="n"/>
      <c r="B104" s="125" t="n"/>
      <c r="C104" s="125" t="n"/>
      <c r="D104" s="125" t="n"/>
      <c r="E104" s="125" t="n"/>
      <c r="F104" s="125" t="n"/>
      <c r="G104" s="125" t="n"/>
      <c r="H104" s="125" t="n"/>
      <c r="I104" s="125" t="n"/>
      <c r="J104" s="125" t="n"/>
    </row>
    <row r="105" ht="15" customHeight="1" s="66">
      <c r="A105" s="124" t="n"/>
      <c r="B105" s="125" t="n"/>
      <c r="C105" s="125" t="n"/>
      <c r="D105" s="125" t="n"/>
      <c r="E105" s="125" t="n"/>
      <c r="F105" s="125" t="n"/>
      <c r="G105" s="125" t="n"/>
      <c r="H105" s="125" t="n"/>
      <c r="I105" s="125" t="n"/>
      <c r="J105" s="125" t="n"/>
    </row>
    <row r="106" ht="15" customHeight="1" s="66">
      <c r="A106" s="124" t="n"/>
      <c r="B106" s="125" t="n"/>
      <c r="C106" s="125" t="n"/>
      <c r="D106" s="125" t="n"/>
      <c r="E106" s="125" t="n"/>
      <c r="F106" s="125" t="n"/>
      <c r="G106" s="125" t="n"/>
      <c r="H106" s="125" t="n"/>
      <c r="I106" s="125" t="n"/>
      <c r="J106" s="125" t="n"/>
    </row>
    <row r="107" ht="15" customHeight="1" s="66">
      <c r="A107" s="124" t="n"/>
      <c r="B107" s="125" t="n"/>
      <c r="C107" s="125" t="n"/>
      <c r="D107" s="125" t="n"/>
      <c r="E107" s="125" t="n"/>
      <c r="F107" s="125" t="n"/>
      <c r="G107" s="125" t="n"/>
      <c r="H107" s="125" t="n"/>
      <c r="I107" s="125" t="n"/>
      <c r="J107" s="125" t="n"/>
    </row>
    <row r="108" ht="15" customHeight="1" s="66">
      <c r="A108" s="124" t="n"/>
      <c r="B108" s="125" t="n"/>
      <c r="C108" s="125" t="n"/>
      <c r="D108" s="125" t="n"/>
      <c r="E108" s="125" t="n"/>
      <c r="F108" s="125" t="n"/>
      <c r="G108" s="125" t="n"/>
      <c r="H108" s="125" t="n"/>
      <c r="I108" s="125" t="n"/>
      <c r="J108" s="125" t="n"/>
    </row>
    <row r="109" ht="15" customHeight="1" s="66">
      <c r="A109" s="124" t="n"/>
      <c r="B109" s="125" t="n"/>
      <c r="C109" s="125" t="n"/>
      <c r="D109" s="125" t="n"/>
      <c r="E109" s="125" t="n"/>
      <c r="F109" s="125" t="n"/>
      <c r="G109" s="125" t="n"/>
      <c r="H109" s="125" t="n"/>
      <c r="I109" s="125" t="n"/>
      <c r="J109" s="125" t="n"/>
    </row>
    <row r="110" ht="15" customHeight="1" s="66">
      <c r="A110" s="124" t="n"/>
      <c r="B110" s="125" t="n"/>
      <c r="C110" s="125" t="n"/>
      <c r="D110" s="125" t="n"/>
      <c r="E110" s="125" t="n"/>
      <c r="F110" s="125" t="n"/>
      <c r="G110" s="125" t="n"/>
      <c r="H110" s="125" t="n"/>
      <c r="I110" s="125" t="n"/>
      <c r="J110" s="125" t="n"/>
    </row>
    <row r="111" ht="15" customHeight="1" s="66">
      <c r="A111" s="124" t="n"/>
      <c r="B111" s="125" t="n"/>
      <c r="C111" s="125" t="n"/>
      <c r="D111" s="125" t="n"/>
      <c r="E111" s="125" t="n"/>
      <c r="F111" s="125" t="n"/>
      <c r="G111" s="125" t="n"/>
      <c r="H111" s="125" t="n"/>
      <c r="I111" s="125" t="n"/>
      <c r="J111" s="125" t="n"/>
    </row>
    <row r="112" ht="15" customHeight="1" s="66">
      <c r="A112" s="124" t="n"/>
      <c r="B112" s="125" t="n"/>
      <c r="C112" s="125" t="n"/>
      <c r="D112" s="125" t="n"/>
      <c r="E112" s="125" t="n"/>
      <c r="F112" s="125" t="n"/>
      <c r="G112" s="125" t="n"/>
      <c r="H112" s="125" t="n"/>
      <c r="I112" s="125" t="n"/>
      <c r="J112" s="125" t="n"/>
    </row>
    <row r="113" ht="15" customHeight="1" s="66">
      <c r="A113" s="124" t="n"/>
      <c r="B113" s="125" t="n"/>
      <c r="C113" s="125" t="n"/>
      <c r="D113" s="125" t="n"/>
      <c r="E113" s="125" t="n"/>
      <c r="F113" s="125" t="n"/>
      <c r="G113" s="125" t="n"/>
      <c r="H113" s="125" t="n"/>
      <c r="I113" s="125" t="n"/>
      <c r="J113" s="125" t="n"/>
    </row>
    <row r="114" ht="15" customHeight="1" s="66">
      <c r="A114" s="124" t="n"/>
      <c r="B114" s="125" t="n"/>
      <c r="C114" s="125" t="n"/>
      <c r="D114" s="125" t="n"/>
      <c r="E114" s="125" t="n"/>
      <c r="F114" s="125" t="n"/>
      <c r="G114" s="125" t="n"/>
      <c r="H114" s="125" t="n"/>
      <c r="I114" s="125" t="n"/>
      <c r="J114" s="125" t="n"/>
    </row>
    <row r="115" ht="15" customHeight="1" s="66">
      <c r="A115" s="124" t="n"/>
      <c r="B115" s="125" t="n"/>
      <c r="C115" s="125" t="n"/>
      <c r="D115" s="125" t="n"/>
      <c r="E115" s="125" t="n"/>
      <c r="F115" s="125" t="n"/>
      <c r="G115" s="125" t="n"/>
      <c r="H115" s="125" t="n"/>
      <c r="I115" s="125" t="n"/>
      <c r="J115" s="125" t="n"/>
    </row>
    <row r="116" ht="15" customHeight="1" s="66">
      <c r="A116" s="124" t="n"/>
      <c r="B116" s="125" t="n"/>
      <c r="C116" s="125" t="n"/>
      <c r="D116" s="125" t="n"/>
      <c r="E116" s="125" t="n"/>
      <c r="F116" s="125" t="n"/>
      <c r="G116" s="125" t="n"/>
      <c r="H116" s="125" t="n"/>
      <c r="I116" s="125" t="n"/>
      <c r="J116" s="125" t="n"/>
    </row>
    <row r="117" ht="15" customHeight="1" s="66">
      <c r="A117" s="124" t="n"/>
      <c r="B117" s="125" t="n"/>
      <c r="C117" s="125" t="n"/>
      <c r="D117" s="125" t="n"/>
      <c r="E117" s="125" t="n"/>
      <c r="F117" s="125" t="n"/>
      <c r="G117" s="125" t="n"/>
      <c r="H117" s="125" t="n"/>
      <c r="I117" s="125" t="n"/>
      <c r="J117" s="125" t="n"/>
    </row>
    <row r="118" ht="15" customHeight="1" s="66">
      <c r="A118" s="124" t="n"/>
      <c r="B118" s="125" t="n"/>
      <c r="C118" s="125" t="n"/>
      <c r="D118" s="125" t="n"/>
      <c r="E118" s="125" t="n"/>
      <c r="F118" s="125" t="n"/>
      <c r="G118" s="125" t="n"/>
      <c r="H118" s="125" t="n"/>
      <c r="I118" s="125" t="n"/>
      <c r="J118" s="125" t="n"/>
    </row>
    <row r="119" ht="15" customHeight="1" s="66">
      <c r="A119" s="124" t="n"/>
      <c r="B119" s="125" t="n"/>
      <c r="C119" s="125" t="n"/>
      <c r="D119" s="125" t="n"/>
      <c r="E119" s="125" t="n"/>
      <c r="F119" s="125" t="n"/>
      <c r="G119" s="125" t="n"/>
      <c r="H119" s="125" t="n"/>
      <c r="I119" s="125" t="n"/>
      <c r="J119" s="125" t="n"/>
    </row>
    <row r="120" ht="15" customHeight="1" s="66">
      <c r="A120" s="124" t="n"/>
      <c r="B120" s="125" t="n"/>
      <c r="C120" s="125" t="n"/>
      <c r="D120" s="125" t="n"/>
      <c r="E120" s="125" t="n"/>
      <c r="F120" s="125" t="n"/>
      <c r="G120" s="125" t="n"/>
      <c r="H120" s="125" t="n"/>
      <c r="I120" s="125" t="n"/>
      <c r="J120" s="125" t="n"/>
    </row>
    <row r="121" ht="15" customHeight="1" s="66">
      <c r="A121" s="124" t="n"/>
      <c r="B121" s="125" t="n"/>
      <c r="C121" s="125" t="n"/>
      <c r="D121" s="125" t="n"/>
      <c r="E121" s="125" t="n"/>
      <c r="F121" s="125" t="n"/>
      <c r="G121" s="125" t="n"/>
      <c r="H121" s="125" t="n"/>
      <c r="I121" s="125" t="n"/>
      <c r="J121" s="125" t="n"/>
    </row>
    <row r="122" ht="15" customHeight="1" s="66">
      <c r="A122" s="124" t="n"/>
      <c r="B122" s="125" t="n"/>
      <c r="C122" s="125" t="n"/>
      <c r="D122" s="125" t="n"/>
      <c r="E122" s="125" t="n"/>
      <c r="F122" s="125" t="n"/>
      <c r="G122" s="125" t="n"/>
      <c r="H122" s="125" t="n"/>
      <c r="I122" s="125" t="n"/>
      <c r="J122" s="125" t="n"/>
    </row>
    <row r="123" ht="15" customHeight="1" s="66">
      <c r="A123" s="124" t="n"/>
      <c r="B123" s="125" t="n"/>
      <c r="C123" s="125" t="n"/>
      <c r="D123" s="125" t="n"/>
      <c r="E123" s="125" t="n"/>
      <c r="F123" s="125" t="n"/>
      <c r="G123" s="125" t="n"/>
      <c r="H123" s="125" t="n"/>
      <c r="I123" s="125" t="n"/>
      <c r="J123" s="125" t="n"/>
    </row>
    <row r="124" ht="15" customHeight="1" s="66">
      <c r="A124" s="124" t="n"/>
      <c r="B124" s="125" t="n"/>
      <c r="C124" s="125" t="n"/>
      <c r="D124" s="125" t="n"/>
      <c r="E124" s="125" t="n"/>
      <c r="F124" s="125" t="n"/>
      <c r="G124" s="125" t="n"/>
      <c r="H124" s="125" t="n"/>
      <c r="I124" s="125" t="n"/>
      <c r="J124" s="125" t="n"/>
    </row>
    <row r="125" ht="15" customHeight="1" s="66">
      <c r="A125" s="124" t="n"/>
      <c r="B125" s="125" t="n"/>
      <c r="C125" s="125" t="n"/>
      <c r="D125" s="125" t="n"/>
      <c r="E125" s="125" t="n"/>
      <c r="F125" s="125" t="n"/>
      <c r="G125" s="125" t="n"/>
      <c r="H125" s="125" t="n"/>
      <c r="I125" s="125" t="n"/>
      <c r="J125" s="125" t="n"/>
    </row>
    <row r="126" ht="15" customHeight="1" s="66">
      <c r="A126" s="124" t="n"/>
      <c r="B126" s="125" t="n"/>
      <c r="C126" s="125" t="n"/>
      <c r="D126" s="125" t="n"/>
      <c r="E126" s="125" t="n"/>
      <c r="F126" s="125" t="n"/>
      <c r="G126" s="125" t="n"/>
      <c r="H126" s="125" t="n"/>
      <c r="I126" s="125" t="n"/>
      <c r="J126" s="125" t="n"/>
    </row>
    <row r="127" ht="15" customHeight="1" s="66">
      <c r="A127" s="124" t="n"/>
      <c r="B127" s="125" t="n"/>
      <c r="C127" s="125" t="n"/>
      <c r="D127" s="125" t="n"/>
      <c r="E127" s="125" t="n"/>
      <c r="F127" s="125" t="n"/>
      <c r="G127" s="125" t="n"/>
      <c r="H127" s="125" t="n"/>
      <c r="I127" s="125" t="n"/>
      <c r="J127" s="125" t="n"/>
    </row>
    <row r="128" ht="15" customHeight="1" s="66">
      <c r="A128" s="124" t="n"/>
      <c r="B128" s="125" t="n"/>
      <c r="C128" s="125" t="n"/>
      <c r="D128" s="125" t="n"/>
      <c r="E128" s="125" t="n"/>
      <c r="F128" s="125" t="n"/>
      <c r="G128" s="125" t="n"/>
      <c r="H128" s="125" t="n"/>
      <c r="I128" s="125" t="n"/>
      <c r="J128" s="125" t="n"/>
    </row>
    <row r="129" ht="15" customHeight="1" s="66">
      <c r="A129" s="124" t="n"/>
      <c r="B129" s="125" t="n"/>
      <c r="C129" s="125" t="n"/>
      <c r="D129" s="125" t="n"/>
      <c r="E129" s="125" t="n"/>
      <c r="F129" s="125" t="n"/>
      <c r="G129" s="125" t="n"/>
      <c r="H129" s="125" t="n"/>
      <c r="I129" s="125" t="n"/>
      <c r="J129" s="125" t="n"/>
    </row>
    <row r="130" ht="15" customHeight="1" s="66">
      <c r="A130" s="124" t="n"/>
      <c r="B130" s="125" t="n"/>
      <c r="C130" s="125" t="n"/>
      <c r="D130" s="125" t="n"/>
      <c r="E130" s="125" t="n"/>
      <c r="F130" s="125" t="n"/>
      <c r="G130" s="125" t="n"/>
      <c r="H130" s="125" t="n"/>
      <c r="I130" s="125" t="n"/>
      <c r="J130" s="125" t="n"/>
    </row>
    <row r="131" ht="15" customHeight="1" s="66">
      <c r="A131" s="124" t="n"/>
      <c r="B131" s="125" t="n"/>
      <c r="C131" s="125" t="n"/>
      <c r="D131" s="125" t="n"/>
      <c r="E131" s="125" t="n"/>
      <c r="F131" s="125" t="n"/>
      <c r="G131" s="125" t="n"/>
      <c r="H131" s="125" t="n"/>
      <c r="I131" s="125" t="n"/>
      <c r="J131" s="125" t="n"/>
    </row>
    <row r="132" ht="15" customHeight="1" s="66">
      <c r="A132" s="124" t="n"/>
      <c r="B132" s="125" t="n"/>
      <c r="C132" s="125" t="n"/>
      <c r="D132" s="125" t="n"/>
      <c r="E132" s="125" t="n"/>
      <c r="F132" s="125" t="n"/>
      <c r="G132" s="125" t="n"/>
      <c r="H132" s="125" t="n"/>
      <c r="I132" s="125" t="n"/>
      <c r="J132" s="125" t="n"/>
    </row>
    <row r="133" ht="15" customHeight="1" s="66">
      <c r="A133" s="124" t="n"/>
      <c r="B133" s="125" t="n"/>
      <c r="C133" s="125" t="n"/>
      <c r="D133" s="125" t="n"/>
      <c r="E133" s="125" t="n"/>
      <c r="F133" s="125" t="n"/>
      <c r="G133" s="125" t="n"/>
      <c r="H133" s="125" t="n"/>
      <c r="I133" s="125" t="n"/>
      <c r="J133" s="125" t="n"/>
    </row>
    <row r="134" ht="15" customHeight="1" s="66">
      <c r="A134" s="124" t="n"/>
      <c r="B134" s="125" t="n"/>
      <c r="C134" s="125" t="n"/>
      <c r="D134" s="125" t="n"/>
      <c r="E134" s="125" t="n"/>
      <c r="F134" s="125" t="n"/>
      <c r="G134" s="125" t="n"/>
      <c r="H134" s="125" t="n"/>
      <c r="I134" s="125" t="n"/>
      <c r="J134" s="125" t="n"/>
    </row>
    <row r="135" ht="15" customHeight="1" s="66">
      <c r="A135" s="124" t="n"/>
      <c r="B135" s="125" t="n"/>
      <c r="C135" s="125" t="n"/>
      <c r="D135" s="125" t="n"/>
      <c r="E135" s="125" t="n"/>
      <c r="F135" s="125" t="n"/>
      <c r="G135" s="125" t="n"/>
      <c r="H135" s="125" t="n"/>
      <c r="I135" s="125" t="n"/>
      <c r="J135" s="125" t="n"/>
    </row>
    <row r="136" ht="15" customHeight="1" s="66">
      <c r="A136" s="124" t="n"/>
      <c r="B136" s="125" t="n"/>
      <c r="C136" s="125" t="n"/>
      <c r="D136" s="125" t="n"/>
      <c r="E136" s="125" t="n"/>
      <c r="F136" s="125" t="n"/>
      <c r="G136" s="125" t="n"/>
      <c r="H136" s="125" t="n"/>
      <c r="I136" s="125" t="n"/>
      <c r="J136" s="125" t="n"/>
    </row>
    <row r="137" ht="15" customHeight="1" s="66">
      <c r="A137" s="124" t="n"/>
      <c r="B137" s="125" t="n"/>
      <c r="C137" s="125" t="n"/>
      <c r="D137" s="125" t="n"/>
      <c r="E137" s="125" t="n"/>
      <c r="F137" s="125" t="n"/>
      <c r="G137" s="125" t="n"/>
      <c r="H137" s="125" t="n"/>
      <c r="I137" s="125" t="n"/>
      <c r="J137" s="125" t="n"/>
    </row>
    <row r="138" ht="15" customHeight="1" s="66">
      <c r="A138" s="124" t="n"/>
      <c r="B138" s="125" t="n"/>
      <c r="C138" s="125" t="n"/>
      <c r="D138" s="125" t="n"/>
      <c r="E138" s="125" t="n"/>
      <c r="F138" s="125" t="n"/>
      <c r="G138" s="125" t="n"/>
      <c r="H138" s="125" t="n"/>
      <c r="I138" s="125" t="n"/>
      <c r="J138" s="125" t="n"/>
    </row>
    <row r="139" ht="15" customHeight="1" s="66">
      <c r="A139" s="124" t="n"/>
      <c r="B139" s="125" t="n"/>
      <c r="C139" s="125" t="n"/>
      <c r="D139" s="125" t="n"/>
      <c r="E139" s="125" t="n"/>
      <c r="F139" s="125" t="n"/>
      <c r="G139" s="125" t="n"/>
      <c r="H139" s="125" t="n"/>
      <c r="I139" s="125" t="n"/>
      <c r="J139" s="125" t="n"/>
    </row>
    <row r="140" ht="15" customHeight="1" s="66">
      <c r="A140" s="124" t="n"/>
      <c r="B140" s="125" t="n"/>
      <c r="C140" s="125" t="n"/>
      <c r="D140" s="125" t="n"/>
      <c r="E140" s="125" t="n"/>
      <c r="F140" s="125" t="n"/>
      <c r="G140" s="125" t="n"/>
      <c r="H140" s="125" t="n"/>
      <c r="I140" s="125" t="n"/>
      <c r="J140" s="125" t="n"/>
    </row>
    <row r="141" ht="15" customHeight="1" s="66">
      <c r="A141" s="124" t="n"/>
      <c r="B141" s="125" t="n"/>
      <c r="C141" s="125" t="n"/>
      <c r="D141" s="125" t="n"/>
      <c r="E141" s="125" t="n"/>
      <c r="F141" s="125" t="n"/>
      <c r="G141" s="125" t="n"/>
      <c r="H141" s="125" t="n"/>
      <c r="I141" s="125" t="n"/>
      <c r="J141" s="125" t="n"/>
    </row>
    <row r="142" ht="15" customHeight="1" s="66">
      <c r="A142" s="124" t="n"/>
      <c r="B142" s="125" t="n"/>
      <c r="C142" s="125" t="n"/>
      <c r="D142" s="125" t="n"/>
      <c r="E142" s="125" t="n"/>
      <c r="F142" s="125" t="n"/>
      <c r="G142" s="125" t="n"/>
      <c r="H142" s="125" t="n"/>
      <c r="I142" s="125" t="n"/>
      <c r="J142" s="125" t="n"/>
    </row>
    <row r="143" ht="15" customHeight="1" s="66">
      <c r="A143" s="124" t="n"/>
      <c r="B143" s="125" t="n"/>
      <c r="C143" s="125" t="n"/>
      <c r="D143" s="125" t="n"/>
      <c r="E143" s="125" t="n"/>
      <c r="F143" s="125" t="n"/>
      <c r="G143" s="125" t="n"/>
      <c r="H143" s="125" t="n"/>
      <c r="I143" s="125" t="n"/>
      <c r="J143" s="125" t="n"/>
    </row>
    <row r="144" ht="15" customHeight="1" s="66">
      <c r="A144" s="124" t="n"/>
      <c r="B144" s="125" t="n"/>
      <c r="C144" s="125" t="n"/>
      <c r="D144" s="125" t="n"/>
      <c r="E144" s="125" t="n"/>
      <c r="F144" s="125" t="n"/>
      <c r="G144" s="125" t="n"/>
      <c r="H144" s="125" t="n"/>
      <c r="I144" s="125" t="n"/>
      <c r="J144" s="125" t="n"/>
    </row>
    <row r="145" ht="15" customHeight="1" s="66">
      <c r="A145" s="124" t="n"/>
      <c r="B145" s="125" t="n"/>
      <c r="C145" s="125" t="n"/>
      <c r="D145" s="125" t="n"/>
      <c r="E145" s="125" t="n"/>
      <c r="F145" s="125" t="n"/>
      <c r="G145" s="125" t="n"/>
      <c r="H145" s="125" t="n"/>
      <c r="I145" s="125" t="n"/>
      <c r="J145" s="125" t="n"/>
    </row>
    <row r="146" ht="15" customHeight="1" s="66">
      <c r="A146" s="124" t="n"/>
      <c r="B146" s="125" t="n"/>
      <c r="C146" s="125" t="n"/>
      <c r="D146" s="125" t="n"/>
      <c r="E146" s="125" t="n"/>
      <c r="F146" s="125" t="n"/>
      <c r="G146" s="125" t="n"/>
      <c r="H146" s="125" t="n"/>
      <c r="I146" s="125" t="n"/>
      <c r="J146" s="125" t="n"/>
    </row>
    <row r="147" ht="15" customHeight="1" s="66">
      <c r="A147" s="124" t="n"/>
      <c r="B147" s="125" t="n"/>
      <c r="C147" s="125" t="n"/>
      <c r="D147" s="125" t="n"/>
      <c r="E147" s="125" t="n"/>
      <c r="F147" s="125" t="n"/>
      <c r="G147" s="125" t="n"/>
      <c r="H147" s="125" t="n"/>
      <c r="I147" s="125" t="n"/>
      <c r="J147" s="125" t="n"/>
    </row>
    <row r="148" ht="15" customHeight="1" s="66">
      <c r="A148" s="124" t="n"/>
      <c r="B148" s="125" t="n"/>
      <c r="C148" s="125" t="n"/>
      <c r="D148" s="125" t="n"/>
      <c r="E148" s="125" t="n"/>
      <c r="F148" s="125" t="n"/>
      <c r="G148" s="125" t="n"/>
      <c r="H148" s="125" t="n"/>
      <c r="I148" s="125" t="n"/>
      <c r="J148" s="125" t="n"/>
    </row>
    <row r="149" ht="15" customHeight="1" s="66">
      <c r="A149" s="124" t="n"/>
      <c r="B149" s="125" t="n"/>
      <c r="C149" s="125" t="n"/>
      <c r="D149" s="125" t="n"/>
      <c r="E149" s="125" t="n"/>
      <c r="F149" s="125" t="n"/>
      <c r="G149" s="125" t="n"/>
      <c r="H149" s="125" t="n"/>
      <c r="I149" s="125" t="n"/>
      <c r="J149" s="125" t="n"/>
    </row>
    <row r="150" ht="15" customHeight="1" s="66">
      <c r="A150" s="124" t="n"/>
      <c r="B150" s="125" t="n"/>
      <c r="C150" s="125" t="n"/>
      <c r="D150" s="125" t="n"/>
      <c r="E150" s="125" t="n"/>
      <c r="F150" s="125" t="n"/>
      <c r="G150" s="125" t="n"/>
      <c r="H150" s="125" t="n"/>
      <c r="I150" s="125" t="n"/>
      <c r="J150" s="125" t="n"/>
    </row>
    <row r="151" ht="15" customHeight="1" s="66">
      <c r="A151" s="124" t="n"/>
      <c r="B151" s="125" t="n"/>
      <c r="C151" s="125" t="n"/>
      <c r="D151" s="125" t="n"/>
      <c r="E151" s="125" t="n"/>
      <c r="F151" s="125" t="n"/>
      <c r="G151" s="125" t="n"/>
      <c r="H151" s="125" t="n"/>
      <c r="I151" s="125" t="n"/>
      <c r="J151" s="125" t="n"/>
    </row>
    <row r="152" ht="15" customHeight="1" s="66">
      <c r="A152" s="124" t="n"/>
      <c r="B152" s="125" t="n"/>
      <c r="C152" s="125" t="n"/>
      <c r="D152" s="125" t="n"/>
      <c r="E152" s="125" t="n"/>
      <c r="F152" s="125" t="n"/>
      <c r="G152" s="125" t="n"/>
      <c r="H152" s="125" t="n"/>
      <c r="I152" s="125" t="n"/>
      <c r="J152" s="125" t="n"/>
    </row>
    <row r="153" ht="15" customHeight="1" s="66">
      <c r="A153" s="124" t="n"/>
      <c r="B153" s="125" t="n"/>
      <c r="C153" s="125" t="n"/>
      <c r="D153" s="125" t="n"/>
      <c r="E153" s="125" t="n"/>
      <c r="F153" s="125" t="n"/>
      <c r="G153" s="125" t="n"/>
      <c r="H153" s="125" t="n"/>
      <c r="I153" s="125" t="n"/>
      <c r="J153" s="125" t="n"/>
    </row>
    <row r="154" ht="15" customHeight="1" s="66">
      <c r="A154" s="124" t="n"/>
      <c r="B154" s="125" t="n"/>
      <c r="C154" s="125" t="n"/>
      <c r="D154" s="125" t="n"/>
      <c r="E154" s="125" t="n"/>
      <c r="F154" s="125" t="n"/>
      <c r="G154" s="125" t="n"/>
      <c r="H154" s="125" t="n"/>
      <c r="I154" s="125" t="n"/>
      <c r="J154" s="125" t="n"/>
    </row>
    <row r="155" ht="15" customHeight="1" s="66">
      <c r="A155" s="124" t="n"/>
      <c r="B155" s="125" t="n"/>
      <c r="C155" s="125" t="n"/>
      <c r="D155" s="125" t="n"/>
      <c r="E155" s="125" t="n"/>
      <c r="F155" s="125" t="n"/>
      <c r="G155" s="125" t="n"/>
      <c r="H155" s="125" t="n"/>
      <c r="I155" s="125" t="n"/>
      <c r="J155" s="125" t="n"/>
    </row>
    <row r="156" ht="15" customHeight="1" s="66">
      <c r="A156" s="124" t="n"/>
      <c r="B156" s="125" t="n"/>
      <c r="C156" s="125" t="n"/>
      <c r="D156" s="125" t="n"/>
      <c r="E156" s="125" t="n"/>
      <c r="F156" s="125" t="n"/>
      <c r="G156" s="125" t="n"/>
      <c r="H156" s="125" t="n"/>
      <c r="I156" s="125" t="n"/>
      <c r="J156" s="125" t="n"/>
    </row>
    <row r="157" ht="15" customHeight="1" s="66">
      <c r="A157" s="124" t="n"/>
      <c r="B157" s="125" t="n"/>
      <c r="C157" s="125" t="n"/>
      <c r="D157" s="125" t="n"/>
      <c r="E157" s="125" t="n"/>
      <c r="F157" s="125" t="n"/>
      <c r="G157" s="125" t="n"/>
      <c r="H157" s="125" t="n"/>
      <c r="I157" s="125" t="n"/>
      <c r="J157" s="125" t="n"/>
    </row>
    <row r="158" ht="15" customHeight="1" s="66">
      <c r="A158" s="124" t="n"/>
      <c r="B158" s="125" t="n"/>
      <c r="C158" s="125" t="n"/>
      <c r="D158" s="125" t="n"/>
      <c r="E158" s="125" t="n"/>
      <c r="F158" s="125" t="n"/>
      <c r="G158" s="125" t="n"/>
      <c r="H158" s="125" t="n"/>
      <c r="I158" s="125" t="n"/>
      <c r="J158" s="125" t="n"/>
    </row>
    <row r="159" ht="15" customHeight="1" s="66">
      <c r="A159" s="124" t="n"/>
      <c r="B159" s="125" t="n"/>
      <c r="C159" s="125" t="n"/>
      <c r="D159" s="125" t="n"/>
      <c r="E159" s="125" t="n"/>
      <c r="F159" s="125" t="n"/>
      <c r="G159" s="125" t="n"/>
      <c r="H159" s="125" t="n"/>
      <c r="I159" s="125" t="n"/>
      <c r="J159" s="125" t="n"/>
    </row>
    <row r="160" ht="15" customHeight="1" s="66">
      <c r="A160" s="124" t="n"/>
      <c r="B160" s="125" t="n"/>
      <c r="C160" s="125" t="n"/>
      <c r="D160" s="125" t="n"/>
      <c r="E160" s="125" t="n"/>
      <c r="F160" s="125" t="n"/>
      <c r="G160" s="125" t="n"/>
      <c r="H160" s="125" t="n"/>
      <c r="I160" s="125" t="n"/>
      <c r="J160" s="125" t="n"/>
    </row>
    <row r="161" ht="15" customHeight="1" s="66">
      <c r="A161" s="124" t="n"/>
      <c r="B161" s="125" t="n"/>
      <c r="C161" s="125" t="n"/>
      <c r="D161" s="125" t="n"/>
      <c r="E161" s="125" t="n"/>
      <c r="F161" s="125" t="n"/>
      <c r="G161" s="125" t="n"/>
      <c r="H161" s="125" t="n"/>
      <c r="I161" s="125" t="n"/>
      <c r="J161" s="125" t="n"/>
    </row>
    <row r="162" ht="15" customHeight="1" s="66">
      <c r="A162" s="124" t="n"/>
      <c r="B162" s="125" t="n"/>
      <c r="C162" s="125" t="n"/>
      <c r="D162" s="125" t="n"/>
      <c r="E162" s="125" t="n"/>
      <c r="F162" s="125" t="n"/>
      <c r="G162" s="125" t="n"/>
      <c r="H162" s="125" t="n"/>
      <c r="I162" s="125" t="n"/>
      <c r="J162" s="125" t="n"/>
    </row>
    <row r="163" ht="15" customHeight="1" s="66">
      <c r="A163" s="124" t="n"/>
      <c r="B163" s="125" t="n"/>
      <c r="C163" s="125" t="n"/>
      <c r="D163" s="125" t="n"/>
      <c r="E163" s="125" t="n"/>
      <c r="F163" s="125" t="n"/>
      <c r="G163" s="125" t="n"/>
      <c r="H163" s="125" t="n"/>
      <c r="I163" s="125" t="n"/>
      <c r="J163" s="125" t="n"/>
    </row>
    <row r="164" ht="15" customHeight="1" s="66">
      <c r="A164" s="124" t="n"/>
      <c r="B164" s="125" t="n"/>
      <c r="C164" s="125" t="n"/>
      <c r="D164" s="125" t="n"/>
      <c r="E164" s="125" t="n"/>
      <c r="F164" s="125" t="n"/>
      <c r="G164" s="125" t="n"/>
      <c r="H164" s="125" t="n"/>
      <c r="I164" s="125" t="n"/>
      <c r="J164" s="125" t="n"/>
    </row>
    <row r="165" ht="15" customHeight="1" s="66">
      <c r="A165" s="124" t="n"/>
      <c r="B165" s="125" t="n"/>
      <c r="C165" s="125" t="n"/>
      <c r="D165" s="125" t="n"/>
      <c r="E165" s="125" t="n"/>
      <c r="F165" s="125" t="n"/>
      <c r="G165" s="125" t="n"/>
      <c r="H165" s="125" t="n"/>
      <c r="I165" s="125" t="n"/>
      <c r="J165" s="125" t="n"/>
    </row>
    <row r="166" ht="15" customHeight="1" s="66">
      <c r="A166" s="124" t="n"/>
      <c r="B166" s="125" t="n"/>
      <c r="C166" s="125" t="n"/>
      <c r="D166" s="125" t="n"/>
      <c r="E166" s="125" t="n"/>
      <c r="F166" s="125" t="n"/>
      <c r="G166" s="125" t="n"/>
      <c r="H166" s="125" t="n"/>
      <c r="I166" s="125" t="n"/>
      <c r="J166" s="125" t="n"/>
    </row>
    <row r="167" ht="15" customHeight="1" s="66">
      <c r="A167" s="124" t="n"/>
      <c r="B167" s="125" t="n"/>
      <c r="C167" s="125" t="n"/>
      <c r="D167" s="125" t="n"/>
      <c r="E167" s="125" t="n"/>
      <c r="F167" s="125" t="n"/>
      <c r="G167" s="125" t="n"/>
      <c r="H167" s="125" t="n"/>
      <c r="I167" s="125" t="n"/>
      <c r="J167" s="125" t="n"/>
    </row>
    <row r="168" ht="15" customHeight="1" s="66">
      <c r="A168" s="124" t="n"/>
      <c r="B168" s="125" t="n"/>
      <c r="C168" s="125" t="n"/>
      <c r="D168" s="125" t="n"/>
      <c r="E168" s="125" t="n"/>
      <c r="F168" s="125" t="n"/>
      <c r="G168" s="125" t="n"/>
      <c r="H168" s="125" t="n"/>
      <c r="I168" s="125" t="n"/>
      <c r="J168" s="125" t="n"/>
    </row>
    <row r="169" ht="15" customHeight="1" s="66">
      <c r="A169" s="124" t="n"/>
      <c r="B169" s="125" t="n"/>
      <c r="C169" s="125" t="n"/>
      <c r="D169" s="125" t="n"/>
      <c r="E169" s="125" t="n"/>
      <c r="F169" s="125" t="n"/>
      <c r="G169" s="125" t="n"/>
      <c r="H169" s="125" t="n"/>
      <c r="I169" s="125" t="n"/>
      <c r="J169" s="125" t="n"/>
    </row>
    <row r="170" ht="15" customHeight="1" s="66">
      <c r="A170" s="124" t="n"/>
      <c r="B170" s="125" t="n"/>
      <c r="C170" s="125" t="n"/>
      <c r="D170" s="125" t="n"/>
      <c r="E170" s="125" t="n"/>
      <c r="F170" s="125" t="n"/>
      <c r="G170" s="125" t="n"/>
      <c r="H170" s="125" t="n"/>
      <c r="I170" s="125" t="n"/>
      <c r="J170" s="125" t="n"/>
    </row>
    <row r="171" ht="15" customHeight="1" s="66">
      <c r="A171" s="124" t="n"/>
      <c r="B171" s="125" t="n"/>
      <c r="C171" s="125" t="n"/>
      <c r="D171" s="125" t="n"/>
      <c r="E171" s="125" t="n"/>
      <c r="F171" s="125" t="n"/>
      <c r="G171" s="125" t="n"/>
      <c r="H171" s="125" t="n"/>
      <c r="I171" s="125" t="n"/>
      <c r="J171" s="125" t="n"/>
    </row>
    <row r="172" ht="15" customHeight="1" s="66">
      <c r="A172" s="124" t="n"/>
      <c r="B172" s="125" t="n"/>
      <c r="C172" s="125" t="n"/>
      <c r="D172" s="125" t="n"/>
      <c r="E172" s="125" t="n"/>
      <c r="F172" s="125" t="n"/>
      <c r="G172" s="125" t="n"/>
      <c r="H172" s="125" t="n"/>
      <c r="I172" s="125" t="n"/>
      <c r="J172" s="125" t="n"/>
    </row>
    <row r="173" ht="15" customHeight="1" s="66">
      <c r="A173" s="124" t="n"/>
      <c r="B173" s="125" t="n"/>
      <c r="C173" s="125" t="n"/>
      <c r="D173" s="125" t="n"/>
      <c r="E173" s="125" t="n"/>
      <c r="F173" s="125" t="n"/>
      <c r="G173" s="125" t="n"/>
      <c r="H173" s="125" t="n"/>
      <c r="I173" s="125" t="n"/>
      <c r="J173" s="125" t="n"/>
    </row>
    <row r="174" ht="15" customHeight="1" s="66">
      <c r="A174" s="124" t="n"/>
      <c r="B174" s="125" t="n"/>
      <c r="C174" s="125" t="n"/>
      <c r="D174" s="125" t="n"/>
      <c r="E174" s="125" t="n"/>
      <c r="F174" s="125" t="n"/>
      <c r="G174" s="125" t="n"/>
      <c r="H174" s="125" t="n"/>
      <c r="I174" s="125" t="n"/>
      <c r="J174" s="125" t="n"/>
    </row>
    <row r="175" ht="15" customHeight="1" s="66">
      <c r="A175" s="124" t="n"/>
      <c r="B175" s="125" t="n"/>
      <c r="C175" s="125" t="n"/>
      <c r="D175" s="125" t="n"/>
      <c r="E175" s="125" t="n"/>
      <c r="F175" s="125" t="n"/>
      <c r="G175" s="125" t="n"/>
      <c r="H175" s="125" t="n"/>
      <c r="I175" s="125" t="n"/>
      <c r="J175" s="125" t="n"/>
    </row>
    <row r="176" ht="15" customHeight="1" s="66">
      <c r="A176" s="124" t="n"/>
      <c r="B176" s="125" t="n"/>
      <c r="C176" s="125" t="n"/>
      <c r="D176" s="125" t="n"/>
      <c r="E176" s="125" t="n"/>
      <c r="F176" s="125" t="n"/>
      <c r="G176" s="125" t="n"/>
      <c r="H176" s="125" t="n"/>
      <c r="I176" s="125" t="n"/>
      <c r="J176" s="125" t="n"/>
    </row>
    <row r="177" ht="15" customHeight="1" s="66">
      <c r="A177" s="124" t="n"/>
      <c r="B177" s="125" t="n"/>
      <c r="C177" s="125" t="n"/>
      <c r="D177" s="125" t="n"/>
      <c r="E177" s="125" t="n"/>
      <c r="F177" s="125" t="n"/>
      <c r="G177" s="125" t="n"/>
      <c r="H177" s="125" t="n"/>
      <c r="I177" s="125" t="n"/>
      <c r="J177" s="125" t="n"/>
    </row>
    <row r="178" ht="15" customHeight="1" s="66">
      <c r="A178" s="124" t="n"/>
      <c r="B178" s="125" t="n"/>
      <c r="C178" s="125" t="n"/>
      <c r="D178" s="125" t="n"/>
      <c r="E178" s="125" t="n"/>
      <c r="F178" s="125" t="n"/>
      <c r="G178" s="125" t="n"/>
      <c r="H178" s="125" t="n"/>
      <c r="I178" s="125" t="n"/>
      <c r="J178" s="125" t="n"/>
    </row>
    <row r="179" ht="15" customHeight="1" s="66">
      <c r="A179" s="124" t="n"/>
      <c r="B179" s="125" t="n"/>
      <c r="C179" s="125" t="n"/>
      <c r="D179" s="125" t="n"/>
      <c r="E179" s="125" t="n"/>
      <c r="F179" s="125" t="n"/>
      <c r="G179" s="125" t="n"/>
      <c r="H179" s="125" t="n"/>
      <c r="I179" s="125" t="n"/>
      <c r="J179" s="125" t="n"/>
    </row>
    <row r="180" ht="15" customHeight="1" s="66">
      <c r="A180" s="124" t="n"/>
      <c r="B180" s="125" t="n"/>
      <c r="C180" s="125" t="n"/>
      <c r="D180" s="125" t="n"/>
      <c r="E180" s="125" t="n"/>
      <c r="F180" s="125" t="n"/>
      <c r="G180" s="125" t="n"/>
      <c r="H180" s="125" t="n"/>
      <c r="I180" s="125" t="n"/>
      <c r="J180" s="125" t="n"/>
    </row>
    <row r="181" ht="15" customHeight="1" s="66">
      <c r="A181" s="124" t="n"/>
      <c r="B181" s="125" t="n"/>
      <c r="C181" s="125" t="n"/>
      <c r="D181" s="125" t="n"/>
      <c r="E181" s="125" t="n"/>
      <c r="F181" s="125" t="n"/>
      <c r="G181" s="125" t="n"/>
      <c r="H181" s="125" t="n"/>
      <c r="I181" s="125" t="n"/>
      <c r="J181" s="125" t="n"/>
    </row>
    <row r="182" ht="15" customHeight="1" s="66">
      <c r="A182" s="124" t="n"/>
      <c r="B182" s="125" t="n"/>
      <c r="C182" s="125" t="n"/>
      <c r="D182" s="125" t="n"/>
      <c r="E182" s="125" t="n"/>
      <c r="F182" s="125" t="n"/>
      <c r="G182" s="125" t="n"/>
      <c r="H182" s="125" t="n"/>
      <c r="I182" s="125" t="n"/>
      <c r="J182" s="125" t="n"/>
    </row>
    <row r="183" ht="15" customHeight="1" s="66">
      <c r="A183" s="124" t="n"/>
      <c r="B183" s="125" t="n"/>
      <c r="C183" s="125" t="n"/>
      <c r="D183" s="125" t="n"/>
      <c r="E183" s="125" t="n"/>
      <c r="F183" s="125" t="n"/>
      <c r="G183" s="125" t="n"/>
      <c r="H183" s="125" t="n"/>
      <c r="I183" s="125" t="n"/>
      <c r="J183" s="125" t="n"/>
    </row>
    <row r="184" ht="15" customHeight="1" s="66">
      <c r="A184" s="124" t="n"/>
      <c r="B184" s="125" t="n"/>
      <c r="C184" s="125" t="n"/>
      <c r="D184" s="125" t="n"/>
      <c r="E184" s="125" t="n"/>
      <c r="F184" s="125" t="n"/>
      <c r="G184" s="125" t="n"/>
      <c r="H184" s="125" t="n"/>
      <c r="I184" s="125" t="n"/>
      <c r="J184" s="125" t="n"/>
    </row>
    <row r="185" ht="15" customHeight="1" s="66">
      <c r="A185" s="124" t="n"/>
      <c r="B185" s="125" t="n"/>
      <c r="C185" s="125" t="n"/>
      <c r="D185" s="125" t="n"/>
      <c r="E185" s="125" t="n"/>
      <c r="F185" s="125" t="n"/>
      <c r="G185" s="125" t="n"/>
      <c r="H185" s="125" t="n"/>
      <c r="I185" s="125" t="n"/>
      <c r="J185" s="125" t="n"/>
    </row>
    <row r="186" ht="15" customHeight="1" s="66">
      <c r="A186" s="124" t="n"/>
      <c r="B186" s="125" t="n"/>
      <c r="C186" s="125" t="n"/>
      <c r="D186" s="125" t="n"/>
      <c r="E186" s="125" t="n"/>
      <c r="F186" s="125" t="n"/>
      <c r="G186" s="125" t="n"/>
      <c r="H186" s="125" t="n"/>
      <c r="I186" s="125" t="n"/>
      <c r="J186" s="125" t="n"/>
    </row>
    <row r="187" ht="15" customHeight="1" s="66">
      <c r="A187" s="124" t="n"/>
      <c r="B187" s="125" t="n"/>
      <c r="C187" s="125" t="n"/>
      <c r="D187" s="125" t="n"/>
      <c r="E187" s="125" t="n"/>
      <c r="F187" s="125" t="n"/>
      <c r="G187" s="125" t="n"/>
      <c r="H187" s="125" t="n"/>
      <c r="I187" s="125" t="n"/>
      <c r="J187" s="125" t="n"/>
    </row>
    <row r="188" ht="15" customHeight="1" s="66">
      <c r="A188" s="124" t="n"/>
      <c r="B188" s="125" t="n"/>
      <c r="C188" s="125" t="n"/>
      <c r="D188" s="125" t="n"/>
      <c r="E188" s="125" t="n"/>
      <c r="F188" s="125" t="n"/>
      <c r="G188" s="125" t="n"/>
      <c r="H188" s="125" t="n"/>
      <c r="I188" s="125" t="n"/>
      <c r="J188" s="125" t="n"/>
    </row>
    <row r="189" ht="15" customHeight="1" s="66">
      <c r="A189" s="124" t="n"/>
      <c r="B189" s="125" t="n"/>
      <c r="C189" s="125" t="n"/>
      <c r="D189" s="125" t="n"/>
      <c r="E189" s="125" t="n"/>
      <c r="F189" s="125" t="n"/>
      <c r="G189" s="125" t="n"/>
      <c r="H189" s="125" t="n"/>
      <c r="I189" s="125" t="n"/>
      <c r="J189" s="125" t="n"/>
    </row>
    <row r="190" ht="15" customHeight="1" s="66">
      <c r="A190" s="124" t="n"/>
      <c r="B190" s="125" t="n"/>
      <c r="C190" s="125" t="n"/>
      <c r="D190" s="125" t="n"/>
      <c r="E190" s="125" t="n"/>
      <c r="F190" s="125" t="n"/>
      <c r="G190" s="125" t="n"/>
      <c r="H190" s="125" t="n"/>
      <c r="I190" s="125" t="n"/>
      <c r="J190" s="125" t="n"/>
    </row>
    <row r="191" ht="15" customHeight="1" s="66">
      <c r="A191" s="124" t="n"/>
      <c r="B191" s="125" t="n"/>
      <c r="C191" s="125" t="n"/>
      <c r="D191" s="125" t="n"/>
      <c r="E191" s="125" t="n"/>
      <c r="F191" s="125" t="n"/>
      <c r="G191" s="125" t="n"/>
      <c r="H191" s="125" t="n"/>
      <c r="I191" s="125" t="n"/>
      <c r="J191" s="125" t="n"/>
    </row>
    <row r="192" ht="15" customHeight="1" s="66">
      <c r="A192" s="124" t="n"/>
      <c r="B192" s="125" t="n"/>
      <c r="C192" s="125" t="n"/>
      <c r="D192" s="125" t="n"/>
      <c r="E192" s="125" t="n"/>
      <c r="F192" s="125" t="n"/>
      <c r="G192" s="125" t="n"/>
      <c r="H192" s="125" t="n"/>
      <c r="I192" s="125" t="n"/>
      <c r="J192" s="125" t="n"/>
    </row>
    <row r="193" ht="15" customHeight="1" s="66">
      <c r="A193" s="124" t="n"/>
      <c r="B193" s="125" t="n"/>
      <c r="C193" s="125" t="n"/>
      <c r="D193" s="125" t="n"/>
      <c r="E193" s="125" t="n"/>
      <c r="F193" s="125" t="n"/>
      <c r="G193" s="125" t="n"/>
      <c r="H193" s="125" t="n"/>
      <c r="I193" s="125" t="n"/>
      <c r="J193" s="125" t="n"/>
    </row>
    <row r="194" ht="15" customHeight="1" s="66">
      <c r="A194" s="124" t="n"/>
      <c r="B194" s="125" t="n"/>
      <c r="C194" s="125" t="n"/>
      <c r="D194" s="125" t="n"/>
      <c r="E194" s="125" t="n"/>
      <c r="F194" s="125" t="n"/>
      <c r="G194" s="125" t="n"/>
      <c r="H194" s="125" t="n"/>
      <c r="I194" s="125" t="n"/>
      <c r="J194" s="125" t="n"/>
    </row>
    <row r="195" ht="15" customHeight="1" s="66">
      <c r="A195" s="124" t="n"/>
      <c r="B195" s="125" t="n"/>
      <c r="C195" s="125" t="n"/>
      <c r="D195" s="125" t="n"/>
      <c r="E195" s="125" t="n"/>
      <c r="F195" s="125" t="n"/>
      <c r="G195" s="125" t="n"/>
      <c r="H195" s="125" t="n"/>
      <c r="I195" s="125" t="n"/>
      <c r="J195" s="125" t="n"/>
    </row>
    <row r="196" ht="15" customHeight="1" s="66">
      <c r="A196" s="124" t="n"/>
      <c r="B196" s="125" t="n"/>
      <c r="C196" s="125" t="n"/>
      <c r="D196" s="125" t="n"/>
      <c r="E196" s="125" t="n"/>
      <c r="F196" s="125" t="n"/>
      <c r="G196" s="125" t="n"/>
      <c r="H196" s="125" t="n"/>
      <c r="I196" s="125" t="n"/>
      <c r="J196" s="125" t="n"/>
    </row>
    <row r="197" ht="15" customHeight="1" s="66">
      <c r="A197" s="124" t="n"/>
      <c r="B197" s="125" t="n"/>
      <c r="C197" s="125" t="n"/>
      <c r="D197" s="125" t="n"/>
      <c r="E197" s="125" t="n"/>
      <c r="F197" s="125" t="n"/>
      <c r="G197" s="125" t="n"/>
      <c r="H197" s="125" t="n"/>
      <c r="I197" s="125" t="n"/>
      <c r="J197" s="125" t="n"/>
    </row>
    <row r="198" ht="15" customHeight="1" s="66">
      <c r="A198" s="124" t="n"/>
      <c r="B198" s="125" t="n"/>
      <c r="C198" s="125" t="n"/>
      <c r="D198" s="125" t="n"/>
      <c r="E198" s="125" t="n"/>
      <c r="F198" s="125" t="n"/>
      <c r="G198" s="125" t="n"/>
      <c r="H198" s="125" t="n"/>
      <c r="I198" s="125" t="n"/>
      <c r="J198" s="125" t="n"/>
    </row>
    <row r="199" ht="15" customHeight="1" s="66">
      <c r="A199" s="124" t="n"/>
      <c r="B199" s="125" t="n"/>
      <c r="C199" s="125" t="n"/>
      <c r="D199" s="125" t="n"/>
      <c r="E199" s="125" t="n"/>
      <c r="F199" s="125" t="n"/>
      <c r="G199" s="125" t="n"/>
      <c r="H199" s="125" t="n"/>
      <c r="I199" s="125" t="n"/>
      <c r="J199" s="125" t="n"/>
    </row>
    <row r="200" ht="15" customHeight="1" s="66">
      <c r="A200" s="124" t="n"/>
      <c r="B200" s="125" t="n"/>
      <c r="C200" s="125" t="n"/>
      <c r="D200" s="125" t="n"/>
      <c r="E200" s="125" t="n"/>
      <c r="F200" s="125" t="n"/>
      <c r="G200" s="125" t="n"/>
      <c r="H200" s="125" t="n"/>
      <c r="I200" s="125" t="n"/>
      <c r="J200" s="125" t="n"/>
    </row>
    <row r="201" ht="15" customHeight="1" s="66">
      <c r="A201" s="124" t="n"/>
      <c r="B201" s="125" t="n"/>
      <c r="C201" s="125" t="n"/>
      <c r="D201" s="125" t="n"/>
      <c r="E201" s="125" t="n"/>
      <c r="F201" s="125" t="n"/>
      <c r="G201" s="125" t="n"/>
      <c r="H201" s="125" t="n"/>
      <c r="I201" s="125" t="n"/>
      <c r="J201" s="125" t="n"/>
    </row>
    <row r="202" ht="15" customHeight="1" s="66">
      <c r="A202" s="124" t="n"/>
      <c r="B202" s="125" t="n"/>
      <c r="C202" s="125" t="n"/>
      <c r="D202" s="125" t="n"/>
      <c r="E202" s="125" t="n"/>
      <c r="F202" s="125" t="n"/>
      <c r="G202" s="125" t="n"/>
      <c r="H202" s="125" t="n"/>
      <c r="I202" s="125" t="n"/>
      <c r="J202" s="125" t="n"/>
    </row>
    <row r="203" ht="15" customHeight="1" s="66">
      <c r="A203" s="124" t="n"/>
      <c r="B203" s="125" t="n"/>
      <c r="C203" s="125" t="n"/>
      <c r="D203" s="125" t="n"/>
      <c r="E203" s="125" t="n"/>
      <c r="F203" s="125" t="n"/>
      <c r="G203" s="125" t="n"/>
      <c r="H203" s="125" t="n"/>
      <c r="I203" s="125" t="n"/>
      <c r="J203" s="125" t="n"/>
    </row>
    <row r="204" ht="15" customHeight="1" s="66">
      <c r="A204" s="124" t="n"/>
      <c r="B204" s="125" t="n"/>
      <c r="C204" s="125" t="n"/>
      <c r="D204" s="125" t="n"/>
      <c r="E204" s="125" t="n"/>
      <c r="F204" s="125" t="n"/>
      <c r="G204" s="125" t="n"/>
      <c r="H204" s="125" t="n"/>
      <c r="I204" s="125" t="n"/>
      <c r="J204" s="125" t="n"/>
    </row>
    <row r="205" ht="15" customHeight="1" s="66">
      <c r="A205" s="124" t="n"/>
      <c r="B205" s="125" t="n"/>
      <c r="C205" s="125" t="n"/>
      <c r="D205" s="125" t="n"/>
      <c r="E205" s="125" t="n"/>
      <c r="F205" s="125" t="n"/>
      <c r="G205" s="125" t="n"/>
      <c r="H205" s="125" t="n"/>
      <c r="I205" s="125" t="n"/>
      <c r="J205" s="125" t="n"/>
    </row>
  </sheetData>
  <mergeCells count="2">
    <mergeCell ref="A1:J2"/>
    <mergeCell ref="A3:J3"/>
  </mergeCells>
  <dataValidations count="3">
    <dataValidation sqref="C6:C206" showDropDown="0" showInputMessage="0" showErrorMessage="0" allowBlank="1" type="list" errorStyle="stop" operator="between">
      <formula1>"02_EOI_CLIENT,03_EOI_FREELANCER,04_EOI_BUSINESS,05_EOI_VOLUNTEER,06_EOI_ACADEMY,07_EOI_HUB,08_REG_CLIENT_FULL,09_REG_TALENT_FULL,10_REG_VOLUNTEER_FULL,11_HUB_BOOKING,12_ACADEMY_ENROLL"</formula1>
      <formula2>0</formula2>
    </dataValidation>
    <dataValidation sqref="D6:D206" showDropDown="0" showInputMessage="0" showErrorMessage="0" allowBlank="1" type="list" errorStyle="stop" operator="between">
      <formula1>Channels</formula1>
      <formula2>0</formula2>
    </dataValidation>
    <dataValidation sqref="I6:I206" showDropDown="0" showInputMessage="0" showErrorMessage="0" allowBlank="1" type="list" errorStyle="stop" operator="between">
      <formula1>EOIStatus</formula1>
      <formula2>0</formula2>
    </dataValidation>
  </dataValidations>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1"/>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65" min="1" max="1"/>
    <col width="26" customWidth="1" style="65" min="2" max="2"/>
    <col width="14" customWidth="1" style="65" min="3" max="7"/>
    <col width="20" customWidth="1" style="65" min="8" max="8"/>
  </cols>
  <sheetData>
    <row r="1" ht="15" customHeight="1" s="66">
      <c r="A1" s="83" t="inlineStr">
        <is>
          <t>PRE-LAUNCH KPI DASHBOARD / لوحة مؤشرات الإطلاق</t>
        </is>
      </c>
    </row>
    <row r="2" ht="15" customHeight="1" s="66"/>
    <row r="3" ht="15" customHeight="1" s="66">
      <c r="A3" s="68" t="inlineStr">
        <is>
          <t>Dashboard auto-updates from 16_AUDIT_LOG. Refresh weekly. Targets below reflect the 25 Apr → 31 May 2026 window (Tech OS v8.0 §5).</t>
        </is>
      </c>
    </row>
    <row r="4"/>
    <row r="5" ht="31.5" customHeight="1" s="66">
      <c r="A5" s="70" t="inlineStr">
        <is>
          <t>#</t>
        </is>
      </c>
      <c r="B5" s="70" t="inlineStr">
        <is>
          <t>KPI</t>
        </is>
      </c>
      <c r="C5" s="70" t="inlineStr">
        <is>
          <t>Target</t>
        </is>
      </c>
      <c r="D5" s="70" t="inlineStr">
        <is>
          <t>Actual</t>
        </is>
      </c>
      <c r="E5" s="70" t="inlineStr">
        <is>
          <t>Gap</t>
        </is>
      </c>
      <c r="F5" s="70" t="inlineStr">
        <is>
          <t>% complete</t>
        </is>
      </c>
      <c r="G5" s="70" t="inlineStr">
        <is>
          <t>Status</t>
        </is>
      </c>
      <c r="H5" s="70" t="inlineStr">
        <is>
          <t>Owner</t>
        </is>
      </c>
    </row>
    <row r="6" ht="21.75" customHeight="1" s="66">
      <c r="A6" s="126" t="n">
        <v>1</v>
      </c>
      <c r="B6" s="127" t="inlineStr">
        <is>
          <t>Client EOIs received</t>
        </is>
      </c>
      <c r="C6" s="128" t="n">
        <v>30</v>
      </c>
      <c r="D6" s="129">
        <f>COUNTIF(16_AUDIT_LOG!C:C,"02_EOI_CLIENT")</f>
        <v/>
      </c>
      <c r="E6" s="130">
        <f>MAX(0,C6-D6)</f>
        <v/>
      </c>
      <c r="F6" s="131">
        <f>IFERROR(D6/C6,0)</f>
        <v/>
      </c>
      <c r="G6" s="130">
        <f>IF(F6&gt;=1,"✦ Met",IF(F6&gt;=0.7,"On track",IF(F6&gt;=0.3,"Behind","At risk")))</f>
        <v/>
      </c>
      <c r="H6" s="124" t="inlineStr">
        <is>
          <t>Maher / Sales</t>
        </is>
      </c>
    </row>
    <row r="7" ht="21.75" customHeight="1" s="66">
      <c r="A7" s="126" t="n">
        <v>2</v>
      </c>
      <c r="B7" s="127" t="inlineStr">
        <is>
          <t>Talent EOIs received</t>
        </is>
      </c>
      <c r="C7" s="128" t="n">
        <v>150</v>
      </c>
      <c r="D7" s="129">
        <f>COUNTIF(16_AUDIT_LOG!C:C,"03_EOI_FREELANCER")</f>
        <v/>
      </c>
      <c r="E7" s="130">
        <f>MAX(0,C7-D7)</f>
        <v/>
      </c>
      <c r="F7" s="131">
        <f>IFERROR(D7/C7,0)</f>
        <v/>
      </c>
      <c r="G7" s="130">
        <f>IF(F7&gt;=1,"✦ Met",IF(F7&gt;=0.7,"On track",IF(F7&gt;=0.3,"Behind","At risk")))</f>
        <v/>
      </c>
      <c r="H7" s="124" t="inlineStr">
        <is>
          <t>Talent Desk</t>
        </is>
      </c>
    </row>
    <row r="8" ht="21.75" customHeight="1" s="66">
      <c r="A8" s="126" t="n">
        <v>3</v>
      </c>
      <c r="B8" s="127" t="inlineStr">
        <is>
          <t>Business / partner EOIs</t>
        </is>
      </c>
      <c r="C8" s="128" t="n">
        <v>40</v>
      </c>
      <c r="D8" s="129">
        <f>COUNTIF(16_AUDIT_LOG!C:C,"04_EOI_BUSINESS")</f>
        <v/>
      </c>
      <c r="E8" s="130">
        <f>MAX(0,C8-D8)</f>
        <v/>
      </c>
      <c r="F8" s="131">
        <f>IFERROR(D8/C8,0)</f>
        <v/>
      </c>
      <c r="G8" s="130">
        <f>IF(F8&gt;=1,"✦ Met",IF(F8&gt;=0.7,"On track",IF(F8&gt;=0.3,"Behind","At risk")))</f>
        <v/>
      </c>
      <c r="H8" s="124" t="inlineStr">
        <is>
          <t>Maher</t>
        </is>
      </c>
    </row>
    <row r="9" ht="21.75" customHeight="1" s="66">
      <c r="A9" s="126" t="n">
        <v>4</v>
      </c>
      <c r="B9" s="127" t="inlineStr">
        <is>
          <t>Volunteer EOIs (Kayan for Yemen)</t>
        </is>
      </c>
      <c r="C9" s="128" t="n">
        <v>50</v>
      </c>
      <c r="D9" s="129">
        <f>COUNTIF(16_AUDIT_LOG!C:C,"05_EOI_VOLUNTEER")</f>
        <v/>
      </c>
      <c r="E9" s="130">
        <f>MAX(0,C9-D9)</f>
        <v/>
      </c>
      <c r="F9" s="131">
        <f>IFERROR(D9/C9,0)</f>
        <v/>
      </c>
      <c r="G9" s="130">
        <f>IF(F9&gt;=1,"✦ Met",IF(F9&gt;=0.7,"On track",IF(F9&gt;=0.3,"Behind","At risk")))</f>
        <v/>
      </c>
      <c r="H9" s="124" t="inlineStr">
        <is>
          <t>Kayan for Yemen Coordinator</t>
        </is>
      </c>
    </row>
    <row r="10" ht="21.75" customHeight="1" s="66">
      <c r="A10" s="126" t="n">
        <v>5</v>
      </c>
      <c r="B10" s="127" t="inlineStr">
        <is>
          <t>Kayan Forge learner EOIs</t>
        </is>
      </c>
      <c r="C10" s="128" t="n">
        <v>40</v>
      </c>
      <c r="D10" s="129">
        <f>COUNTIF(16_AUDIT_LOG!C:C,"06_EOI_ACADEMY")</f>
        <v/>
      </c>
      <c r="E10" s="130">
        <f>MAX(0,C10-D10)</f>
        <v/>
      </c>
      <c r="F10" s="131">
        <f>IFERROR(D10/C10,0)</f>
        <v/>
      </c>
      <c r="G10" s="130">
        <f>IF(F10&gt;=1,"✦ Met",IF(F10&gt;=0.7,"On track",IF(F10&gt;=0.3,"Behind","At risk")))</f>
        <v/>
      </c>
      <c r="H10" s="124" t="inlineStr">
        <is>
          <t>Kayan Forge Lead</t>
        </is>
      </c>
    </row>
    <row r="11" ht="21.75" customHeight="1" s="66">
      <c r="A11" s="126" t="n">
        <v>6</v>
      </c>
      <c r="B11" s="127" t="inlineStr">
        <is>
          <t>Hub enquiries</t>
        </is>
      </c>
      <c r="C11" s="128" t="n">
        <v>20</v>
      </c>
      <c r="D11" s="129">
        <f>COUNTIF(16_AUDIT_LOG!C:C,"07_EOI_HUB")</f>
        <v/>
      </c>
      <c r="E11" s="130">
        <f>MAX(0,C11-D11)</f>
        <v/>
      </c>
      <c r="F11" s="131">
        <f>IFERROR(D11/C11,0)</f>
        <v/>
      </c>
      <c r="G11" s="130">
        <f>IF(F11&gt;=1,"✦ Met",IF(F11&gt;=0.7,"On track",IF(F11&gt;=0.3,"Behind","At risk")))</f>
        <v/>
      </c>
      <c r="H11" s="124" t="inlineStr">
        <is>
          <t>Hub Lead</t>
        </is>
      </c>
    </row>
    <row r="12" ht="21.75" customHeight="1" s="66">
      <c r="A12" s="126" t="n">
        <v>7</v>
      </c>
      <c r="B12" s="127" t="inlineStr">
        <is>
          <t>T2 verified talent</t>
        </is>
      </c>
      <c r="C12" s="128" t="n">
        <v>50</v>
      </c>
      <c r="D12" s="129">
        <f>COUNTIF(16_AUDIT_LOG!C:C,"09_REG_TALENT_FULL")</f>
        <v/>
      </c>
      <c r="E12" s="130">
        <f>MAX(0,C12-D12)</f>
        <v/>
      </c>
      <c r="F12" s="131">
        <f>IFERROR(D12/C12,0)</f>
        <v/>
      </c>
      <c r="G12" s="130">
        <f>IF(F12&gt;=1,"✦ Met",IF(F12&gt;=0.7,"On track",IF(F12&gt;=0.3,"Behind","At risk")))</f>
        <v/>
      </c>
      <c r="H12" s="124" t="inlineStr">
        <is>
          <t>Talent Desk</t>
        </is>
      </c>
    </row>
    <row r="13" ht="21.75" customHeight="1" s="66">
      <c r="A13" s="126" t="n">
        <v>8</v>
      </c>
      <c r="B13" s="127" t="inlineStr">
        <is>
          <t>Full client registrations</t>
        </is>
      </c>
      <c r="C13" s="128" t="n">
        <v>10</v>
      </c>
      <c r="D13" s="129">
        <f>COUNTIF(16_AUDIT_LOG!C:C,"08_REG_CLIENT_FULL")</f>
        <v/>
      </c>
      <c r="E13" s="130">
        <f>MAX(0,C13-D13)</f>
        <v/>
      </c>
      <c r="F13" s="131">
        <f>IFERROR(D13/C13,0)</f>
        <v/>
      </c>
      <c r="G13" s="130">
        <f>IF(F13&gt;=1,"✦ Met",IF(F13&gt;=0.7,"On track",IF(F13&gt;=0.3,"Behind","At risk")))</f>
        <v/>
      </c>
      <c r="H13" s="124" t="inlineStr">
        <is>
          <t>Maher</t>
        </is>
      </c>
    </row>
    <row r="14" ht="21.75" customHeight="1" s="66">
      <c r="A14" s="126" t="n">
        <v>9</v>
      </c>
      <c r="B14" s="127" t="inlineStr">
        <is>
          <t>Hub anchor bookings</t>
        </is>
      </c>
      <c r="C14" s="128" t="n">
        <v>8</v>
      </c>
      <c r="D14" s="129">
        <f>COUNTIF(16_AUDIT_LOG!C:C,"11_HUB_BOOKING")</f>
        <v/>
      </c>
      <c r="E14" s="130">
        <f>MAX(0,C14-D14)</f>
        <v/>
      </c>
      <c r="F14" s="131">
        <f>IFERROR(D14/C14,0)</f>
        <v/>
      </c>
      <c r="G14" s="130">
        <f>IF(F14&gt;=1,"✦ Met",IF(F14&gt;=0.7,"On track",IF(F14&gt;=0.3,"Behind","At risk")))</f>
        <v/>
      </c>
      <c r="H14" s="124" t="inlineStr">
        <is>
          <t>Hub Lead</t>
        </is>
      </c>
    </row>
    <row r="15" ht="21.75" customHeight="1" s="66">
      <c r="A15" s="126" t="n">
        <v>10</v>
      </c>
      <c r="B15" s="127" t="inlineStr">
        <is>
          <t>Kayan Forge cohort confirmed</t>
        </is>
      </c>
      <c r="C15" s="128" t="n">
        <v>1</v>
      </c>
      <c r="D15" s="129">
        <f>COUNTIF(16_AUDIT_LOG!C:C,"12_ACADEMY_ENROLL")</f>
        <v/>
      </c>
      <c r="E15" s="130">
        <f>MAX(0,C15-D15)</f>
        <v/>
      </c>
      <c r="F15" s="131">
        <f>IFERROR(D15/C15,0)</f>
        <v/>
      </c>
      <c r="G15" s="130">
        <f>IF(F15&gt;=1,"✦ Met",IF(F15&gt;=0.7,"On track",IF(F15&gt;=0.3,"Behind","At risk")))</f>
        <v/>
      </c>
      <c r="H15" s="124" t="inlineStr">
        <is>
          <t>Kayan Forge Lead</t>
        </is>
      </c>
    </row>
    <row r="16"/>
    <row r="17"/>
    <row r="18" ht="14.15" customHeight="1" s="66">
      <c r="A18" s="69" t="inlineStr">
        <is>
          <t>AGGREGATE ROLL-UP / ملخص كلي</t>
        </is>
      </c>
    </row>
    <row r="19" ht="15" customHeight="1" s="66">
      <c r="B19" s="80" t="inlineStr">
        <is>
          <t>Total target EOIs (all forms)</t>
        </is>
      </c>
      <c r="C19" s="92">
        <f>SUM(C6:C15)</f>
        <v/>
      </c>
      <c r="D19" s="92">
        <f>SUM(D6:D15)</f>
        <v/>
      </c>
      <c r="F19" s="132">
        <f>IFERROR(D19/C19,0)</f>
        <v/>
      </c>
    </row>
  </sheetData>
  <mergeCells count="3">
    <mergeCell ref="A18:H18"/>
    <mergeCell ref="A1:H2"/>
    <mergeCell ref="A3:H3"/>
  </mergeCells>
  <conditionalFormatting sqref="F6:F15">
    <cfRule type="cellIs" rank="0" priority="2" equalAverage="0" operator="lessThan" aboveAverage="0" dxfId="0" text="" percent="0" bottom="0">
      <formula>0.3</formula>
    </cfRule>
    <cfRule type="cellIs" rank="0" priority="3" equalAverage="0" operator="between" aboveAverage="0" dxfId="1" text="" percent="0" bottom="0">
      <formula>0.3</formula>
      <formula>0.7</formula>
    </cfRule>
    <cfRule type="cellIs" rank="0" priority="4" equalAverage="0" operator="greaterThanOrEqual" aboveAverage="0" dxfId="2" text="" percent="0" bottom="0">
      <formula>0.7</formula>
    </cfRule>
  </conditionalFormatting>
  <printOptions horizontalCentered="1" verticalCentered="0" headings="0" gridLines="0" gridLinesSet="1"/>
  <pageMargins left="0.5" right="0.5" top="0.6" bottom="0.6" header="0.511811023622047" footer="0.511811023622047"/>
  <pageSetup orientation="portrait"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2026-04-19T20:48:47Z</dcterms:created>
  <dcterms:modified xmlns:dcterms="http://purl.org/dc/terms/" xmlns:xsi="http://www.w3.org/2001/XMLSchema-instance" xsi:type="dcterms:W3CDTF">2026-05-28T10:39:58Z</dcterms:modified>
  <cp:revision>0</cp:revision>
</cp:coreProperties>
</file>