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· START" sheetId="1" state="visible" r:id="rId1"/>
    <sheet xmlns:r="http://schemas.openxmlformats.org/officeDocument/2006/relationships" name="01 · PARAMETERS" sheetId="2" state="visible" r:id="rId2"/>
    <sheet xmlns:r="http://schemas.openxmlformats.org/officeDocument/2006/relationships" name="02 · POD ECONOMICS" sheetId="3" state="visible" r:id="rId3"/>
    <sheet xmlns:r="http://schemas.openxmlformats.org/officeDocument/2006/relationships" name="03 · MATCHING MODEL" sheetId="4" state="visible" r:id="rId4"/>
    <sheet xmlns:r="http://schemas.openxmlformats.org/officeDocument/2006/relationships" name="04 · PIPELINE" sheetId="5" state="visible" r:id="rId5"/>
    <sheet xmlns:r="http://schemas.openxmlformats.org/officeDocument/2006/relationships" name="05 · FRAUD FMEA" sheetId="6" state="visible" r:id="rId6"/>
    <sheet xmlns:r="http://schemas.openxmlformats.org/officeDocument/2006/relationships" name="06 · CADENCE" sheetId="7" state="visible" r:id="rId7"/>
    <sheet xmlns:r="http://schemas.openxmlformats.org/officeDocument/2006/relationships" name="07 · DASHBOARD" sheetId="8" state="visible" r:id="rId8"/>
  </sheets>
  <definedNames>
    <definedName name="PH_FEE_BAND">'01 · PARAMETERS'!$B$5</definedName>
    <definedName name="PH_COST_RATE">'01 · PARAMETERS'!$B$6</definedName>
    <definedName name="PH_HOLDBACK">'01 · PARAMETERS'!$B$7</definedName>
    <definedName name="PH_SPLIT_LEAD">'01 · PARAMETERS'!$B$8</definedName>
    <definedName name="PH_SPLIT_CORE">'01 · PARAMETERS'!$B$9</definedName>
    <definedName name="PH_SPLIT_RISE">'01 · PARAMETERS'!$B$10</definedName>
    <definedName name="PH_SPLIT_ADV">'01 · PARAMETERS'!$B$11</definedName>
    <definedName name="PH_W_SKL">'01 · PARAMETERS'!$B$12</definedName>
    <definedName name="PH_W_TRK">'01 · PARAMETERS'!$B$13</definedName>
    <definedName name="PH_W_REL">'01 · PARAMETERS'!$B$14</definedName>
    <definedName name="PH_W_AVL">'01 · PARAMETERS'!$B$15</definedName>
    <definedName name="PH_W_LNG">'01 · PARAMETERS'!$B$16</definedName>
    <definedName name="PH_W_LOC">'01 · PARAMETERS'!$B$17</definedName>
    <definedName name="PH_W_INC">'01 · PARAMETERS'!$B$18</definedName>
    <definedName name="PH_PLACED_TARGET">'01 · PARAMETERS'!$B$19</definedName>
    <definedName name="PH_NET_FLOOR">'01 · PARAMETERS'!$B$20</definedName>
    <definedName name="PH_QA_PASS">'01 · PARAMETERS'!$B$21</definedName>
    <definedName name="PH_QUEUE_SLA">'01 · PARAMETERS'!$B$22</definedName>
    <definedName name="PH_INC_TARGET">'01 · PARAMETERS'!$B$23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232E"/>
      <sz val="15"/>
    </font>
    <font>
      <name val="Calibri"/>
      <color rgb="005A5D64"/>
      <sz val="8.5"/>
    </font>
    <font>
      <name val="Calibri"/>
      <b val="1"/>
      <color rgb="0012232E"/>
      <sz val="11"/>
    </font>
    <font>
      <name val="Calibri"/>
      <color rgb="0012232E"/>
      <sz val="10"/>
    </font>
    <font>
      <name val="Calibri"/>
      <b val="1"/>
      <color rgb="005A4413"/>
      <sz val="9"/>
    </font>
    <font>
      <name val="Calibri"/>
      <b val="1"/>
      <color rgb="00FFFFFF"/>
      <sz val="10"/>
    </font>
    <font>
      <name val="Consolas"/>
      <b val="1"/>
      <color rgb="004A2E7A"/>
      <sz val="9"/>
    </font>
  </fonts>
  <fills count="7">
    <fill>
      <patternFill/>
    </fill>
    <fill>
      <patternFill patternType="gray125"/>
    </fill>
    <fill>
      <patternFill patternType="solid">
        <fgColor rgb="0012232E"/>
      </patternFill>
    </fill>
    <fill>
      <patternFill patternType="solid">
        <fgColor rgb="00EFEAF6"/>
      </patternFill>
    </fill>
    <fill>
      <patternFill patternType="solid">
        <fgColor rgb="00FFF7DE"/>
      </patternFill>
    </fill>
    <fill>
      <patternFill patternType="solid">
        <fgColor rgb="00F6F7F9"/>
      </patternFill>
    </fill>
    <fill>
      <patternFill patternType="solid">
        <fgColor rgb="00F4F1E8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3" fillId="5" borderId="1" pivotButton="0" quotePrefix="0" xfId="0"/>
    <xf numFmtId="3" fontId="3" fillId="5" borderId="1" applyAlignment="1" pivotButton="0" quotePrefix="0" xfId="0">
      <alignment horizontal="center" vertical="center"/>
    </xf>
    <xf numFmtId="0" fontId="2" fillId="5" borderId="1" pivotButton="0" quotePrefix="0" xfId="0"/>
    <xf numFmtId="0" fontId="2" fillId="5" borderId="1" applyAlignment="1" pivotButton="0" quotePrefix="0" xfId="0">
      <alignment vertical="top" wrapText="1"/>
    </xf>
    <xf numFmtId="0" fontId="4" fillId="0" borderId="1" pivotButton="0" quotePrefix="0" xfId="0"/>
    <xf numFmtId="3" fontId="4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0" fillId="6" borderId="0" pivotButton="0" quotePrefix="0" xfId="0"/>
    <xf numFmtId="2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3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A24B"/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6" customWidth="1" min="3" max="3"/>
    <col width="26" customWidth="1" min="4" max="4"/>
    <col width="20" customWidth="1" min="5" max="5"/>
    <col width="14" customWidth="1" min="6" max="6"/>
    <col width="14" customWidth="1" min="7" max="7"/>
    <col width="14" customWidth="1" min="8" max="8"/>
  </cols>
  <sheetData>
    <row r="1" ht="20" customHeight="1">
      <c r="A1" s="1" t="inlineStr">
        <is>
          <t>KAY-ER-001 · The Engine Room — live model</t>
        </is>
      </c>
    </row>
    <row r="2">
      <c r="A2" s="2" t="inlineStr">
        <is>
          <t>The delivery-side operating model: pod economics, the matching score, the pipeline, the fraud register, and the management cadence. Companion to KAY-TOS-001.</t>
        </is>
      </c>
    </row>
    <row r="4">
      <c r="B4" s="3" t="inlineStr">
        <is>
          <t>HOW THIS WORKBOOK WORKS</t>
        </is>
      </c>
    </row>
    <row r="5">
      <c r="B5" s="4" t="inlineStr">
        <is>
          <t>•  Everything contested is a token. All tokens live on one sheet — 01 · PARAMETERS — as named cells you fill once.</t>
        </is>
      </c>
    </row>
    <row r="6">
      <c r="B6" s="4" t="inlineStr">
        <is>
          <t>•  The moment you enter a value in PARAMETERS, every model that uses it computes. Nothing is hard-coded elsewhere.</t>
        </is>
      </c>
    </row>
    <row r="7">
      <c r="B7" s="4" t="inlineStr">
        <is>
          <t>•  The pod-economics calculator (02) is live: enter a project value and fill the parameters, and the full waterfall resolves.</t>
        </is>
      </c>
    </row>
    <row r="8">
      <c r="B8" s="4" t="inlineStr">
        <is>
          <t>•  The matching model (03) scores candidate pods against a brief using the dimension weights from PARAMETERS.</t>
        </is>
      </c>
    </row>
    <row r="9">
      <c r="B9" s="4" t="inlineStr">
        <is>
          <t>•  The fraud register (05) computes a priority number from severity × likelihood × detectability, and bands it by risk.</t>
        </is>
      </c>
    </row>
    <row r="10">
      <c r="B10" s="4" t="inlineStr">
        <is>
          <t>•  No figure in this workbook is invented. Cells shown in lavender are tokens awaiting the F-01 decision session.</t>
        </is>
      </c>
    </row>
    <row r="12">
      <c r="B12" s="3" t="inlineStr">
        <is>
          <t>TAB GUIDE</t>
        </is>
      </c>
    </row>
    <row r="13">
      <c r="B13" s="5" t="inlineStr">
        <is>
          <t>01 · PARAMETERS</t>
        </is>
      </c>
      <c r="C13" s="4" t="inlineStr">
        <is>
          <t>The single source of truth. Fill this and the workbook comes alive.</t>
        </is>
      </c>
    </row>
    <row r="14">
      <c r="B14" s="5" t="inlineStr">
        <is>
          <t>02 · POD ECONOMICS</t>
        </is>
      </c>
      <c r="C14" s="4" t="inlineStr">
        <is>
          <t>The engagement waterfall as a live calculator: GPV → escrow → fee → payout → holdback → net.</t>
        </is>
      </c>
    </row>
    <row r="15">
      <c r="B15" s="5" t="inlineStr">
        <is>
          <t>03 · MATCHING MODEL</t>
        </is>
      </c>
      <c r="C15" s="4" t="inlineStr">
        <is>
          <t>Scores candidate pods against a scoped brief; compares the three configurations by cost and fit.</t>
        </is>
      </c>
    </row>
    <row r="16">
      <c r="B16" s="5" t="inlineStr">
        <is>
          <t>04 · PIPELINE</t>
        </is>
      </c>
      <c r="C16" s="4" t="inlineStr">
        <is>
          <t>The ten-stage request-to-pod pipeline, its owners and gates, with a funnel.</t>
        </is>
      </c>
    </row>
    <row r="17">
      <c r="B17" s="5" t="inlineStr">
        <is>
          <t>05 · FRAUD FMEA</t>
        </is>
      </c>
      <c r="C17" s="4" t="inlineStr">
        <is>
          <t>The abuse surface scored on severity, likelihood, detectability; priority computed and banded.</t>
        </is>
      </c>
    </row>
    <row r="18">
      <c r="B18" s="5" t="inlineStr">
        <is>
          <t>06 · CADENCE</t>
        </is>
      </c>
      <c r="C18" s="4" t="inlineStr">
        <is>
          <t>The management rhythm: what is reviewed, the threshold, the action, the owner.</t>
        </is>
      </c>
    </row>
    <row r="19">
      <c r="B19" s="5" t="inlineStr">
        <is>
          <t>07 · DASHBOARD</t>
        </is>
      </c>
      <c r="C19" s="4" t="inlineStr">
        <is>
          <t>The governing number and the delivery-side signals in one view.</t>
        </is>
      </c>
    </row>
  </sheetData>
  <mergeCells count="15">
    <mergeCell ref="B8:H8"/>
    <mergeCell ref="C16:H16"/>
    <mergeCell ref="C19:H19"/>
    <mergeCell ref="B9:H9"/>
    <mergeCell ref="C14:H14"/>
    <mergeCell ref="C13:H13"/>
    <mergeCell ref="A2:H2"/>
    <mergeCell ref="C17:H17"/>
    <mergeCell ref="B6:H6"/>
    <mergeCell ref="C18:H18"/>
    <mergeCell ref="B7:H7"/>
    <mergeCell ref="A1:H1"/>
    <mergeCell ref="B10:H10"/>
    <mergeCell ref="B5:H5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5CBF"/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0" customWidth="1" min="4" max="4"/>
    <col width="60" customWidth="1" min="5" max="5"/>
  </cols>
  <sheetData>
    <row r="1" ht="20" customHeight="1">
      <c r="A1" s="1" t="inlineStr">
        <is>
          <t>Parameters — the single source of truth</t>
        </is>
      </c>
    </row>
    <row r="2">
      <c r="A2" s="2" t="inlineStr">
        <is>
          <t>Fill the VALUE column once. Every model references these named cells. Lavender = awaiting decision (fork F-01 / F-06..F-10).</t>
        </is>
      </c>
    </row>
    <row r="4">
      <c r="A4" s="6" t="inlineStr">
        <is>
          <t>Token</t>
        </is>
      </c>
      <c r="B4" s="6" t="inlineStr">
        <is>
          <t>Value</t>
        </is>
      </c>
      <c r="C4" s="6" t="inlineStr">
        <is>
          <t>Unit</t>
        </is>
      </c>
      <c r="D4" s="6" t="inlineStr">
        <is>
          <t>Used by</t>
        </is>
      </c>
      <c r="E4" s="6" t="inlineStr">
        <is>
          <t>What it sets</t>
        </is>
      </c>
    </row>
    <row r="5">
      <c r="A5" s="7" t="inlineStr">
        <is>
          <t>PH-FEE-BAND</t>
        </is>
      </c>
      <c r="B5" s="8" t="inlineStr"/>
      <c r="C5" s="9" t="inlineStr">
        <is>
          <t>%</t>
        </is>
      </c>
      <c r="D5" s="9" t="inlineStr">
        <is>
          <t>Economics, Dashboard</t>
        </is>
      </c>
      <c r="E5" s="9" t="inlineStr">
        <is>
          <t>Management fee as a share of project value — the only recognised revenue.</t>
        </is>
      </c>
    </row>
    <row r="6">
      <c r="A6" s="7" t="inlineStr">
        <is>
          <t>PH-COST-RATE</t>
        </is>
      </c>
      <c r="B6" s="8" t="inlineStr"/>
      <c r="C6" s="9" t="inlineStr">
        <is>
          <t>% of GPV</t>
        </is>
      </c>
      <c r="D6" s="9" t="inlineStr">
        <is>
          <t>Economics</t>
        </is>
      </c>
      <c r="E6" s="9" t="inlineStr">
        <is>
          <t>Direct platform cost to serve one engagement (rails, verification amortised, hosting, dispute reserve).</t>
        </is>
      </c>
    </row>
    <row r="7">
      <c r="A7" s="7" t="inlineStr">
        <is>
          <t>PH-HOLDBACK</t>
        </is>
      </c>
      <c r="B7" s="8" t="inlineStr"/>
      <c r="C7" s="9" t="inlineStr">
        <is>
          <t>%</t>
        </is>
      </c>
      <c r="D7" s="9" t="inlineStr">
        <is>
          <t>Economics</t>
        </is>
      </c>
      <c r="E7" s="9" t="inlineStr">
        <is>
          <t>Share of the payout retained until final acceptance; returned in full on clean close.</t>
        </is>
      </c>
    </row>
    <row r="8">
      <c r="A8" s="7" t="inlineStr">
        <is>
          <t>PH-SPLIT-LEAD</t>
        </is>
      </c>
      <c r="B8" s="8" t="inlineStr"/>
      <c r="C8" s="9" t="inlineStr">
        <is>
          <t>%</t>
        </is>
      </c>
      <c r="D8" s="9" t="inlineStr">
        <is>
          <t>Economics, Matching</t>
        </is>
      </c>
      <c r="E8" s="9" t="inlineStr">
        <is>
          <t>Payout share to the pod lead.</t>
        </is>
      </c>
    </row>
    <row r="9">
      <c r="A9" s="7" t="inlineStr">
        <is>
          <t>PH-SPLIT-CORE</t>
        </is>
      </c>
      <c r="B9" s="8" t="inlineStr"/>
      <c r="C9" s="9" t="inlineStr">
        <is>
          <t>%</t>
        </is>
      </c>
      <c r="D9" s="9" t="inlineStr">
        <is>
          <t>Economics, Matching</t>
        </is>
      </c>
      <c r="E9" s="9" t="inlineStr">
        <is>
          <t>Payout share to core contributors (combined).</t>
        </is>
      </c>
    </row>
    <row r="10">
      <c r="A10" s="7" t="inlineStr">
        <is>
          <t>PH-SPLIT-RISE</t>
        </is>
      </c>
      <c r="B10" s="8" t="inlineStr"/>
      <c r="C10" s="9" t="inlineStr">
        <is>
          <t>%</t>
        </is>
      </c>
      <c r="D10" s="9" t="inlineStr">
        <is>
          <t>Economics, Matching</t>
        </is>
      </c>
      <c r="E10" s="9" t="inlineStr">
        <is>
          <t>Payout share to rising contributors (combined).</t>
        </is>
      </c>
    </row>
    <row r="11">
      <c r="A11" s="7" t="inlineStr">
        <is>
          <t>PH-SPLIT-ADV</t>
        </is>
      </c>
      <c r="B11" s="8" t="inlineStr"/>
      <c r="C11" s="9" t="inlineStr">
        <is>
          <t>%</t>
        </is>
      </c>
      <c r="D11" s="9" t="inlineStr">
        <is>
          <t>Economics, Matching</t>
        </is>
      </c>
      <c r="E11" s="9" t="inlineStr">
        <is>
          <t>Payout share to a specialist advisor, where present.</t>
        </is>
      </c>
    </row>
    <row r="12">
      <c r="A12" s="7" t="inlineStr">
        <is>
          <t>PH-W-SKL</t>
        </is>
      </c>
      <c r="B12" s="8" t="inlineStr"/>
      <c r="C12" s="9" t="inlineStr">
        <is>
          <t>weight</t>
        </is>
      </c>
      <c r="D12" s="9" t="inlineStr">
        <is>
          <t>Matching</t>
        </is>
      </c>
      <c r="E12" s="9" t="inlineStr">
        <is>
          <t>Weight on specialisation fit.</t>
        </is>
      </c>
    </row>
    <row r="13">
      <c r="A13" s="7" t="inlineStr">
        <is>
          <t>PH-W-TRK</t>
        </is>
      </c>
      <c r="B13" s="8" t="inlineStr"/>
      <c r="C13" s="9" t="inlineStr">
        <is>
          <t>weight</t>
        </is>
      </c>
      <c r="D13" s="9" t="inlineStr">
        <is>
          <t>Matching</t>
        </is>
      </c>
      <c r="E13" s="9" t="inlineStr">
        <is>
          <t>Weight on relevant track record.</t>
        </is>
      </c>
    </row>
    <row r="14">
      <c r="A14" s="7" t="inlineStr">
        <is>
          <t>PH-W-REL</t>
        </is>
      </c>
      <c r="B14" s="8" t="inlineStr"/>
      <c r="C14" s="9" t="inlineStr">
        <is>
          <t>weight</t>
        </is>
      </c>
      <c r="D14" s="9" t="inlineStr">
        <is>
          <t>Matching</t>
        </is>
      </c>
      <c r="E14" s="9" t="inlineStr">
        <is>
          <t>Weight on reliability signal.</t>
        </is>
      </c>
    </row>
    <row r="15">
      <c r="A15" s="7" t="inlineStr">
        <is>
          <t>PH-W-AVL</t>
        </is>
      </c>
      <c r="B15" s="8" t="inlineStr"/>
      <c r="C15" s="9" t="inlineStr">
        <is>
          <t>weight</t>
        </is>
      </c>
      <c r="D15" s="9" t="inlineStr">
        <is>
          <t>Matching</t>
        </is>
      </c>
      <c r="E15" s="9" t="inlineStr">
        <is>
          <t>Weight on availability in window.</t>
        </is>
      </c>
    </row>
    <row r="16">
      <c r="A16" s="7" t="inlineStr">
        <is>
          <t>PH-W-LNG</t>
        </is>
      </c>
      <c r="B16" s="8" t="inlineStr"/>
      <c r="C16" s="9" t="inlineStr">
        <is>
          <t>weight</t>
        </is>
      </c>
      <c r="D16" s="9" t="inlineStr">
        <is>
          <t>Matching</t>
        </is>
      </c>
      <c r="E16" s="9" t="inlineStr">
        <is>
          <t>Weight on language fit.</t>
        </is>
      </c>
    </row>
    <row r="17">
      <c r="A17" s="7" t="inlineStr">
        <is>
          <t>PH-W-LOC</t>
        </is>
      </c>
      <c r="B17" s="8" t="inlineStr"/>
      <c r="C17" s="9" t="inlineStr">
        <is>
          <t>weight</t>
        </is>
      </c>
      <c r="D17" s="9" t="inlineStr">
        <is>
          <t>Matching</t>
        </is>
      </c>
      <c r="E17" s="9" t="inlineStr">
        <is>
          <t>Weight on location fit.</t>
        </is>
      </c>
    </row>
    <row r="18">
      <c r="A18" s="7" t="inlineStr">
        <is>
          <t>PH-W-INC</t>
        </is>
      </c>
      <c r="B18" s="8" t="inlineStr"/>
      <c r="C18" s="9" t="inlineStr">
        <is>
          <t>weight</t>
        </is>
      </c>
      <c r="D18" s="9" t="inlineStr">
        <is>
          <t>Matching</t>
        </is>
      </c>
      <c r="E18" s="9" t="inlineStr">
        <is>
          <t>Weight on inclusion contribution (applied to the pod).</t>
        </is>
      </c>
    </row>
    <row r="19">
      <c r="A19" s="7" t="inlineStr">
        <is>
          <t>PH-PLACED-TARGET</t>
        </is>
      </c>
      <c r="B19" s="8" t="inlineStr"/>
      <c r="C19" s="9" t="inlineStr">
        <is>
          <t>%</t>
        </is>
      </c>
      <c r="D19" s="9" t="inlineStr">
        <is>
          <t>Cadence, Dashboard</t>
        </is>
      </c>
      <c r="E19" s="9" t="inlineStr">
        <is>
          <t>Target share of the registry ever placed — the governing indicator.</t>
        </is>
      </c>
    </row>
    <row r="20">
      <c r="A20" s="7" t="inlineStr">
        <is>
          <t>PH-NET-FLOOR</t>
        </is>
      </c>
      <c r="B20" s="8" t="inlineStr"/>
      <c r="C20" s="9" t="inlineStr">
        <is>
          <t>currency</t>
        </is>
      </c>
      <c r="D20" s="9" t="inlineStr">
        <is>
          <t>Cadence</t>
        </is>
      </c>
      <c r="E20" s="9" t="inlineStr">
        <is>
          <t>Minimum net contribution below which an engagement type is repriced or retired.</t>
        </is>
      </c>
    </row>
    <row r="21">
      <c r="A21" s="7" t="inlineStr">
        <is>
          <t>PH-QA-PASS</t>
        </is>
      </c>
      <c r="B21" s="8" t="inlineStr"/>
      <c r="C21" s="9" t="inlineStr">
        <is>
          <t>%</t>
        </is>
      </c>
      <c r="D21" s="9" t="inlineStr">
        <is>
          <t>Cadence</t>
        </is>
      </c>
      <c r="E21" s="9" t="inlineStr">
        <is>
          <t>Minimum first-pass quality-gate acceptance rate.</t>
        </is>
      </c>
    </row>
    <row r="22">
      <c r="A22" s="7" t="inlineStr">
        <is>
          <t>PH-QUEUE-SLA</t>
        </is>
      </c>
      <c r="B22" s="8" t="inlineStr"/>
      <c r="C22" s="9" t="inlineStr">
        <is>
          <t>days</t>
        </is>
      </c>
      <c r="D22" s="9" t="inlineStr">
        <is>
          <t>Cadence</t>
        </is>
      </c>
      <c r="E22" s="9" t="inlineStr">
        <is>
          <t>Maximum acceptable verification-queue wait before intake throttles.</t>
        </is>
      </c>
    </row>
    <row r="23">
      <c r="A23" s="7" t="inlineStr">
        <is>
          <t>PH-INC-TARGET</t>
        </is>
      </c>
      <c r="B23" s="8" t="inlineStr"/>
      <c r="C23" s="9" t="inlineStr">
        <is>
          <t>%</t>
        </is>
      </c>
      <c r="D23" s="9" t="inlineStr">
        <is>
          <t>Cadence, Dashboard</t>
        </is>
      </c>
      <c r="E23" s="9" t="inlineStr">
        <is>
          <t>Inclusion commitment target for pod composition.</t>
        </is>
      </c>
    </row>
    <row r="25">
      <c r="A25" s="5" t="inlineStr">
        <is>
          <t>CHECK</t>
        </is>
      </c>
      <c r="B25" s="10">
        <f>B8+B9+B10+B11</f>
        <v/>
      </c>
      <c r="E25" s="11" t="inlineStr">
        <is>
          <t>Payout shares (lead+core+rising+advisor) should total 100% once set.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7F4F"/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52" customWidth="1" min="4" max="4"/>
    <col width="3" customWidth="1" min="5" max="5"/>
    <col width="3" customWidth="1" min="6" max="6"/>
  </cols>
  <sheetData>
    <row r="1" ht="20" customHeight="1">
      <c r="A1" s="1" t="inlineStr">
        <is>
          <t>Pod economics — the engagement waterfall</t>
        </is>
      </c>
    </row>
    <row r="2">
      <c r="A2" s="2" t="inlineStr">
        <is>
          <t>Enter a project value and pod composition; fill PARAMETERS; the waterfall computes. Escrow is a liability — only the fee is revenue.</t>
        </is>
      </c>
    </row>
    <row r="4">
      <c r="A4" s="3" t="inlineStr">
        <is>
          <t>INPUTS</t>
        </is>
      </c>
    </row>
    <row r="5">
      <c r="A5" s="10" t="inlineStr">
        <is>
          <t>Gross Project Value (GPV)</t>
        </is>
      </c>
      <c r="B5" s="12" t="n"/>
      <c r="D5" s="2" t="inlineStr">
        <is>
          <t>The contracted figure from the SOW. Type any value to preview the mechanism.</t>
        </is>
      </c>
    </row>
    <row r="6">
      <c r="A6" s="10" t="inlineStr">
        <is>
          <t>Lead — count</t>
        </is>
      </c>
      <c r="B6" s="13" t="n"/>
    </row>
    <row r="7">
      <c r="A7" s="10" t="inlineStr">
        <is>
          <t>Core contributors — count</t>
        </is>
      </c>
      <c r="B7" s="13" t="n"/>
    </row>
    <row r="8">
      <c r="A8" s="10" t="inlineStr">
        <is>
          <t>Rising contributors — count</t>
        </is>
      </c>
      <c r="B8" s="13" t="n"/>
    </row>
    <row r="9">
      <c r="A9" s="10" t="inlineStr">
        <is>
          <t>Specialist advisors — count</t>
        </is>
      </c>
      <c r="B9" s="13" t="n"/>
    </row>
    <row r="11">
      <c r="A11" s="3" t="inlineStr">
        <is>
          <t>THE WATERFALL</t>
        </is>
      </c>
    </row>
    <row r="12">
      <c r="A12" s="6" t="inlineStr">
        <is>
          <t>Line</t>
        </is>
      </c>
      <c r="B12" s="6" t="inlineStr">
        <is>
          <t>Amount</t>
        </is>
      </c>
      <c r="C12" s="6" t="inlineStr">
        <is>
          <t>Basis</t>
        </is>
      </c>
      <c r="D12" s="6" t="inlineStr">
        <is>
          <t>Note</t>
        </is>
      </c>
    </row>
    <row r="13">
      <c r="A13" s="14" t="inlineStr">
        <is>
          <t>Gross Project Value</t>
        </is>
      </c>
      <c r="B13" s="15">
        <f>B5</f>
        <v/>
      </c>
      <c r="C13" s="16" t="inlineStr">
        <is>
          <t>input</t>
        </is>
      </c>
      <c r="D13" s="17" t="inlineStr">
        <is>
          <t>What the client pays for the whole engagement.</t>
        </is>
      </c>
    </row>
    <row r="14">
      <c r="A14" s="18" t="inlineStr">
        <is>
          <t>Into escrow (liability)</t>
        </is>
      </c>
      <c r="B14" s="19">
        <f>B5</f>
        <v/>
      </c>
      <c r="C14" s="20">
        <f> GPV</f>
        <v/>
      </c>
      <c r="D14" s="21" t="inlineStr">
        <is>
          <t>Held on signature; released only on accepted milestones. Not revenue.</t>
        </is>
      </c>
    </row>
    <row r="15">
      <c r="A15" s="14" t="inlineStr">
        <is>
          <t>Management fee (revenue)</t>
        </is>
      </c>
      <c r="B15" s="15">
        <f>B5*PH_FEE_BAND</f>
        <v/>
      </c>
      <c r="C15" s="16" t="inlineStr">
        <is>
          <t>GPV × fee</t>
        </is>
      </c>
      <c r="D15" s="17" t="inlineStr">
        <is>
          <t>The only figure recognised as Kayan income.</t>
        </is>
      </c>
    </row>
    <row r="16">
      <c r="A16" s="18" t="inlineStr">
        <is>
          <t>Platform cost to serve</t>
        </is>
      </c>
      <c r="B16" s="19">
        <f>B5*PH_COST_RATE</f>
        <v/>
      </c>
      <c r="C16" s="20" t="inlineStr">
        <is>
          <t>GPV × cost%</t>
        </is>
      </c>
      <c r="D16" s="21" t="inlineStr">
        <is>
          <t>Direct cost of running the engagement.</t>
        </is>
      </c>
    </row>
    <row r="17">
      <c r="A17" s="14" t="inlineStr">
        <is>
          <t>Talent payout pool</t>
        </is>
      </c>
      <c r="B17" s="15">
        <f>B5-B5*PH_FEE_BAND-B5*PH_COST_RATE</f>
        <v/>
      </c>
      <c r="C17" s="16" t="inlineStr">
        <is>
          <t>GPV − fee − cost</t>
        </is>
      </c>
      <c r="D17" s="17" t="inlineStr">
        <is>
          <t>What flows to the people who did the work.</t>
        </is>
      </c>
    </row>
    <row r="18">
      <c r="A18" s="18" t="inlineStr">
        <is>
          <t xml:space="preserve">  → to lead</t>
        </is>
      </c>
      <c r="B18" s="19">
        <f>(B5-B5*PH_FEE_BAND-B5*PH_COST_RATE)*PH_SPLIT_LEAD</f>
        <v/>
      </c>
      <c r="C18" s="20" t="inlineStr">
        <is>
          <t>pool × share</t>
        </is>
      </c>
      <c r="D18" s="21" t="inlineStr">
        <is>
          <t>Set in the SOW before work begins.</t>
        </is>
      </c>
    </row>
    <row r="19">
      <c r="A19" s="18" t="inlineStr">
        <is>
          <t xml:space="preserve">  → to core</t>
        </is>
      </c>
      <c r="B19" s="19">
        <f>(B5-B5*PH_FEE_BAND-B5*PH_COST_RATE)*PH_SPLIT_CORE</f>
        <v/>
      </c>
      <c r="C19" s="20" t="inlineStr">
        <is>
          <t>pool × share</t>
        </is>
      </c>
      <c r="D19" s="21" t="inlineStr"/>
    </row>
    <row r="20">
      <c r="A20" s="18" t="inlineStr">
        <is>
          <t xml:space="preserve">  → to rising</t>
        </is>
      </c>
      <c r="B20" s="19">
        <f>(B5-B5*PH_FEE_BAND-B5*PH_COST_RATE)*PH_SPLIT_RISE</f>
        <v/>
      </c>
      <c r="C20" s="20" t="inlineStr">
        <is>
          <t>pool × share</t>
        </is>
      </c>
      <c r="D20" s="21" t="inlineStr"/>
    </row>
    <row r="21">
      <c r="A21" s="18" t="inlineStr">
        <is>
          <t xml:space="preserve">  → to advisor</t>
        </is>
      </c>
      <c r="B21" s="19">
        <f>(B5-B5*PH_FEE_BAND-B5*PH_COST_RATE)*PH_SPLIT_ADV</f>
        <v/>
      </c>
      <c r="C21" s="20" t="inlineStr">
        <is>
          <t>pool × share</t>
        </is>
      </c>
      <c r="D21" s="21" t="inlineStr"/>
    </row>
    <row r="22">
      <c r="A22" s="18" t="inlineStr">
        <is>
          <t>Holdback (retained to close)</t>
        </is>
      </c>
      <c r="B22" s="19">
        <f>(B5-B5*PH_FEE_BAND-B5*PH_COST_RATE)*PH_HOLDBACK</f>
        <v/>
      </c>
      <c r="C22" s="20" t="inlineStr">
        <is>
          <t>pool × holdback</t>
        </is>
      </c>
      <c r="D22" s="21" t="inlineStr">
        <is>
          <t>Quality instrument; returned in full on clean final acceptance.</t>
        </is>
      </c>
    </row>
    <row r="23">
      <c r="A23" s="14" t="inlineStr">
        <is>
          <t>Net contribution to Kayan</t>
        </is>
      </c>
      <c r="B23" s="15">
        <f>B5*PH_FEE_BAND-B5*PH_COST_RATE</f>
        <v/>
      </c>
      <c r="C23" s="16" t="inlineStr">
        <is>
          <t>fee − cost</t>
        </is>
      </c>
      <c r="D23" s="17" t="inlineStr">
        <is>
          <t>What the engagement contributes after the cost of serving it.</t>
        </is>
      </c>
    </row>
    <row r="25">
      <c r="A25" s="22" t="inlineStr">
        <is>
          <t>All amounts read 0 until PARAMETERS are set — by design. Enter a GPV and any parameter set to see the mechanism resolve. When F-01 fixes the real bands, this becomes the live engagement model with no further build.</t>
        </is>
      </c>
      <c r="B25" s="23" t="n"/>
      <c r="C25" s="23" t="n"/>
      <c r="D25" s="23" t="n"/>
    </row>
    <row r="26">
      <c r="A26" s="23" t="n"/>
      <c r="B26" s="23" t="n"/>
      <c r="C26" s="23" t="n"/>
      <c r="D26" s="23" t="n"/>
    </row>
    <row r="27">
      <c r="A27" s="23" t="n"/>
      <c r="B27" s="23" t="n"/>
      <c r="C27" s="23" t="n"/>
      <c r="D27" s="23" t="n"/>
    </row>
  </sheetData>
  <mergeCells count="3">
    <mergeCell ref="A2:F2"/>
    <mergeCell ref="A25:D27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6DB5"/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4" customWidth="1" min="4" max="4"/>
    <col width="12" customWidth="1" min="5" max="5"/>
    <col width="34" customWidth="1" min="6" max="6"/>
    <col width="11" customWidth="1" min="7" max="7"/>
    <col width="11" customWidth="1" min="8" max="8"/>
    <col width="14" customWidth="1" min="9" max="9"/>
  </cols>
  <sheetData>
    <row r="1" ht="20" customHeight="1">
      <c r="A1" s="1" t="inlineStr">
        <is>
          <t>Matching model — scoring candidate pods against a brief</t>
        </is>
      </c>
    </row>
    <row r="2">
      <c r="A2" s="2" t="inlineStr">
        <is>
          <t>Score candidates on each dimension (0–5). Weighted totals use the weights from PARAMETERS. The engine composes configurations; it never returns one winner.</t>
        </is>
      </c>
    </row>
    <row r="4">
      <c r="A4" s="3" t="inlineStr">
        <is>
          <t>DIMENSION WEIGHTS (from PARAMETERS)</t>
        </is>
      </c>
    </row>
    <row r="5">
      <c r="A5" s="6" t="inlineStr">
        <is>
          <t>Dimension</t>
        </is>
      </c>
      <c r="B5" s="6" t="inlineStr">
        <is>
          <t>Weight token</t>
        </is>
      </c>
      <c r="C5" s="6" t="inlineStr">
        <is>
          <t>Weight value</t>
        </is>
      </c>
    </row>
    <row r="6">
      <c r="A6" s="9" t="inlineStr">
        <is>
          <t>Specialisation fit</t>
        </is>
      </c>
      <c r="B6" s="9" t="inlineStr">
        <is>
          <t>PH-W-SKL</t>
        </is>
      </c>
      <c r="C6" s="24">
        <f>PH_W_SKL</f>
        <v/>
      </c>
    </row>
    <row r="7">
      <c r="A7" s="9" t="inlineStr">
        <is>
          <t>Track record</t>
        </is>
      </c>
      <c r="B7" s="9" t="inlineStr">
        <is>
          <t>PH-W-TRK</t>
        </is>
      </c>
      <c r="C7" s="24">
        <f>PH_W_TRK</f>
        <v/>
      </c>
    </row>
    <row r="8">
      <c r="A8" s="9" t="inlineStr">
        <is>
          <t>Reliability</t>
        </is>
      </c>
      <c r="B8" s="9" t="inlineStr">
        <is>
          <t>PH-W-REL</t>
        </is>
      </c>
      <c r="C8" s="24">
        <f>PH_W_REL</f>
        <v/>
      </c>
    </row>
    <row r="9">
      <c r="A9" s="9" t="inlineStr">
        <is>
          <t>Availability</t>
        </is>
      </c>
      <c r="B9" s="9" t="inlineStr">
        <is>
          <t>PH-W-AVL</t>
        </is>
      </c>
      <c r="C9" s="24">
        <f>PH_W_AVL</f>
        <v/>
      </c>
    </row>
    <row r="10">
      <c r="A10" s="9" t="inlineStr">
        <is>
          <t>Language</t>
        </is>
      </c>
      <c r="B10" s="9" t="inlineStr">
        <is>
          <t>PH-W-LNG</t>
        </is>
      </c>
      <c r="C10" s="24">
        <f>PH_W_LNG</f>
        <v/>
      </c>
    </row>
    <row r="11">
      <c r="A11" s="9" t="inlineStr">
        <is>
          <t>Location</t>
        </is>
      </c>
      <c r="B11" s="9" t="inlineStr">
        <is>
          <t>PH-W-LOC</t>
        </is>
      </c>
      <c r="C11" s="24">
        <f>PH_W_LOC</f>
        <v/>
      </c>
    </row>
    <row r="12">
      <c r="A12" s="9" t="inlineStr">
        <is>
          <t>Inclusion</t>
        </is>
      </c>
      <c r="B12" s="9" t="inlineStr">
        <is>
          <t>PH-W-INC</t>
        </is>
      </c>
      <c r="C12" s="24">
        <f>PH_W_INC</f>
        <v/>
      </c>
    </row>
    <row r="14">
      <c r="A14" s="3" t="inlineStr">
        <is>
          <t>CANDIDATE SCORING (illustrative candidates; enter 0–5 per dimension)</t>
        </is>
      </c>
    </row>
    <row r="15">
      <c r="A15" s="6" t="inlineStr">
        <is>
          <t>Candidate (position-coded)</t>
        </is>
      </c>
      <c r="B15" s="6" t="inlineStr">
        <is>
          <t>Specialisation fit</t>
        </is>
      </c>
      <c r="C15" s="6" t="inlineStr">
        <is>
          <t>Track record</t>
        </is>
      </c>
      <c r="D15" s="6" t="inlineStr">
        <is>
          <t>Reliability</t>
        </is>
      </c>
      <c r="E15" s="6" t="inlineStr">
        <is>
          <t>Availability</t>
        </is>
      </c>
      <c r="F15" s="6" t="inlineStr">
        <is>
          <t>Language</t>
        </is>
      </c>
      <c r="G15" s="6" t="inlineStr">
        <is>
          <t>Location</t>
        </is>
      </c>
      <c r="H15" s="6" t="inlineStr">
        <is>
          <t>Inclusion</t>
        </is>
      </c>
      <c r="I15" s="6" t="inlineStr">
        <is>
          <t>Weighted score</t>
        </is>
      </c>
    </row>
    <row r="16">
      <c r="A16" s="18" t="inlineStr">
        <is>
          <t>POS-CAND-01</t>
        </is>
      </c>
      <c r="B16" s="25" t="n"/>
      <c r="C16" s="25" t="n"/>
      <c r="D16" s="25" t="n"/>
      <c r="E16" s="25" t="n"/>
      <c r="F16" s="25" t="n"/>
      <c r="G16" s="25" t="n"/>
      <c r="H16" s="25" t="n"/>
      <c r="I16" s="26">
        <f>IF((PH_W_SKL+PH_W_TRK+PH_W_REL+PH_W_AVL+PH_W_LNG+PH_W_LOC+PH_W_INC)=0,0,(B16*PH_W_SKL+C16*PH_W_TRK+D16*PH_W_REL+E16*PH_W_AVL+F16*PH_W_LNG+G16*PH_W_LOC+H16*PH_W_INC)/(PH_W_SKL+PH_W_TRK+PH_W_REL+PH_W_AVL+PH_W_LNG+PH_W_LOC+PH_W_INC))</f>
        <v/>
      </c>
    </row>
    <row r="17">
      <c r="A17" s="18" t="inlineStr">
        <is>
          <t>POS-CAND-02</t>
        </is>
      </c>
      <c r="B17" s="25" t="n"/>
      <c r="C17" s="25" t="n"/>
      <c r="D17" s="25" t="n"/>
      <c r="E17" s="25" t="n"/>
      <c r="F17" s="25" t="n"/>
      <c r="G17" s="25" t="n"/>
      <c r="H17" s="25" t="n"/>
      <c r="I17" s="26">
        <f>IF((PH_W_SKL+PH_W_TRK+PH_W_REL+PH_W_AVL+PH_W_LNG+PH_W_LOC+PH_W_INC)=0,0,(B17*PH_W_SKL+C17*PH_W_TRK+D17*PH_W_REL+E17*PH_W_AVL+F17*PH_W_LNG+G17*PH_W_LOC+H17*PH_W_INC)/(PH_W_SKL+PH_W_TRK+PH_W_REL+PH_W_AVL+PH_W_LNG+PH_W_LOC+PH_W_INC))</f>
        <v/>
      </c>
    </row>
    <row r="18">
      <c r="A18" s="18" t="inlineStr">
        <is>
          <t>POS-CAND-03</t>
        </is>
      </c>
      <c r="B18" s="25" t="n"/>
      <c r="C18" s="25" t="n"/>
      <c r="D18" s="25" t="n"/>
      <c r="E18" s="25" t="n"/>
      <c r="F18" s="25" t="n"/>
      <c r="G18" s="25" t="n"/>
      <c r="H18" s="25" t="n"/>
      <c r="I18" s="26">
        <f>IF((PH_W_SKL+PH_W_TRK+PH_W_REL+PH_W_AVL+PH_W_LNG+PH_W_LOC+PH_W_INC)=0,0,(B18*PH_W_SKL+C18*PH_W_TRK+D18*PH_W_REL+E18*PH_W_AVL+F18*PH_W_LNG+G18*PH_W_LOC+H18*PH_W_INC)/(PH_W_SKL+PH_W_TRK+PH_W_REL+PH_W_AVL+PH_W_LNG+PH_W_LOC+PH_W_INC))</f>
        <v/>
      </c>
    </row>
    <row r="19">
      <c r="A19" s="18" t="inlineStr">
        <is>
          <t>POS-CAND-04</t>
        </is>
      </c>
      <c r="B19" s="25" t="n"/>
      <c r="C19" s="25" t="n"/>
      <c r="D19" s="25" t="n"/>
      <c r="E19" s="25" t="n"/>
      <c r="F19" s="25" t="n"/>
      <c r="G19" s="25" t="n"/>
      <c r="H19" s="25" t="n"/>
      <c r="I19" s="26">
        <f>IF((PH_W_SKL+PH_W_TRK+PH_W_REL+PH_W_AVL+PH_W_LNG+PH_W_LOC+PH_W_INC)=0,0,(B19*PH_W_SKL+C19*PH_W_TRK+D19*PH_W_REL+E19*PH_W_AVL+F19*PH_W_LNG+G19*PH_W_LOC+H19*PH_W_INC)/(PH_W_SKL+PH_W_TRK+PH_W_REL+PH_W_AVL+PH_W_LNG+PH_W_LOC+PH_W_INC))</f>
        <v/>
      </c>
    </row>
    <row r="20">
      <c r="A20" s="18" t="inlineStr">
        <is>
          <t>POS-CAND-05</t>
        </is>
      </c>
      <c r="B20" s="25" t="n"/>
      <c r="C20" s="25" t="n"/>
      <c r="D20" s="25" t="n"/>
      <c r="E20" s="25" t="n"/>
      <c r="F20" s="25" t="n"/>
      <c r="G20" s="25" t="n"/>
      <c r="H20" s="25" t="n"/>
      <c r="I20" s="26">
        <f>IF((PH_W_SKL+PH_W_TRK+PH_W_REL+PH_W_AVL+PH_W_LNG+PH_W_LOC+PH_W_INC)=0,0,(B20*PH_W_SKL+C20*PH_W_TRK+D20*PH_W_REL+E20*PH_W_AVL+F20*PH_W_LNG+G20*PH_W_LOC+H20*PH_W_INC)/(PH_W_SKL+PH_W_TRK+PH_W_REL+PH_W_AVL+PH_W_LNG+PH_W_LOC+PH_W_INC))</f>
        <v/>
      </c>
    </row>
    <row r="22">
      <c r="A22" s="3" t="inlineStr">
        <is>
          <t>CONFIGURATION COMPARISON</t>
        </is>
      </c>
    </row>
    <row r="23">
      <c r="A23" s="6" t="inlineStr">
        <is>
          <t>Configuration</t>
        </is>
      </c>
      <c r="B23" s="6" t="inlineStr">
        <is>
          <t>Team shape</t>
        </is>
      </c>
      <c r="C23" s="6" t="inlineStr">
        <is>
          <t>Relative cost</t>
        </is>
      </c>
      <c r="D23" s="6" t="inlineStr">
        <is>
          <t>Relative speed</t>
        </is>
      </c>
      <c r="E23" s="6" t="inlineStr">
        <is>
          <t>Bench built</t>
        </is>
      </c>
      <c r="F23" s="6" t="inlineStr">
        <is>
          <t>Recommended when</t>
        </is>
      </c>
    </row>
    <row r="24">
      <c r="A24" s="9" t="inlineStr">
        <is>
          <t>Lean-Senior</t>
        </is>
      </c>
      <c r="B24" s="9" t="inlineStr">
        <is>
          <t>Fewest members, highest tiers</t>
        </is>
      </c>
      <c r="C24" s="9" t="inlineStr">
        <is>
          <t>Highest</t>
        </is>
      </c>
      <c r="D24" s="9" t="inlineStr">
        <is>
          <t>Fastest</t>
        </is>
      </c>
      <c r="E24" s="9" t="inlineStr">
        <is>
          <t>None</t>
        </is>
      </c>
      <c r="F24" s="9" t="inlineStr">
        <is>
          <t>Time-critical, high-stakes</t>
        </is>
      </c>
    </row>
    <row r="25">
      <c r="A25" s="27" t="inlineStr">
        <is>
          <t>Balanced</t>
        </is>
      </c>
      <c r="B25" s="27" t="inlineStr">
        <is>
          <t>Proven lead + mixed tiers + one rising</t>
        </is>
      </c>
      <c r="C25" s="27" t="inlineStr">
        <is>
          <t>Medium</t>
        </is>
      </c>
      <c r="D25" s="27" t="inlineStr">
        <is>
          <t>Medium</t>
        </is>
      </c>
      <c r="E25" s="27" t="inlineStr">
        <is>
          <t>Some</t>
        </is>
      </c>
      <c r="F25" s="27" t="inlineStr">
        <is>
          <t>Most briefs — the default</t>
        </is>
      </c>
    </row>
    <row r="26">
      <c r="A26" s="9" t="inlineStr">
        <is>
          <t>Development</t>
        </is>
      </c>
      <c r="B26" s="9" t="inlineStr">
        <is>
          <t>Strong lead over T1–T2</t>
        </is>
      </c>
      <c r="C26" s="9" t="inlineStr">
        <is>
          <t>Lowest</t>
        </is>
      </c>
      <c r="D26" s="9" t="inlineStr">
        <is>
          <t>Slowest</t>
        </is>
      </c>
      <c r="E26" s="9" t="inlineStr">
        <is>
          <t>Most</t>
        </is>
      </c>
      <c r="F26" s="9" t="inlineStr">
        <is>
          <t>Schedule tolerance; builds bench</t>
        </is>
      </c>
    </row>
    <row r="28">
      <c r="A28" s="22" t="inlineStr">
        <is>
          <t>The engine returns two or three of these, each a complete valid pod, each with its reasoning. The client chooses among options — a single 'best match' is never produced.</t>
        </is>
      </c>
      <c r="B28" s="23" t="n"/>
      <c r="C28" s="23" t="n"/>
      <c r="D28" s="23" t="n"/>
      <c r="E28" s="23" t="n"/>
      <c r="F28" s="23" t="n"/>
    </row>
    <row r="29">
      <c r="A29" s="23" t="n"/>
      <c r="B29" s="23" t="n"/>
      <c r="C29" s="23" t="n"/>
      <c r="D29" s="23" t="n"/>
      <c r="E29" s="23" t="n"/>
      <c r="F29" s="23" t="n"/>
    </row>
  </sheetData>
  <mergeCells count="3">
    <mergeCell ref="A1:I1"/>
    <mergeCell ref="A28:F29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7791F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6" customWidth="1" min="3" max="3"/>
    <col width="12" customWidth="1" min="4" max="4"/>
    <col width="30" customWidth="1" min="5" max="5"/>
    <col width="10" customWidth="1" min="6" max="6"/>
  </cols>
  <sheetData>
    <row r="1" ht="20" customHeight="1">
      <c r="A1" s="1" t="inlineStr">
        <is>
          <t>The request-to-pod pipeline</t>
        </is>
      </c>
    </row>
    <row r="2">
      <c r="A2" s="2" t="inlineStr">
        <is>
          <t>Ten stages from a signal to a delivered engagement. Nothing is work before commitment: no SOW and no escrow means no work.</t>
        </is>
      </c>
    </row>
    <row r="4">
      <c r="A4" s="6" t="inlineStr">
        <is>
          <t>Stage</t>
        </is>
      </c>
      <c r="B4" s="6" t="inlineStr">
        <is>
          <t>Name</t>
        </is>
      </c>
      <c r="C4" s="6" t="inlineStr">
        <is>
          <t>What happens</t>
        </is>
      </c>
      <c r="D4" s="6" t="inlineStr">
        <is>
          <t>Owner</t>
        </is>
      </c>
      <c r="E4" s="6" t="inlineStr">
        <is>
          <t>Gate to leave</t>
        </is>
      </c>
      <c r="F4" s="6" t="inlineStr">
        <is>
          <t>CRM</t>
        </is>
      </c>
    </row>
    <row r="5">
      <c r="A5" s="9" t="inlineStr">
        <is>
          <t>BP-0</t>
        </is>
      </c>
      <c r="B5" s="9" t="inlineStr">
        <is>
          <t>Signal</t>
        </is>
      </c>
      <c r="C5" s="9" t="inlineStr">
        <is>
          <t>A request arrives — a form, a recorded note, a referral, a procurement notice. It is logged before it is judged.</t>
        </is>
      </c>
      <c r="D5" s="9" t="inlineStr">
        <is>
          <t>POS-BRD-LEAD</t>
        </is>
      </c>
      <c r="E5" s="9" t="inlineStr">
        <is>
          <t>Captured with a source and a named client contact.</t>
        </is>
      </c>
      <c r="F5" s="9" t="inlineStr">
        <is>
          <t>S0 Identified</t>
        </is>
      </c>
    </row>
    <row r="6">
      <c r="A6" s="27" t="inlineStr">
        <is>
          <t>BP-1</t>
        </is>
      </c>
      <c r="B6" s="27" t="inlineStr">
        <is>
          <t>Intake</t>
        </is>
      </c>
      <c r="C6" s="27" t="inlineStr">
        <is>
          <t>The request is opened with a structured capture designed for a client who may not yet know what they need: the outcome wanted, for whom, by when, and what 'finished' would look like.</t>
        </is>
      </c>
      <c r="D6" s="27" t="inlineStr">
        <is>
          <t>POS-MD-CO</t>
        </is>
      </c>
      <c r="E6" s="27" t="inlineStr">
        <is>
          <t>A first Definition of Done exists, even if rough.</t>
        </is>
      </c>
      <c r="F6" s="27" t="inlineStr">
        <is>
          <t>S1 Qualified</t>
        </is>
      </c>
    </row>
    <row r="7">
      <c r="A7" s="9" t="inlineStr">
        <is>
          <t>BP-2</t>
        </is>
      </c>
      <c r="B7" s="9" t="inlineStr">
        <is>
          <t>Clarification</t>
        </is>
      </c>
      <c r="C7" s="9" t="inlineStr">
        <is>
          <t>Kayan turns a loose ask into a specified need through a short guided exchange. Ambiguity is named and closed here, not discovered in delivery.</t>
        </is>
      </c>
      <c r="D7" s="9" t="inlineStr">
        <is>
          <t>POS-MD-CO</t>
        </is>
      </c>
      <c r="E7" s="9" t="inlineStr">
        <is>
          <t>Deliverables, constraints, and acceptance criteria are agreed in writing.</t>
        </is>
      </c>
      <c r="F7" s="9" t="inlineStr">
        <is>
          <t>S2 Scoping</t>
        </is>
      </c>
    </row>
    <row r="8">
      <c r="A8" s="27" t="inlineStr">
        <is>
          <t>BP-3</t>
        </is>
      </c>
      <c r="B8" s="27" t="inlineStr">
        <is>
          <t>Scoping</t>
        </is>
      </c>
      <c r="C8" s="27" t="inlineStr">
        <is>
          <t>The specified need becomes a Statement of Work: deliverables, acceptance criteria, effort estimate, and a costed structure. This is the moment the engagement becomes real.</t>
        </is>
      </c>
      <c r="D8" s="27" t="inlineStr">
        <is>
          <t>POS-MD-LEAD</t>
        </is>
      </c>
      <c r="E8" s="27" t="inlineStr">
        <is>
          <t>A SOW draft exists with a costed structure and a proposed pod shape.</t>
        </is>
      </c>
      <c r="F8" s="27" t="inlineStr">
        <is>
          <t>S3 Proposal</t>
        </is>
      </c>
    </row>
    <row r="9">
      <c r="A9" s="9" t="inlineStr">
        <is>
          <t>BP-4</t>
        </is>
      </c>
      <c r="B9" s="9" t="inlineStr">
        <is>
          <t>Screening</t>
        </is>
      </c>
      <c r="C9" s="9" t="inlineStr">
        <is>
          <t>Before anything is committed: sanctions and beneficial-owner screening, and any sector-compliance the brief demands — safeguarding for INGO work, data protection for technical work.</t>
        </is>
      </c>
      <c r="D9" s="9" t="inlineStr">
        <is>
          <t>POS-COUNSEL</t>
        </is>
      </c>
      <c r="E9" s="9" t="inlineStr">
        <is>
          <t>Screening cleared and recorded. No exceptions.</t>
        </is>
      </c>
      <c r="F9" s="9" t="inlineStr">
        <is>
          <t>S3 Proposal (gate)</t>
        </is>
      </c>
    </row>
    <row r="10">
      <c r="A10" s="27" t="inlineStr">
        <is>
          <t>BP-5</t>
        </is>
      </c>
      <c r="B10" s="27" t="inlineStr">
        <is>
          <t>Pod call</t>
        </is>
      </c>
      <c r="C10" s="27" t="inlineStr">
        <is>
          <t>The matching engine runs against the scoped brief and composes two or three valid configurations, each with its reasoning and its trade-off. The client chooses among them with Kayan.</t>
        </is>
      </c>
      <c r="D10" s="27" t="inlineStr">
        <is>
          <t>POS-TAL-ASM</t>
        </is>
      </c>
      <c r="E10" s="27" t="inlineStr">
        <is>
          <t>A configuration is selected; every proposed member has confirmed availability.</t>
        </is>
      </c>
      <c r="F10" s="27" t="inlineStr">
        <is>
          <t>S4 Negotiation</t>
        </is>
      </c>
    </row>
    <row r="11">
      <c r="A11" s="9" t="inlineStr">
        <is>
          <t>BP-6</t>
        </is>
      </c>
      <c r="B11" s="9" t="inlineStr">
        <is>
          <t>Commitment</t>
        </is>
      </c>
      <c r="C11" s="9" t="inlineStr">
        <is>
          <t>The SOW is signed and the engagement is funded into escrow. The pod is formed and kickoff is scheduled. Nothing before this line is work.</t>
        </is>
      </c>
      <c r="D11" s="9" t="inlineStr">
        <is>
          <t>POS-FIN</t>
        </is>
      </c>
      <c r="E11" s="9" t="inlineStr">
        <is>
          <t>SOW executed and escrow funded. The founding law holds: no SOW and no escrow means no work.</t>
        </is>
      </c>
      <c r="F11" s="9" t="inlineStr">
        <is>
          <t>S5 Verbal / S6 Closed-won</t>
        </is>
      </c>
    </row>
    <row r="12">
      <c r="A12" s="27" t="inlineStr">
        <is>
          <t>BP-7</t>
        </is>
      </c>
      <c r="B12" s="27" t="inlineStr">
        <is>
          <t>Delivery</t>
        </is>
      </c>
      <c r="C12" s="27" t="inlineStr">
        <is>
          <t>The pod delivers against milestones. Each milestone passes an independent quality gate before the client is asked to accept it.</t>
        </is>
      </c>
      <c r="D12" s="27" t="inlineStr">
        <is>
          <t>POS-MD-QA</t>
        </is>
      </c>
      <c r="E12" s="27" t="inlineStr">
        <is>
          <t>Milestone accepted by the client on the agreed criteria.</t>
        </is>
      </c>
      <c r="F12" s="27" t="inlineStr">
        <is>
          <t>Delivery</t>
        </is>
      </c>
    </row>
    <row r="13">
      <c r="A13" s="9" t="inlineStr">
        <is>
          <t>BP-8</t>
        </is>
      </c>
      <c r="B13" s="9" t="inlineStr">
        <is>
          <t>Release &amp; recognise</t>
        </is>
      </c>
      <c r="C13" s="9" t="inlineStr">
        <is>
          <t>On acceptance, funds release from escrow. Kayan's management fee — and only the management fee — is recognised as revenue. The talent payout is distributed. A holdback is retained to final acceptance.</t>
        </is>
      </c>
      <c r="D13" s="9" t="inlineStr">
        <is>
          <t>POS-FIN</t>
        </is>
      </c>
      <c r="E13" s="9" t="inlineStr">
        <is>
          <t>Payment released, fee recognised, payout distributed, holdback recorded.</t>
        </is>
      </c>
      <c r="F13" s="9" t="inlineStr">
        <is>
          <t>Delivery</t>
        </is>
      </c>
    </row>
    <row r="14">
      <c r="A14" s="27" t="inlineStr">
        <is>
          <t>BP-9</t>
        </is>
      </c>
      <c r="B14" s="27" t="inlineStr">
        <is>
          <t>Close &amp; learn</t>
        </is>
      </c>
      <c r="C14" s="27" t="inlineStr">
        <is>
          <t>Final acceptance releases the holdback. The engagement is closed, the pod's standing updated, and what was learned is written back so the next brief of this kind is scoped faster.</t>
        </is>
      </c>
      <c r="D14" s="27" t="inlineStr">
        <is>
          <t>POS-MD-LEAD</t>
        </is>
      </c>
      <c r="E14" s="27" t="inlineStr">
        <is>
          <t>Holdback released; standings updated; a closing note filed.</t>
        </is>
      </c>
      <c r="F14" s="27" t="inlineStr">
        <is>
          <t>Won / archived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02A37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34" customWidth="1" min="4" max="4"/>
    <col width="12" customWidth="1" min="5" max="5"/>
    <col width="5" customWidth="1" min="6" max="6"/>
    <col width="5" customWidth="1" min="7" max="7"/>
    <col width="5" customWidth="1" min="8" max="8"/>
    <col width="9" customWidth="1" min="9" max="9"/>
    <col width="10" customWidth="1" min="10" max="10"/>
  </cols>
  <sheetData>
    <row r="1" ht="20" customHeight="1">
      <c r="A1" s="1" t="inlineStr">
        <is>
          <t>The fraud and abuse surface</t>
        </is>
      </c>
    </row>
    <row r="2">
      <c r="A2" s="2" t="inlineStr">
        <is>
          <t>Each vector scored on severity, likelihood, detectability (1–5). Priority = S×L×D. Fill the three scores; priority and band compute.</t>
        </is>
      </c>
    </row>
    <row r="4">
      <c r="A4" s="6" t="inlineStr">
        <is>
          <t>ID</t>
        </is>
      </c>
      <c r="B4" s="6" t="inlineStr">
        <is>
          <t>Vector</t>
        </is>
      </c>
      <c r="C4" s="6" t="inlineStr">
        <is>
          <t>How it works</t>
        </is>
      </c>
      <c r="D4" s="6" t="inlineStr">
        <is>
          <t>The control</t>
        </is>
      </c>
      <c r="E4" s="6" t="inlineStr">
        <is>
          <t>Owner</t>
        </is>
      </c>
      <c r="F4" s="6" t="inlineStr">
        <is>
          <t>S</t>
        </is>
      </c>
      <c r="G4" s="6" t="inlineStr">
        <is>
          <t>L</t>
        </is>
      </c>
      <c r="H4" s="6" t="inlineStr">
        <is>
          <t>D</t>
        </is>
      </c>
      <c r="I4" s="6" t="inlineStr">
        <is>
          <t>Priority</t>
        </is>
      </c>
      <c r="J4" s="6" t="inlineStr">
        <is>
          <t>Band</t>
        </is>
      </c>
    </row>
    <row r="5">
      <c r="A5" s="9" t="inlineStr">
        <is>
          <t>FR-01</t>
        </is>
      </c>
      <c r="B5" s="9" t="inlineStr">
        <is>
          <t>Borrowed or stolen identity</t>
        </is>
      </c>
      <c r="C5" s="9" t="inlineStr">
        <is>
          <t>Someone registers using another person's documents.</t>
        </is>
      </c>
      <c r="D5" s="9" t="inlineStr">
        <is>
          <t>KYC liveness plus document authentication at S05/S06, with a human review before any tier above registration.</t>
        </is>
      </c>
      <c r="E5" s="9" t="inlineStr">
        <is>
          <t>POS-TAL-VER</t>
        </is>
      </c>
      <c r="F5" s="25" t="n"/>
      <c r="G5" s="25" t="n"/>
      <c r="H5" s="25" t="n"/>
      <c r="I5" s="28">
        <f>IF(COUNT(F5:H5)=3,F5*G5*H5,"")</f>
        <v/>
      </c>
      <c r="J5" s="29">
        <f>IF(I5="","",IF(I5&gt;=60,"HIGH",IF(I5&gt;=27,"MEDIUM","LOW")))</f>
        <v/>
      </c>
    </row>
    <row r="6">
      <c r="A6" s="27" t="inlineStr">
        <is>
          <t>FR-02</t>
        </is>
      </c>
      <c r="B6" s="27" t="inlineStr">
        <is>
          <t>Passed-off portfolio</t>
        </is>
      </c>
      <c r="C6" s="27" t="inlineStr">
        <is>
          <t>An applicant submits work they did not produce.</t>
        </is>
      </c>
      <c r="D6" s="27" t="inlineStr">
        <is>
          <t>Originality screen on submitted evidence, plus a live task or interview that only the true author could pass. A machine flags; a person decides.</t>
        </is>
      </c>
      <c r="E6" s="27" t="inlineStr">
        <is>
          <t>POS-TAL-VER</t>
        </is>
      </c>
      <c r="F6" s="25" t="n"/>
      <c r="G6" s="25" t="n"/>
      <c r="H6" s="25" t="n"/>
      <c r="I6" s="28">
        <f>IF(COUNT(F6:H6)=3,F6*G6*H6,"")</f>
        <v/>
      </c>
      <c r="J6" s="29">
        <f>IF(I6="","",IF(I6&gt;=60,"HIGH",IF(I6&gt;=27,"MEDIUM","LOW")))</f>
        <v/>
      </c>
    </row>
    <row r="7">
      <c r="A7" s="9" t="inlineStr">
        <is>
          <t>FR-03</t>
        </is>
      </c>
      <c r="B7" s="9" t="inlineStr">
        <is>
          <t>Reference collusion</t>
        </is>
      </c>
      <c r="C7" s="9" t="inlineStr">
        <is>
          <t>Fake referees, or a ring of applicants vouching for each other.</t>
        </is>
      </c>
      <c r="D7" s="9" t="inlineStr">
        <is>
          <t>Referees contacted independently through verified channels; pattern detection on shared referees across the registry.</t>
        </is>
      </c>
      <c r="E7" s="9" t="inlineStr">
        <is>
          <t>POS-TAL-VER</t>
        </is>
      </c>
      <c r="F7" s="25" t="n"/>
      <c r="G7" s="25" t="n"/>
      <c r="H7" s="25" t="n"/>
      <c r="I7" s="28">
        <f>IF(COUNT(F7:H7)=3,F7*G7*H7,"")</f>
        <v/>
      </c>
      <c r="J7" s="29">
        <f>IF(I7="","",IF(I7&gt;=60,"HIGH",IF(I7&gt;=27,"MEDIUM","LOW")))</f>
        <v/>
      </c>
    </row>
    <row r="8">
      <c r="A8" s="27" t="inlineStr">
        <is>
          <t>FR-04</t>
        </is>
      </c>
      <c r="B8" s="27" t="inlineStr">
        <is>
          <t>Sock-puppet accounts</t>
        </is>
      </c>
      <c r="C8" s="27" t="inlineStr">
        <is>
          <t>One person opens many accounts to multiply chances or evade a past sanction.</t>
        </is>
      </c>
      <c r="D8" s="27" t="inlineStr">
        <is>
          <t>Deduplication on identity, contact channel, and device at registration; a suspended identity cannot re-enter under a new account.</t>
        </is>
      </c>
      <c r="E8" s="27" t="inlineStr">
        <is>
          <t>POS-TECH-LEAD</t>
        </is>
      </c>
      <c r="F8" s="25" t="n"/>
      <c r="G8" s="25" t="n"/>
      <c r="H8" s="25" t="n"/>
      <c r="I8" s="28">
        <f>IF(COUNT(F8:H8)=3,F8*G8*H8,"")</f>
        <v/>
      </c>
      <c r="J8" s="29">
        <f>IF(I8="","",IF(I8&gt;=60,"HIGH",IF(I8&gt;=27,"MEDIUM","LOW")))</f>
        <v/>
      </c>
    </row>
    <row r="9">
      <c r="A9" s="9" t="inlineStr">
        <is>
          <t>FR-05</t>
        </is>
      </c>
      <c r="B9" s="9" t="inlineStr">
        <is>
          <t>Points farming</t>
        </is>
      </c>
      <c r="C9" s="9" t="inlineStr">
        <is>
          <t>Manufacturing volunteer hours to accumulate points.</t>
        </is>
      </c>
      <c r="D9" s="9" t="inlineStr">
        <is>
          <t>Volunteer hours count only against a real assignment with a supervisor's confirmation; points can never buy a tier, a task, or money, so farming them yields nothing priced.</t>
        </is>
      </c>
      <c r="E9" s="9" t="inlineStr">
        <is>
          <t>POS-K4Y-CO</t>
        </is>
      </c>
      <c r="F9" s="25" t="n"/>
      <c r="G9" s="25" t="n"/>
      <c r="H9" s="25" t="n"/>
      <c r="I9" s="28">
        <f>IF(COUNT(F9:H9)=3,F9*G9*H9,"")</f>
        <v/>
      </c>
      <c r="J9" s="29">
        <f>IF(I9="","",IF(I9&gt;=60,"HIGH",IF(I9&gt;=27,"MEDIUM","LOW")))</f>
        <v/>
      </c>
    </row>
    <row r="10">
      <c r="A10" s="27" t="inlineStr">
        <is>
          <t>FR-06</t>
        </is>
      </c>
      <c r="B10" s="27" t="inlineStr">
        <is>
          <t>Off-platform poaching</t>
        </is>
      </c>
      <c r="C10" s="27" t="inlineStr">
        <is>
          <t>A pod member takes the client off Kayan to avoid the fee.</t>
        </is>
      </c>
      <c r="D10" s="27" t="inlineStr">
        <is>
          <t>The value that keeps both sides on-platform — escrow protection, dispute cover, and continued flow of work — reinforced by the engagement terms. Off-platform solicitation is a conduct breach.</t>
        </is>
      </c>
      <c r="E10" s="27" t="inlineStr">
        <is>
          <t>POS-MD-LEAD</t>
        </is>
      </c>
      <c r="F10" s="25" t="n"/>
      <c r="G10" s="25" t="n"/>
      <c r="H10" s="25" t="n"/>
      <c r="I10" s="28">
        <f>IF(COUNT(F10:H10)=3,F10*G10*H10,"")</f>
        <v/>
      </c>
      <c r="J10" s="29">
        <f>IF(I10="","",IF(I10&gt;=60,"HIGH",IF(I10&gt;=27,"MEDIUM","LOW")))</f>
        <v/>
      </c>
    </row>
    <row r="11">
      <c r="A11" s="9" t="inlineStr">
        <is>
          <t>FR-07</t>
        </is>
      </c>
      <c r="B11" s="9" t="inlineStr">
        <is>
          <t>Self-graded quality</t>
        </is>
      </c>
      <c r="C11" s="9" t="inlineStr">
        <is>
          <t>A pod signs off its own work to clear a milestone.</t>
        </is>
      </c>
      <c r="D11" s="9" t="inlineStr">
        <is>
          <t>Quality gates are held by a QA position outside the pod; a pod can never accept its own milestone.</t>
        </is>
      </c>
      <c r="E11" s="9" t="inlineStr">
        <is>
          <t>POS-MD-QA</t>
        </is>
      </c>
      <c r="F11" s="25" t="n"/>
      <c r="G11" s="25" t="n"/>
      <c r="H11" s="25" t="n"/>
      <c r="I11" s="28">
        <f>IF(COUNT(F11:H11)=3,F11*G11*H11,"")</f>
        <v/>
      </c>
      <c r="J11" s="29">
        <f>IF(I11="","",IF(I11&gt;=60,"HIGH",IF(I11&gt;=27,"MEDIUM","LOW")))</f>
        <v/>
      </c>
    </row>
    <row r="12">
      <c r="A12" s="27" t="inlineStr">
        <is>
          <t>FR-08</t>
        </is>
      </c>
      <c r="B12" s="27" t="inlineStr">
        <is>
          <t>Sanctions evasion through a front</t>
        </is>
      </c>
      <c r="C12" s="27" t="inlineStr">
        <is>
          <t>A sanctioned party contracts through an intermediary.</t>
        </is>
      </c>
      <c r="D12" s="27" t="inlineStr">
        <is>
          <t>Sanctions and beneficial-owner screening before S3, with no exception, and a re-check if the paying party changes.</t>
        </is>
      </c>
      <c r="E12" s="27" t="inlineStr">
        <is>
          <t>POS-COUNSEL</t>
        </is>
      </c>
      <c r="F12" s="25" t="n"/>
      <c r="G12" s="25" t="n"/>
      <c r="H12" s="25" t="n"/>
      <c r="I12" s="28">
        <f>IF(COUNT(F12:H12)=3,F12*G12*H12,"")</f>
        <v/>
      </c>
      <c r="J12" s="29">
        <f>IF(I12="","",IF(I12&gt;=60,"HIGH",IF(I12&gt;=27,"MEDIUM","LOW")))</f>
        <v/>
      </c>
    </row>
    <row r="13">
      <c r="A13" s="9" t="inlineStr">
        <is>
          <t>FR-09</t>
        </is>
      </c>
      <c r="B13" s="9" t="inlineStr">
        <is>
          <t>Client-data exfiltration</t>
        </is>
      </c>
      <c r="C13" s="9" t="inlineStr">
        <is>
          <t>A member leaks or reuses client data.</t>
        </is>
      </c>
      <c r="D13" s="9" t="inlineStr">
        <is>
          <t>Least-privilege access scoped to the task, watermarked deliverables, an audit trail on every access, and an NDA where the brief requires it.</t>
        </is>
      </c>
      <c r="E13" s="9" t="inlineStr">
        <is>
          <t>POS-TECH-LEAD</t>
        </is>
      </c>
      <c r="F13" s="25" t="n"/>
      <c r="G13" s="25" t="n"/>
      <c r="H13" s="25" t="n"/>
      <c r="I13" s="28">
        <f>IF(COUNT(F13:H13)=3,F13*G13*H13,"")</f>
        <v/>
      </c>
      <c r="J13" s="29">
        <f>IF(I13="","",IF(I13&gt;=60,"HIGH",IF(I13&gt;=27,"MEDIUM","LOW")))</f>
        <v/>
      </c>
    </row>
    <row r="14">
      <c r="A14" s="27" t="inlineStr">
        <is>
          <t>FR-10</t>
        </is>
      </c>
      <c r="B14" s="27" t="inlineStr">
        <is>
          <t>Retaliatory standing attack</t>
        </is>
      </c>
      <c r="C14" s="27" t="inlineStr">
        <is>
          <t>A bad actor tries to tank a rival's standing with false reports.</t>
        </is>
      </c>
      <c r="D14" s="27" t="inlineStr">
        <is>
          <t>Only verified engagements move standing; unverified reports cannot demote. Disputes route to a human, never to an automatic penalty.</t>
        </is>
      </c>
      <c r="E14" s="27" t="inlineStr">
        <is>
          <t>POS-TAL-LEAD</t>
        </is>
      </c>
      <c r="F14" s="25" t="n"/>
      <c r="G14" s="25" t="n"/>
      <c r="H14" s="25" t="n"/>
      <c r="I14" s="28">
        <f>IF(COUNT(F14:H14)=3,F14*G14*H14,"")</f>
        <v/>
      </c>
      <c r="J14" s="29">
        <f>IF(I14="","",IF(I14&gt;=60,"HIGH",IF(I14&gt;=27,"MEDIUM","LOW")))</f>
        <v/>
      </c>
    </row>
    <row r="16">
      <c r="A16" s="22" t="inlineStr">
        <is>
          <t>Every control detects and routes to a human position; none convicts automatically. A machine may flag a person; only a person may fail one.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</row>
  </sheetData>
  <mergeCells count="3">
    <mergeCell ref="A1:J1"/>
    <mergeCell ref="A16:J17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A4413"/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14" customWidth="1" min="4" max="4"/>
    <col width="40" customWidth="1" min="5" max="5"/>
    <col width="12" customWidth="1" min="6" max="6"/>
  </cols>
  <sheetData>
    <row r="1" ht="20" customHeight="1">
      <c r="A1" s="1" t="inlineStr">
        <is>
          <t>Making the numbers act</t>
        </is>
      </c>
    </row>
    <row r="2">
      <c r="A2" s="2" t="inlineStr">
        <is>
          <t>At each interval a signal is checked against a threshold; a breach triggers a named action owned by a named position.</t>
        </is>
      </c>
    </row>
    <row r="4">
      <c r="A4" s="6" t="inlineStr">
        <is>
          <t>Rhythm</t>
        </is>
      </c>
      <c r="B4" s="6" t="inlineStr">
        <is>
          <t>What is reviewed</t>
        </is>
      </c>
      <c r="C4" s="6" t="inlineStr">
        <is>
          <t>The signal</t>
        </is>
      </c>
      <c r="D4" s="6" t="inlineStr">
        <is>
          <t>Threshold</t>
        </is>
      </c>
      <c r="E4" s="6" t="inlineStr">
        <is>
          <t>Action if breached</t>
        </is>
      </c>
      <c r="F4" s="6" t="inlineStr">
        <is>
          <t>Owner</t>
        </is>
      </c>
    </row>
    <row r="5">
      <c r="A5" s="9" t="inlineStr">
        <is>
          <t>Weekly</t>
        </is>
      </c>
      <c r="B5" s="9" t="inlineStr">
        <is>
          <t>Verification queue depth against intake</t>
        </is>
      </c>
      <c r="C5" s="9" t="inlineStr">
        <is>
          <t>Registrations waiting longer than the service standard</t>
        </is>
      </c>
      <c r="D5" s="7" t="inlineStr">
        <is>
          <t>[[PH-QUEUE-SLA]]</t>
        </is>
      </c>
      <c r="E5" s="9" t="inlineStr">
        <is>
          <t>Throttle new registration intake until the queue clears; the registry does not grow faster than it can be verified.</t>
        </is>
      </c>
      <c r="F5" s="9" t="inlineStr">
        <is>
          <t>POS-TAL-LEAD</t>
        </is>
      </c>
    </row>
    <row r="6">
      <c r="A6" s="27" t="inlineStr">
        <is>
          <t>Weekly</t>
        </is>
      </c>
      <c r="B6" s="27" t="inlineStr">
        <is>
          <t>Pipeline movement</t>
        </is>
      </c>
      <c r="C6" s="27" t="inlineStr">
        <is>
          <t>Briefs stalled in one stage beyond the expected days</t>
        </is>
      </c>
      <c r="D6" s="7" t="inlineStr">
        <is>
          <t>[[PH-STAGE-AGE]]</t>
        </is>
      </c>
      <c r="E6" s="27" t="inlineStr">
        <is>
          <t>The stage owner is prompted; a stalled brief is either advanced or closed, never left to rot.</t>
        </is>
      </c>
      <c r="F6" s="27" t="inlineStr">
        <is>
          <t>POS-MD-LEAD</t>
        </is>
      </c>
    </row>
    <row r="7">
      <c r="A7" s="9" t="inlineStr">
        <is>
          <t>Fortnightly</t>
        </is>
      </c>
      <c r="B7" s="9" t="inlineStr">
        <is>
          <t>Pod utilisation</t>
        </is>
      </c>
      <c r="C7" s="9" t="inlineStr">
        <is>
          <t>Verified talent with no placement in the period</t>
        </is>
      </c>
      <c r="D7" s="7" t="inlineStr">
        <is>
          <t>[[PH-IDLE-DAYS]]</t>
        </is>
      </c>
      <c r="E7" s="9" t="inlineStr">
        <is>
          <t>Idle verified talent is surfaced to matching first on the next brief; persistent idleness signals a taxonomy or demand gap.</t>
        </is>
      </c>
      <c r="F7" s="9" t="inlineStr">
        <is>
          <t>POS-TAL-ASM</t>
        </is>
      </c>
    </row>
    <row r="8">
      <c r="A8" s="27" t="inlineStr">
        <is>
          <t>Monthly</t>
        </is>
      </c>
      <c r="B8" s="27" t="inlineStr">
        <is>
          <t>Share of registry ever placed</t>
        </is>
      </c>
      <c r="C8" s="27" t="inlineStr">
        <is>
          <t>The governing indicator, against target</t>
        </is>
      </c>
      <c r="D8" s="7" t="inlineStr">
        <is>
          <t>[[PH-PLACED-TARGET]]</t>
        </is>
      </c>
      <c r="E8" s="27" t="inlineStr">
        <is>
          <t>If below target, intake slows and matching effort rises. A large unplaced registry is treated as a failure, not a milestone.</t>
        </is>
      </c>
      <c r="F8" s="27" t="inlineStr">
        <is>
          <t>POS-CEO</t>
        </is>
      </c>
    </row>
    <row r="9">
      <c r="A9" s="9" t="inlineStr">
        <is>
          <t>Monthly</t>
        </is>
      </c>
      <c r="B9" s="9" t="inlineStr">
        <is>
          <t>Quality gate pass rate</t>
        </is>
      </c>
      <c r="C9" s="9" t="inlineStr">
        <is>
          <t>Milestones failing first-pass acceptance</t>
        </is>
      </c>
      <c r="D9" s="7" t="inlineStr">
        <is>
          <t>[[PH-QA-PASS]]</t>
        </is>
      </c>
      <c r="E9" s="9" t="inlineStr">
        <is>
          <t>A falling pass rate triggers a review of scoping quality and rubric calibration, not a push on the pods alone.</t>
        </is>
      </c>
      <c r="F9" s="9" t="inlineStr">
        <is>
          <t>POS-MD-QA</t>
        </is>
      </c>
    </row>
    <row r="10">
      <c r="A10" s="27" t="inlineStr">
        <is>
          <t>Monthly</t>
        </is>
      </c>
      <c r="B10" s="27" t="inlineStr">
        <is>
          <t>Net contribution by engagement type</t>
        </is>
      </c>
      <c r="C10" s="27" t="inlineStr">
        <is>
          <t>Fee earned against cost to serve, by stream</t>
        </is>
      </c>
      <c r="D10" s="7" t="inlineStr">
        <is>
          <t>[[PH-NET-FLOOR]]</t>
        </is>
      </c>
      <c r="E10" s="27" t="inlineStr">
        <is>
          <t>An engagement type running below the floor is repriced or retired; the workbook shows this the moment F-01 resolves.</t>
        </is>
      </c>
      <c r="F10" s="27" t="inlineStr">
        <is>
          <t>POS-FIN</t>
        </is>
      </c>
    </row>
    <row r="11">
      <c r="A11" s="9" t="inlineStr">
        <is>
          <t>Quarterly</t>
        </is>
      </c>
      <c r="B11" s="9" t="inlineStr">
        <is>
          <t>Fraud and dispute pattern</t>
        </is>
      </c>
      <c r="C11" s="9" t="inlineStr">
        <is>
          <t>Upheld disputes and flagged attempts by vector</t>
        </is>
      </c>
      <c r="D11" s="7" t="inlineStr">
        <is>
          <t>[[PH-DISP-RATE]]</t>
        </is>
      </c>
      <c r="E11" s="9" t="inlineStr">
        <is>
          <t>A rising vector reopens its control in the fraud register; residual risk is re-scored.</t>
        </is>
      </c>
      <c r="F11" s="9" t="inlineStr">
        <is>
          <t>POS-COUNSEL</t>
        </is>
      </c>
    </row>
    <row r="12">
      <c r="A12" s="27" t="inlineStr">
        <is>
          <t>Quarterly</t>
        </is>
      </c>
      <c r="B12" s="27" t="inlineStr">
        <is>
          <t>Inclusion standing</t>
        </is>
      </c>
      <c r="C12" s="27" t="inlineStr">
        <is>
          <t>Pod composition against the inclusion commitment</t>
        </is>
      </c>
      <c r="D12" s="7" t="inlineStr">
        <is>
          <t>[[PH-INC-TARGET]]</t>
        </is>
      </c>
      <c r="E12" s="27" t="inlineStr">
        <is>
          <t>Where standing slips, the Development configuration is weighted up in matching until it recovers.</t>
        </is>
      </c>
      <c r="F12" s="27" t="inlineStr">
        <is>
          <t>POS-CEO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2232E"/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20" customWidth="1" min="4" max="4"/>
    <col width="3" customWidth="1" min="5" max="5"/>
    <col width="3" customWidth="1" min="6" max="6"/>
  </cols>
  <sheetData>
    <row r="1" ht="20" customHeight="1">
      <c r="A1" s="1" t="inlineStr">
        <is>
          <t>Delivery-side dashboard</t>
        </is>
      </c>
    </row>
    <row r="2">
      <c r="A2" s="2" t="inlineStr">
        <is>
          <t>The governing number and the signals that act on it. Values resolve when PARAMETERS and the operating registers are populated.</t>
        </is>
      </c>
    </row>
    <row r="4">
      <c r="A4" s="3" t="inlineStr">
        <is>
          <t>THE GOVERNING NUMBER</t>
        </is>
      </c>
    </row>
    <row r="5">
      <c r="A5" s="10" t="inlineStr">
        <is>
          <t>Share of the registry ever placed</t>
        </is>
      </c>
      <c r="B5" s="2" t="inlineStr">
        <is>
          <t>— to instrument —</t>
        </is>
      </c>
      <c r="C5" s="2" t="inlineStr">
        <is>
          <t>target</t>
        </is>
      </c>
      <c r="D5" s="30">
        <f>IF(PH_PLACED_TARGET=0,"set target in PARAMETERS",PH_PLACED_TARGET)</f>
        <v/>
      </c>
    </row>
    <row r="7">
      <c r="A7" s="3" t="inlineStr">
        <is>
          <t>ENGAGEMENT ECONOMICS (from the calculator)</t>
        </is>
      </c>
    </row>
    <row r="8">
      <c r="A8" s="10" t="inlineStr">
        <is>
          <t>Management fee (revenue)</t>
        </is>
      </c>
      <c r="B8" s="31">
        <f>'02 · POD ECONOMICS'!B15</f>
        <v/>
      </c>
      <c r="D8" s="2" t="inlineStr">
        <is>
          <t>Live from the pod-economics waterfall once a GPV and parameters are entered.</t>
        </is>
      </c>
    </row>
    <row r="9">
      <c r="A9" s="10" t="inlineStr">
        <is>
          <t>Net contribution</t>
        </is>
      </c>
      <c r="B9" s="31">
        <f>'02 · POD ECONOMICS'!B23</f>
        <v/>
      </c>
      <c r="D9" s="2" t="inlineStr">
        <is>
          <t>Live from the pod-economics waterfall once a GPV and parameters are entered.</t>
        </is>
      </c>
    </row>
    <row r="11">
      <c r="A11" s="3" t="inlineStr">
        <is>
          <t>SIGNALS TO WATCH</t>
        </is>
      </c>
    </row>
    <row r="12">
      <c r="A12" s="6" t="inlineStr">
        <is>
          <t>Signal</t>
        </is>
      </c>
      <c r="B12" s="6" t="inlineStr">
        <is>
          <t>Threshold</t>
        </is>
      </c>
      <c r="C12" s="6" t="inlineStr">
        <is>
          <t>Cadence</t>
        </is>
      </c>
      <c r="D12" s="6" t="inlineStr">
        <is>
          <t>Owner</t>
        </is>
      </c>
    </row>
    <row r="13">
      <c r="A13" s="9" t="inlineStr">
        <is>
          <t>Verification queue wait</t>
        </is>
      </c>
      <c r="B13" s="9" t="inlineStr">
        <is>
          <t>PH-QUEUE-SLA</t>
        </is>
      </c>
      <c r="C13" s="9" t="inlineStr">
        <is>
          <t>Weekly</t>
        </is>
      </c>
      <c r="D13" s="9" t="inlineStr">
        <is>
          <t>POS-TAL-LEAD</t>
        </is>
      </c>
    </row>
    <row r="14">
      <c r="A14" s="9" t="inlineStr">
        <is>
          <t>Share of registry placed</t>
        </is>
      </c>
      <c r="B14" s="9" t="inlineStr">
        <is>
          <t>PH-PLACED-TARGET</t>
        </is>
      </c>
      <c r="C14" s="9" t="inlineStr">
        <is>
          <t>Monthly</t>
        </is>
      </c>
      <c r="D14" s="9" t="inlineStr">
        <is>
          <t>POS-CEO</t>
        </is>
      </c>
    </row>
    <row r="15">
      <c r="A15" s="9" t="inlineStr">
        <is>
          <t>Quality gate pass rate</t>
        </is>
      </c>
      <c r="B15" s="9" t="inlineStr">
        <is>
          <t>PH-QA-PASS</t>
        </is>
      </c>
      <c r="C15" s="9" t="inlineStr">
        <is>
          <t>Monthly</t>
        </is>
      </c>
      <c r="D15" s="9" t="inlineStr">
        <is>
          <t>POS-MD-QA</t>
        </is>
      </c>
    </row>
    <row r="16">
      <c r="A16" s="9" t="inlineStr">
        <is>
          <t>Net contribution floor</t>
        </is>
      </c>
      <c r="B16" s="9" t="inlineStr">
        <is>
          <t>PH-NET-FLOOR</t>
        </is>
      </c>
      <c r="C16" s="9" t="inlineStr">
        <is>
          <t>Monthly</t>
        </is>
      </c>
      <c r="D16" s="9" t="inlineStr">
        <is>
          <t>POS-FIN</t>
        </is>
      </c>
    </row>
    <row r="17">
      <c r="A17" s="9" t="inlineStr">
        <is>
          <t>Inclusion standing</t>
        </is>
      </c>
      <c r="B17" s="9" t="inlineStr">
        <is>
          <t>PH-INC-TARGET</t>
        </is>
      </c>
      <c r="C17" s="9" t="inlineStr">
        <is>
          <t>Quarterly</t>
        </is>
      </c>
      <c r="D17" s="9" t="inlineStr">
        <is>
          <t>POS-CEO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2026-07-29T13:41:00Z</dcterms:created>
  <dcterms:modified xmlns:dcterms="http://purl.org/dc/terms/" xmlns:xsi="http://www.w3.org/2001/XMLSchema-instance" xsi:type="dcterms:W3CDTF">2026-07-29T13:41:00Z</dcterms:modified>
</cp:coreProperties>
</file>