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2" documentId="11_8449F71EB1B7A4A82F7BC69222D8334A79F253B1" xr6:coauthVersionLast="47" xr6:coauthVersionMax="47" xr10:uidLastSave="{97EF7E0F-A296-4735-9155-392B13A38276}"/>
  <bookViews>
    <workbookView xWindow="0" yWindow="0" windowWidth="0" windowHeight="0" activeTab="1" xr2:uid="{00000000-000D-0000-FFFF-FFFF00000000}"/>
  </bookViews>
  <sheets>
    <sheet name="00_COVER" sheetId="1" r:id="rId1"/>
    <sheet name="01_Registry (2)" sheetId="5" r:id="rId2"/>
    <sheet name="01_Registry" sheetId="2" r:id="rId3"/>
    <sheet name="02_Families" sheetId="3" r:id="rId4"/>
    <sheet name="03_Change_Log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<sst xmlns="http://schemas.openxmlformats.org/spreadsheetml/2006/main" count="1380" uniqueCount="358">
  <si>
    <t>KAYAN — Micro-Specialization Registry</t>
  </si>
  <si>
    <t>KAY-CAP-TAX-001  ·  FINAL  ·  Behind every outcome, a Kayan.</t>
  </si>
  <si>
    <t>The complete coded taxonomy — 95 specializations across 9 families. One skill, one code. Each entry carries its minimum entry tier, the exact assessment evidence, and the typical delivery-team role. Registration forms read this registry; the matching engine queries it; the change log governs it (CEO-01 approval, demand evidence required).</t>
  </si>
  <si>
    <t>Tabs</t>
  </si>
  <si>
    <t>01_Registry</t>
  </si>
  <si>
    <t>95 codes, assessment-defined</t>
  </si>
  <si>
    <t>02_Families</t>
  </si>
  <si>
    <t>9 families with live counts</t>
  </si>
  <si>
    <t>03_Change_Log</t>
  </si>
  <si>
    <t>Governed evolution</t>
  </si>
  <si>
    <t>Code</t>
  </si>
  <si>
    <t>Family</t>
  </si>
  <si>
    <t>Specialization</t>
  </si>
  <si>
    <t>Min entry tier</t>
  </si>
  <si>
    <t>Assessment evidence</t>
  </si>
  <si>
    <t>Typical team role</t>
  </si>
  <si>
    <t>Active</t>
  </si>
  <si>
    <t>SWD-FE</t>
  </si>
  <si>
    <t>Software Development</t>
  </si>
  <si>
    <t>Front-End Development</t>
  </si>
  <si>
    <t>T2</t>
  </si>
  <si>
    <t>Component build from Figma spec, rubric-reviewed</t>
  </si>
  <si>
    <t>Builder</t>
  </si>
  <si>
    <t>Yes</t>
  </si>
  <si>
    <t>SWD-BE</t>
  </si>
  <si>
    <t>Back-End &amp; APIs</t>
  </si>
  <si>
    <t>API spec implementation + tests</t>
  </si>
  <si>
    <t>SWD-FS</t>
  </si>
  <si>
    <t>Full-Stack Development</t>
  </si>
  <si>
    <t>Mini-app: auth+CRUD+deploy</t>
  </si>
  <si>
    <t>Builder/Lead</t>
  </si>
  <si>
    <t>SWD-MOB</t>
  </si>
  <si>
    <t>Mobile Development</t>
  </si>
  <si>
    <t>Screen-set build, store-readiness checklist</t>
  </si>
  <si>
    <t>SWD-WP</t>
  </si>
  <si>
    <t>WordPress &amp; CMS Builds</t>
  </si>
  <si>
    <t>T1</t>
  </si>
  <si>
    <t>Theme customisation task</t>
  </si>
  <si>
    <t>SWD-QA</t>
  </si>
  <si>
    <t>Quality Assurance &amp; Testing</t>
  </si>
  <si>
    <t>Bug hunt on seeded build; report quality</t>
  </si>
  <si>
    <t>QA</t>
  </si>
  <si>
    <t>SWD-DVO</t>
  </si>
  <si>
    <t>DevOps &amp; Deployment</t>
  </si>
  <si>
    <t>Pipeline+rollback exercise</t>
  </si>
  <si>
    <t>Ops</t>
  </si>
  <si>
    <t>SWD-DBA</t>
  </si>
  <si>
    <t>Databases &amp; SQL</t>
  </si>
  <si>
    <t>Schema+query optimisation task</t>
  </si>
  <si>
    <t>SWD-INT</t>
  </si>
  <si>
    <t>Integrations &amp; Automation</t>
  </si>
  <si>
    <t>Two-system webhook flow</t>
  </si>
  <si>
    <t>SWD-SEC</t>
  </si>
  <si>
    <t>Application Security Basics</t>
  </si>
  <si>
    <t>T3</t>
  </si>
  <si>
    <t>Vulnerability review on sample app</t>
  </si>
  <si>
    <t>Reviewer</t>
  </si>
  <si>
    <t>SWD-MNT</t>
  </si>
  <si>
    <t>Maintenance &amp; Support</t>
  </si>
  <si>
    <t>Ticket triage simulation</t>
  </si>
  <si>
    <t>Support</t>
  </si>
  <si>
    <t>DAT-ANL</t>
  </si>
  <si>
    <t>Data &amp; AI</t>
  </si>
  <si>
    <t>Data Analysis</t>
  </si>
  <si>
    <t>Dataset → insight memo + charts</t>
  </si>
  <si>
    <t>Analyst</t>
  </si>
  <si>
    <t>DAT-BI</t>
  </si>
  <si>
    <t>BI &amp; Dashboards</t>
  </si>
  <si>
    <t>KPI model + dashboard from raw extract</t>
  </si>
  <si>
    <t>DAT-ENG</t>
  </si>
  <si>
    <t>Data Engineering</t>
  </si>
  <si>
    <t>Pipeline design task</t>
  </si>
  <si>
    <t>DAT-SCR</t>
  </si>
  <si>
    <t>Data Collection &amp; Scraping (ethical)</t>
  </si>
  <si>
    <t>Sourcing plan + sample set, compliance noted</t>
  </si>
  <si>
    <t>DAT-VIS</t>
  </si>
  <si>
    <t>Data Visualisation</t>
  </si>
  <si>
    <t>Chart-set from brief, style-matched</t>
  </si>
  <si>
    <t>DAT-MLA</t>
  </si>
  <si>
    <t>ML Application (applied)</t>
  </si>
  <si>
    <t>Model-use case build w/ evaluation</t>
  </si>
  <si>
    <t>Specialist</t>
  </si>
  <si>
    <t>DAT-SUR</t>
  </si>
  <si>
    <t>Survey Design &amp; Field Data</t>
  </si>
  <si>
    <t>Instrument + sampling plan</t>
  </si>
  <si>
    <t>Researcher</t>
  </si>
  <si>
    <t>DAT-QLT</t>
  </si>
  <si>
    <t>Qualitative Research</t>
  </si>
  <si>
    <t>Interview guide + coded excerpt</t>
  </si>
  <si>
    <t>DAT-MEL</t>
  </si>
  <si>
    <t>M&amp;E / MEAL Support</t>
  </si>
  <si>
    <t>Logframe + indicator sheet from TOR</t>
  </si>
  <si>
    <t>DAT-GIS</t>
  </si>
  <si>
    <t>GIS &amp; Mapping</t>
  </si>
  <si>
    <t>Layered map deliverable from data pack</t>
  </si>
  <si>
    <t>DSN-BRD</t>
  </si>
  <si>
    <t>Design</t>
  </si>
  <si>
    <t>Brand Identity</t>
  </si>
  <si>
    <t>Mini-identity from brief; system thinking scored</t>
  </si>
  <si>
    <t>Designer/Lead</t>
  </si>
  <si>
    <t>DSN-UIX</t>
  </si>
  <si>
    <t>UI/UX Design</t>
  </si>
  <si>
    <t>Flow + hi-fi screens + rationale</t>
  </si>
  <si>
    <t>Designer</t>
  </si>
  <si>
    <t>DSN-GRA</t>
  </si>
  <si>
    <t>Graphic Design (print/social)</t>
  </si>
  <si>
    <t>Asset set to brand kit</t>
  </si>
  <si>
    <t>DSN-MOT</t>
  </si>
  <si>
    <t>Motion Design</t>
  </si>
  <si>
    <t>15s brand motion from assets</t>
  </si>
  <si>
    <t>DSN-ILL</t>
  </si>
  <si>
    <t>Illustration</t>
  </si>
  <si>
    <t>Style-matched piece from brief</t>
  </si>
  <si>
    <t>DSN-PPT</t>
  </si>
  <si>
    <t>Presentation Design</t>
  </si>
  <si>
    <t>10-slide transform of raw deck</t>
  </si>
  <si>
    <t>DSN-PKG</t>
  </si>
  <si>
    <t>Packaging &amp; Label</t>
  </si>
  <si>
    <t>Dieline-aware concept</t>
  </si>
  <si>
    <t>DSN-3DV</t>
  </si>
  <si>
    <t>3D &amp; Visualisation</t>
  </si>
  <si>
    <t>Product/space render task</t>
  </si>
  <si>
    <t>DSN-PUB</t>
  </si>
  <si>
    <t>Publication Layout</t>
  </si>
  <si>
    <t>Report layout, 12pp, bilingual-aware</t>
  </si>
  <si>
    <t>MKC-CPY</t>
  </si>
  <si>
    <t>Marketing &amp; Content</t>
  </si>
  <si>
    <t>Copywriting (EN)</t>
  </si>
  <si>
    <t>Voice-matched copy set (Brand Book as brief)</t>
  </si>
  <si>
    <t>Writer</t>
  </si>
  <si>
    <t>MKC-CPA</t>
  </si>
  <si>
    <t>Copywriting (AR)</t>
  </si>
  <si>
    <t>Native AR copy set, register test</t>
  </si>
  <si>
    <t>MKC-SOC</t>
  </si>
  <si>
    <t>Social Media Management</t>
  </si>
  <si>
    <t>2-week calendar + sample posts</t>
  </si>
  <si>
    <t>Manager</t>
  </si>
  <si>
    <t>MKC-SEO</t>
  </si>
  <si>
    <t>SEO</t>
  </si>
  <si>
    <t>Audit memo on live URL</t>
  </si>
  <si>
    <t>MKC-PPC</t>
  </si>
  <si>
    <t>Performance Ads</t>
  </si>
  <si>
    <t>Campaign structure + budget logic</t>
  </si>
  <si>
    <t>MKC-EML</t>
  </si>
  <si>
    <t>Email &amp; CRM Flows</t>
  </si>
  <si>
    <t>3-email sequence + logic map</t>
  </si>
  <si>
    <t>MKC-CST</t>
  </si>
  <si>
    <t>Content Strategy</t>
  </si>
  <si>
    <t>Pillar plan from positioning doc</t>
  </si>
  <si>
    <t>Strategist/Lead</t>
  </si>
  <si>
    <t>MKC-SCR</t>
  </si>
  <si>
    <t>Scriptwriting (video/reels)</t>
  </si>
  <si>
    <t>30s + 90s scripts from brief</t>
  </si>
  <si>
    <t>MKC-PRS</t>
  </si>
  <si>
    <t>PR &amp; Media Notes</t>
  </si>
  <si>
    <t>Press note + pitch list</t>
  </si>
  <si>
    <t>BSF-FIN</t>
  </si>
  <si>
    <t>Business &amp; Finance</t>
  </si>
  <si>
    <t>Accounting &amp; Bookkeeping</t>
  </si>
  <si>
    <t>Trial-balance exercise on Kayan COA</t>
  </si>
  <si>
    <t>Accountant</t>
  </si>
  <si>
    <t>BSF-FPA</t>
  </si>
  <si>
    <t>Financial Analysis &amp; Modelling</t>
  </si>
  <si>
    <t>3-statement mini-model from case</t>
  </si>
  <si>
    <t>BSF-AUD</t>
  </si>
  <si>
    <t>Internal Audit Support</t>
  </si>
  <si>
    <t>Control-test workpaper task</t>
  </si>
  <si>
    <t>BSF-TAX</t>
  </si>
  <si>
    <t>Yemeni Tax &amp; Compliance Basics</t>
  </si>
  <si>
    <t>Scenario memo, sources cited</t>
  </si>
  <si>
    <t>Advisor</t>
  </si>
  <si>
    <t>BSF-PRP</t>
  </si>
  <si>
    <t>Proposals &amp; Grant Writing</t>
  </si>
  <si>
    <t>Concept-note rewrite scored</t>
  </si>
  <si>
    <t>Writer/Lead</t>
  </si>
  <si>
    <t>BSF-PMO</t>
  </si>
  <si>
    <t>Project Management</t>
  </si>
  <si>
    <t>Plan + risk register from scope sample</t>
  </si>
  <si>
    <t>PM/Lead</t>
  </si>
  <si>
    <t>BSF-BPL</t>
  </si>
  <si>
    <t>Business Planning</t>
  </si>
  <si>
    <t>Lean plan from founder interview notes</t>
  </si>
  <si>
    <t>BSF-HRS</t>
  </si>
  <si>
    <t>HR Operations Support</t>
  </si>
  <si>
    <t>Policy-to-checklist conversion task</t>
  </si>
  <si>
    <t>BSF-PRC</t>
  </si>
  <si>
    <t>Procurement Support</t>
  </si>
  <si>
    <t>RFQ pack from requirements</t>
  </si>
  <si>
    <t>BSF-LGL</t>
  </si>
  <si>
    <t>Legal Drafting Support (non-advocate)</t>
  </si>
  <si>
    <t>Contract-clause redline exercise</t>
  </si>
  <si>
    <t>ENG-CAD</t>
  </si>
  <si>
    <t>Engineering (Physical)</t>
  </si>
  <si>
    <t>CAD Drafting (2D)</t>
  </si>
  <si>
    <t>Drawing set from markups</t>
  </si>
  <si>
    <t>Drafter</t>
  </si>
  <si>
    <t>ENG-BIM</t>
  </si>
  <si>
    <t>BIM / 3D Modelling</t>
  </si>
  <si>
    <t>Model segment from plans</t>
  </si>
  <si>
    <t>ENG-BOQ</t>
  </si>
  <si>
    <t>BOQ &amp; Estimation</t>
  </si>
  <si>
    <t>Quantity take-off exercise</t>
  </si>
  <si>
    <t>Estimator</t>
  </si>
  <si>
    <t>ENG-STR</t>
  </si>
  <si>
    <t>Structural Calc Support</t>
  </si>
  <si>
    <t>Checked calc package (reviewer-signed)</t>
  </si>
  <si>
    <t>ENG-MEP</t>
  </si>
  <si>
    <t>MEP Drafting Support</t>
  </si>
  <si>
    <t>Layout from architectural base</t>
  </si>
  <si>
    <t>ENG-SUP</t>
  </si>
  <si>
    <t>Site Documentation &amp; Reports</t>
  </si>
  <si>
    <t>Report from provided site pack</t>
  </si>
  <si>
    <t>ENG-SRV</t>
  </si>
  <si>
    <t>Survey Data Processing</t>
  </si>
  <si>
    <t>Point-cloud/level sheet task</t>
  </si>
  <si>
    <t>ENG-ENV</t>
  </si>
  <si>
    <t>Environmental &amp; Safety Docs</t>
  </si>
  <si>
    <t>SSHE checklist adaptation</t>
  </si>
  <si>
    <t>LNG-TRA</t>
  </si>
  <si>
    <t>Language &amp; Translation</t>
  </si>
  <si>
    <t>Translation AR↔EN</t>
  </si>
  <si>
    <t>Timed passage, two domains</t>
  </si>
  <si>
    <t>Translator</t>
  </si>
  <si>
    <t>LNG-TRF</t>
  </si>
  <si>
    <t>Translation FR↔AR/EN</t>
  </si>
  <si>
    <t>Timed passage</t>
  </si>
  <si>
    <t>LNG-EDT</t>
  </si>
  <si>
    <t>Editing &amp; Proofreading</t>
  </si>
  <si>
    <t>Error-seeded doc</t>
  </si>
  <si>
    <t>Editor</t>
  </si>
  <si>
    <t>LNG-SUB</t>
  </si>
  <si>
    <t>Subtitling &amp; Captions</t>
  </si>
  <si>
    <t>3-min clip, timing + register</t>
  </si>
  <si>
    <t>LNG-INT</t>
  </si>
  <si>
    <t>Consecutive Interpretation</t>
  </si>
  <si>
    <t>Live 10-min assessed session</t>
  </si>
  <si>
    <t>Interpreter</t>
  </si>
  <si>
    <t>LNG-LOC</t>
  </si>
  <si>
    <t>Localisation (product strings)</t>
  </si>
  <si>
    <t>String file, context handling</t>
  </si>
  <si>
    <t>LNG-TRC</t>
  </si>
  <si>
    <t>Transcription (AR/EN)</t>
  </si>
  <si>
    <t>Accuracy/speed benchmark</t>
  </si>
  <si>
    <t>MED-VID</t>
  </si>
  <si>
    <t>Media Production</t>
  </si>
  <si>
    <t>Videography &amp; Editing</t>
  </si>
  <si>
    <t>Cut from supplied rushes</t>
  </si>
  <si>
    <t>Producer</t>
  </si>
  <si>
    <t>MED-PHO</t>
  </si>
  <si>
    <t>Photography</t>
  </si>
  <si>
    <t>Themed set, brand duotone applied</t>
  </si>
  <si>
    <t>Photographer</t>
  </si>
  <si>
    <t>MED-AUD</t>
  </si>
  <si>
    <t>Audio &amp; Podcast Production</t>
  </si>
  <si>
    <t>Clean + master raw track (sonic spec as brief)</t>
  </si>
  <si>
    <t>MED-ANM</t>
  </si>
  <si>
    <t>2D Animation</t>
  </si>
  <si>
    <t>15s explainer segment</t>
  </si>
  <si>
    <t>Animator</t>
  </si>
  <si>
    <t>MED-DRN</t>
  </si>
  <si>
    <t>Drone Capture (licensed)</t>
  </si>
  <si>
    <t>Compliance docs + sample flight plan</t>
  </si>
  <si>
    <t>MED-LIV</t>
  </si>
  <si>
    <t>Live Event Coverage</t>
  </si>
  <si>
    <t>Run-sheet + multi-cam plan</t>
  </si>
  <si>
    <t>MED-VOX</t>
  </si>
  <si>
    <t>Voice-Over (AR/EN)</t>
  </si>
  <si>
    <t>Assessed read to sonic VO standard</t>
  </si>
  <si>
    <t>Talent</t>
  </si>
  <si>
    <t>AOS-VAS</t>
  </si>
  <si>
    <t>Admin &amp; Ops Support</t>
  </si>
  <si>
    <t>Virtual Assistance</t>
  </si>
  <si>
    <t>Inbox+calendar simulation</t>
  </si>
  <si>
    <t>AOS-DAT</t>
  </si>
  <si>
    <t>Data Entry+ (structured)</t>
  </si>
  <si>
    <t>AOS-RES</t>
  </si>
  <si>
    <t>Research Support</t>
  </si>
  <si>
    <t>Source-graded brief memo</t>
  </si>
  <si>
    <t>AOS-CRM</t>
  </si>
  <si>
    <t>CRM Upkeep</t>
  </si>
  <si>
    <t>Pipeline hygiene exercise</t>
  </si>
  <si>
    <t>AOS-EVT</t>
  </si>
  <si>
    <t>Event Coordination Support</t>
  </si>
  <si>
    <t>Run-sheet from event brief</t>
  </si>
  <si>
    <t>Coordinator</t>
  </si>
  <si>
    <t>AOS-CUS</t>
  </si>
  <si>
    <t>Customer Support (chat/voice)</t>
  </si>
  <si>
    <t>Scenario handling, tone-scored</t>
  </si>
  <si>
    <t>AOS-DOC</t>
  </si>
  <si>
    <t>Document Formatting &amp; Templates</t>
  </si>
  <si>
    <t>Brand-template conversion task</t>
  </si>
  <si>
    <t>AOS-TRN</t>
  </si>
  <si>
    <t>Training Coordination</t>
  </si>
  <si>
    <t>Cohort logistics plan</t>
  </si>
  <si>
    <t>SWD-ECM</t>
  </si>
  <si>
    <t>E-Commerce Builds</t>
  </si>
  <si>
    <t>Store setup + payment-flow task</t>
  </si>
  <si>
    <t>SWD-API</t>
  </si>
  <si>
    <t>Third-Party API Work</t>
  </si>
  <si>
    <t>Integration case with error handling</t>
  </si>
  <si>
    <t>DAT-EXC</t>
  </si>
  <si>
    <t>Advanced Excel &amp; Power Query</t>
  </si>
  <si>
    <t>Workbook challenge on messy data</t>
  </si>
  <si>
    <t>DAT-PBI</t>
  </si>
  <si>
    <t>Power BI</t>
  </si>
  <si>
    <t>Model+report from extract</t>
  </si>
  <si>
    <t>DSN-SMK</t>
  </si>
  <si>
    <t>Social Media Kits</t>
  </si>
  <si>
    <t>Platform kit from Brand Book</t>
  </si>
  <si>
    <t>DSN-INF</t>
  </si>
  <si>
    <t>Infographics</t>
  </si>
  <si>
    <t>Data-story visual from memo</t>
  </si>
  <si>
    <t>MKC-CMM</t>
  </si>
  <si>
    <t>Community Management</t>
  </si>
  <si>
    <t>Response-set simulation</t>
  </si>
  <si>
    <t>MKC-INF</t>
  </si>
  <si>
    <t>Influencer/Creator Liaison</t>
  </si>
  <si>
    <t>Outreach kit + brief template</t>
  </si>
  <si>
    <t>BSF-VAL</t>
  </si>
  <si>
    <t>Valuation Support</t>
  </si>
  <si>
    <t>DCF sanity exercise</t>
  </si>
  <si>
    <t>BSF-IMP</t>
  </si>
  <si>
    <t>Impact Reporting (SDG-aligned)</t>
  </si>
  <si>
    <t>K4Y-style one-pager from data</t>
  </si>
  <si>
    <t>ENG-QSV</t>
  </si>
  <si>
    <t>Quantity Surveying Support</t>
  </si>
  <si>
    <t>Interim-payment cert exercise</t>
  </si>
  <si>
    <t>ENG-PLN</t>
  </si>
  <si>
    <t>Planning &amp; Scheduling (Primavera/MSP)</t>
  </si>
  <si>
    <t>Schedule from WBS</t>
  </si>
  <si>
    <t>Planner</t>
  </si>
  <si>
    <t>LNG-MTP</t>
  </si>
  <si>
    <t>MT Post-Editing</t>
  </si>
  <si>
    <t>Timed MTPE pass, quality scored</t>
  </si>
  <si>
    <t>MED-COL</t>
  </si>
  <si>
    <t>Colour Grading</t>
  </si>
  <si>
    <t>Grade to brand LUT brief</t>
  </si>
  <si>
    <t>AOS-BKO</t>
  </si>
  <si>
    <t>Back-Office Ops (orders/invoices)</t>
  </si>
  <si>
    <t>Process-run simulation</t>
  </si>
  <si>
    <t>AOS-QAF</t>
  </si>
  <si>
    <t>QA of Deliverables (non-code)</t>
  </si>
  <si>
    <t>Checklist review of sample pack</t>
  </si>
  <si>
    <t>Family code</t>
  </si>
  <si>
    <t>Codes count</t>
  </si>
  <si>
    <t>SWD</t>
  </si>
  <si>
    <t>DAT</t>
  </si>
  <si>
    <t>DSN</t>
  </si>
  <si>
    <t>MKC</t>
  </si>
  <si>
    <t>BSF</t>
  </si>
  <si>
    <t>ENG</t>
  </si>
  <si>
    <t>LNG</t>
  </si>
  <si>
    <t>MED</t>
  </si>
  <si>
    <t>AOS</t>
  </si>
  <si>
    <t>Date</t>
  </si>
  <si>
    <t>Action (add/retire/edit)</t>
  </si>
  <si>
    <t>Reason &amp; demand evidence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</si>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</sst>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022B22"/>
      <name val="Calibri"/>
    </font>
    <font>
      <b/>
      <sz val="11"/>
      <color rgb="FFC8962E"/>
      <name val="Calibri"/>
    </font>
    <font>
      <b/>
      <sz val="12"/>
      <color rgb="FF0D4F4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D4F4F"/>
      </patternFill>
    </fill>
    <fill>
      <patternFill patternType="solid">
        <fgColor rgb="FFF4EFE3"/>
      </patternFill>
    </fill>
  </fills>
  <borders count="2">
    <border>
      <left/>
      <right/>
      <top/>
      <bottom/>
      <diagonal/>
    </border>
    <border>
      <left style="thin">
        <color rgb="FFD8C9A8"/>
      </left>
      <right style="thin">
        <color rgb="FFD8C9A8"/>
      </right>
      <top style="thin">
        <color rgb="FFD8C9A8"/>
      </top>
      <bottom style="thin">
        <color rgb="FFD8C9A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22B22"/>
  </sheetPr>
  <dimension ref="B2:H13"/>
  <sheetViews>
    <sheetView workbookViewId="0"/>
  </sheetViews>
  <sheetFormatPr defaultRowHeight="15"/>
  <cols>
    <col min="1" max="1" width="3" customWidth="1"/>
    <col min="2" max="2" width="26" customWidth="1"/>
    <col min="3" max="3" width="64" customWidth="1"/>
    <col min="4" max="8" width="14" customWidth="1"/>
  </cols>
  <sheetData>
    <row r="2" spans="2:8">
      <c r="B2" s="7" t="s">
        <v>0</v>
      </c>
      <c r="C2" s="8"/>
      <c r="D2" s="8"/>
      <c r="E2" s="8"/>
      <c r="F2" s="8"/>
      <c r="G2" s="8"/>
      <c r="H2" s="8"/>
    </row>
    <row r="3" spans="2:8">
      <c r="B3" s="9" t="s">
        <v>1</v>
      </c>
      <c r="C3" s="8"/>
      <c r="D3" s="8"/>
      <c r="E3" s="8"/>
      <c r="F3" s="8"/>
      <c r="G3" s="8"/>
      <c r="H3" s="8"/>
    </row>
    <row r="5" spans="2:8">
      <c r="B5" s="6" t="s">
        <v>2</v>
      </c>
      <c r="C5" s="8"/>
      <c r="D5" s="8"/>
      <c r="E5" s="8"/>
      <c r="F5" s="8"/>
      <c r="G5" s="8"/>
      <c r="H5" s="8"/>
    </row>
    <row r="6" spans="2:8">
      <c r="B6" s="8"/>
      <c r="C6" s="8"/>
      <c r="D6" s="8"/>
      <c r="E6" s="8"/>
      <c r="F6" s="8"/>
      <c r="G6" s="8"/>
      <c r="H6" s="8"/>
    </row>
    <row r="7" spans="2:8">
      <c r="B7" s="8"/>
      <c r="C7" s="8"/>
      <c r="D7" s="8"/>
      <c r="E7" s="8"/>
      <c r="F7" s="8"/>
      <c r="G7" s="8"/>
      <c r="H7" s="8"/>
    </row>
    <row r="8" spans="2:8">
      <c r="B8" s="8"/>
      <c r="C8" s="8"/>
      <c r="D8" s="8"/>
      <c r="E8" s="8"/>
      <c r="F8" s="8"/>
      <c r="G8" s="8"/>
      <c r="H8" s="8"/>
    </row>
    <row r="10" spans="2:8">
      <c r="B10" s="1" t="s">
        <v>3</v>
      </c>
    </row>
    <row r="11" spans="2:8">
      <c r="B11" s="2" t="s">
        <v>4</v>
      </c>
      <c r="C11" t="s">
        <v>5</v>
      </c>
    </row>
    <row r="12" spans="2:8">
      <c r="B12" s="2" t="s">
        <v>6</v>
      </c>
      <c r="C12" t="s">
        <v>7</v>
      </c>
    </row>
    <row r="13" spans="2:8">
      <c r="B13" s="2" t="s">
        <v>8</v>
      </c>
      <c r="C13" t="s">
        <v>9</v>
      </c>
    </row>
  </sheetData>
  <mergeCells count="3">
    <mergeCell ref="B3:H3"/>
    <mergeCell ref="B5:H8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7517-26A2-4C30-A2A4-1804DE5114DB}">
  <sheetPr>
    <tabColor rgb="FF0D4F4F"/>
  </sheetPr>
  <dimension ref="A1:G96"/>
  <sheetViews>
    <sheetView tabSelected="1" workbookViewId="0">
      <pane ySplit="1" topLeftCell="A2" activePane="bottomLeft" state="frozen"/>
      <selection pane="bottomLeft" activeCell="C11" sqref="A1:G96"/>
    </sheetView>
  </sheetViews>
  <sheetFormatPr defaultRowHeight="15"/>
  <cols>
    <col min="1" max="1" width="11" customWidth="1"/>
    <col min="2" max="2" width="26" customWidth="1"/>
    <col min="3" max="3" width="34" customWidth="1"/>
    <col min="4" max="4" width="12" customWidth="1"/>
    <col min="5" max="5" width="52" customWidth="1"/>
    <col min="6" max="6" width="16" customWidth="1"/>
    <col min="7" max="7" width="8" customWidth="1"/>
  </cols>
  <sheetData>
    <row r="1" spans="1:7" ht="26.1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</row>
    <row r="3" spans="1:7">
      <c r="A3" s="5" t="s">
        <v>24</v>
      </c>
      <c r="B3" s="5" t="s">
        <v>18</v>
      </c>
      <c r="C3" s="5" t="s">
        <v>25</v>
      </c>
      <c r="D3" s="5" t="s">
        <v>20</v>
      </c>
      <c r="E3" s="5" t="s">
        <v>26</v>
      </c>
      <c r="F3" s="5" t="s">
        <v>22</v>
      </c>
      <c r="G3" s="5" t="s">
        <v>23</v>
      </c>
    </row>
    <row r="4" spans="1:7">
      <c r="A4" s="4" t="s">
        <v>27</v>
      </c>
      <c r="B4" s="4" t="s">
        <v>18</v>
      </c>
      <c r="C4" s="4" t="s">
        <v>28</v>
      </c>
      <c r="D4" s="4" t="s">
        <v>20</v>
      </c>
      <c r="E4" s="4" t="s">
        <v>29</v>
      </c>
      <c r="F4" s="4" t="s">
        <v>30</v>
      </c>
      <c r="G4" s="4" t="s">
        <v>23</v>
      </c>
    </row>
    <row r="5" spans="1:7">
      <c r="A5" s="5" t="s">
        <v>31</v>
      </c>
      <c r="B5" s="5" t="s">
        <v>18</v>
      </c>
      <c r="C5" s="5" t="s">
        <v>32</v>
      </c>
      <c r="D5" s="5" t="s">
        <v>20</v>
      </c>
      <c r="E5" s="5" t="s">
        <v>33</v>
      </c>
      <c r="F5" s="5" t="s">
        <v>22</v>
      </c>
      <c r="G5" s="5" t="s">
        <v>23</v>
      </c>
    </row>
    <row r="6" spans="1:7">
      <c r="A6" s="4" t="s">
        <v>34</v>
      </c>
      <c r="B6" s="4" t="s">
        <v>18</v>
      </c>
      <c r="C6" s="4" t="s">
        <v>35</v>
      </c>
      <c r="D6" s="4" t="s">
        <v>36</v>
      </c>
      <c r="E6" s="4" t="s">
        <v>37</v>
      </c>
      <c r="F6" s="4" t="s">
        <v>22</v>
      </c>
      <c r="G6" s="4" t="s">
        <v>23</v>
      </c>
    </row>
    <row r="7" spans="1:7">
      <c r="A7" s="5" t="s">
        <v>38</v>
      </c>
      <c r="B7" s="5" t="s">
        <v>18</v>
      </c>
      <c r="C7" s="5" t="s">
        <v>39</v>
      </c>
      <c r="D7" s="5" t="s">
        <v>36</v>
      </c>
      <c r="E7" s="5" t="s">
        <v>40</v>
      </c>
      <c r="F7" s="5" t="s">
        <v>41</v>
      </c>
      <c r="G7" s="5" t="s">
        <v>23</v>
      </c>
    </row>
    <row r="8" spans="1:7">
      <c r="A8" s="4" t="s">
        <v>42</v>
      </c>
      <c r="B8" s="4" t="s">
        <v>18</v>
      </c>
      <c r="C8" s="4" t="s">
        <v>43</v>
      </c>
      <c r="D8" s="4" t="s">
        <v>20</v>
      </c>
      <c r="E8" s="4" t="s">
        <v>44</v>
      </c>
      <c r="F8" s="4" t="s">
        <v>45</v>
      </c>
      <c r="G8" s="4" t="s">
        <v>23</v>
      </c>
    </row>
    <row r="9" spans="1:7">
      <c r="A9" s="5" t="s">
        <v>46</v>
      </c>
      <c r="B9" s="5" t="s">
        <v>18</v>
      </c>
      <c r="C9" s="5" t="s">
        <v>47</v>
      </c>
      <c r="D9" s="5" t="s">
        <v>20</v>
      </c>
      <c r="E9" s="5" t="s">
        <v>48</v>
      </c>
      <c r="F9" s="5" t="s">
        <v>22</v>
      </c>
      <c r="G9" s="5" t="s">
        <v>23</v>
      </c>
    </row>
    <row r="10" spans="1:7">
      <c r="A10" s="4" t="s">
        <v>49</v>
      </c>
      <c r="B10" s="4" t="s">
        <v>18</v>
      </c>
      <c r="C10" s="4" t="s">
        <v>50</v>
      </c>
      <c r="D10" s="4" t="s">
        <v>20</v>
      </c>
      <c r="E10" s="4" t="s">
        <v>51</v>
      </c>
      <c r="F10" s="4" t="s">
        <v>22</v>
      </c>
      <c r="G10" s="4" t="s">
        <v>23</v>
      </c>
    </row>
    <row r="11" spans="1:7">
      <c r="A11" s="5" t="s">
        <v>52</v>
      </c>
      <c r="B11" s="5" t="s">
        <v>18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23</v>
      </c>
    </row>
    <row r="12" spans="1:7">
      <c r="A12" s="4" t="s">
        <v>57</v>
      </c>
      <c r="B12" s="4" t="s">
        <v>18</v>
      </c>
      <c r="C12" s="4" t="s">
        <v>58</v>
      </c>
      <c r="D12" s="4" t="s">
        <v>36</v>
      </c>
      <c r="E12" s="4" t="s">
        <v>59</v>
      </c>
      <c r="F12" s="4" t="s">
        <v>60</v>
      </c>
      <c r="G12" s="4" t="s">
        <v>23</v>
      </c>
    </row>
    <row r="13" spans="1:7">
      <c r="A13" s="5" t="s">
        <v>61</v>
      </c>
      <c r="B13" s="5" t="s">
        <v>62</v>
      </c>
      <c r="C13" s="5" t="s">
        <v>63</v>
      </c>
      <c r="D13" s="5" t="s">
        <v>36</v>
      </c>
      <c r="E13" s="5" t="s">
        <v>64</v>
      </c>
      <c r="F13" s="5" t="s">
        <v>65</v>
      </c>
      <c r="G13" s="5" t="s">
        <v>23</v>
      </c>
    </row>
    <row r="14" spans="1:7">
      <c r="A14" s="4" t="s">
        <v>66</v>
      </c>
      <c r="B14" s="4" t="s">
        <v>62</v>
      </c>
      <c r="C14" s="4" t="s">
        <v>67</v>
      </c>
      <c r="D14" s="4" t="s">
        <v>20</v>
      </c>
      <c r="E14" s="4" t="s">
        <v>68</v>
      </c>
      <c r="F14" s="4" t="s">
        <v>65</v>
      </c>
      <c r="G14" s="4" t="s">
        <v>23</v>
      </c>
    </row>
    <row r="15" spans="1:7">
      <c r="A15" s="5" t="s">
        <v>69</v>
      </c>
      <c r="B15" s="5" t="s">
        <v>62</v>
      </c>
      <c r="C15" s="5" t="s">
        <v>70</v>
      </c>
      <c r="D15" s="5" t="s">
        <v>20</v>
      </c>
      <c r="E15" s="5" t="s">
        <v>71</v>
      </c>
      <c r="F15" s="5" t="s">
        <v>22</v>
      </c>
      <c r="G15" s="5" t="s">
        <v>23</v>
      </c>
    </row>
    <row r="16" spans="1:7">
      <c r="A16" s="4" t="s">
        <v>72</v>
      </c>
      <c r="B16" s="4" t="s">
        <v>62</v>
      </c>
      <c r="C16" s="4" t="s">
        <v>73</v>
      </c>
      <c r="D16" s="4" t="s">
        <v>20</v>
      </c>
      <c r="E16" s="4" t="s">
        <v>74</v>
      </c>
      <c r="F16" s="4" t="s">
        <v>22</v>
      </c>
      <c r="G16" s="4" t="s">
        <v>23</v>
      </c>
    </row>
    <row r="17" spans="1:7">
      <c r="A17" s="5" t="s">
        <v>75</v>
      </c>
      <c r="B17" s="5" t="s">
        <v>62</v>
      </c>
      <c r="C17" s="5" t="s">
        <v>76</v>
      </c>
      <c r="D17" s="5" t="s">
        <v>36</v>
      </c>
      <c r="E17" s="5" t="s">
        <v>77</v>
      </c>
      <c r="F17" s="5" t="s">
        <v>65</v>
      </c>
      <c r="G17" s="5" t="s">
        <v>23</v>
      </c>
    </row>
    <row r="18" spans="1:7">
      <c r="A18" s="4" t="s">
        <v>78</v>
      </c>
      <c r="B18" s="4" t="s">
        <v>62</v>
      </c>
      <c r="C18" s="4" t="s">
        <v>79</v>
      </c>
      <c r="D18" s="4" t="s">
        <v>54</v>
      </c>
      <c r="E18" s="4" t="s">
        <v>80</v>
      </c>
      <c r="F18" s="4" t="s">
        <v>81</v>
      </c>
      <c r="G18" s="4" t="s">
        <v>23</v>
      </c>
    </row>
    <row r="19" spans="1:7">
      <c r="A19" s="5" t="s">
        <v>82</v>
      </c>
      <c r="B19" s="5" t="s">
        <v>62</v>
      </c>
      <c r="C19" s="5" t="s">
        <v>83</v>
      </c>
      <c r="D19" s="5" t="s">
        <v>20</v>
      </c>
      <c r="E19" s="5" t="s">
        <v>84</v>
      </c>
      <c r="F19" s="5" t="s">
        <v>85</v>
      </c>
      <c r="G19" s="5" t="s">
        <v>23</v>
      </c>
    </row>
    <row r="20" spans="1:7">
      <c r="A20" s="4" t="s">
        <v>86</v>
      </c>
      <c r="B20" s="4" t="s">
        <v>62</v>
      </c>
      <c r="C20" s="4" t="s">
        <v>87</v>
      </c>
      <c r="D20" s="4" t="s">
        <v>20</v>
      </c>
      <c r="E20" s="4" t="s">
        <v>88</v>
      </c>
      <c r="F20" s="4" t="s">
        <v>85</v>
      </c>
      <c r="G20" s="4" t="s">
        <v>23</v>
      </c>
    </row>
    <row r="21" spans="1:7">
      <c r="A21" s="5" t="s">
        <v>89</v>
      </c>
      <c r="B21" s="5" t="s">
        <v>62</v>
      </c>
      <c r="C21" s="5" t="s">
        <v>90</v>
      </c>
      <c r="D21" s="5" t="s">
        <v>20</v>
      </c>
      <c r="E21" s="5" t="s">
        <v>91</v>
      </c>
      <c r="F21" s="5" t="s">
        <v>65</v>
      </c>
      <c r="G21" s="5" t="s">
        <v>23</v>
      </c>
    </row>
    <row r="22" spans="1:7">
      <c r="A22" s="4" t="s">
        <v>92</v>
      </c>
      <c r="B22" s="4" t="s">
        <v>62</v>
      </c>
      <c r="C22" s="4" t="s">
        <v>93</v>
      </c>
      <c r="D22" s="4" t="s">
        <v>20</v>
      </c>
      <c r="E22" s="4" t="s">
        <v>94</v>
      </c>
      <c r="F22" s="4" t="s">
        <v>81</v>
      </c>
      <c r="G22" s="4" t="s">
        <v>23</v>
      </c>
    </row>
    <row r="23" spans="1:7">
      <c r="A23" s="5" t="s">
        <v>95</v>
      </c>
      <c r="B23" s="5" t="s">
        <v>96</v>
      </c>
      <c r="C23" s="5" t="s">
        <v>97</v>
      </c>
      <c r="D23" s="5" t="s">
        <v>20</v>
      </c>
      <c r="E23" s="5" t="s">
        <v>98</v>
      </c>
      <c r="F23" s="5" t="s">
        <v>99</v>
      </c>
      <c r="G23" s="5" t="s">
        <v>23</v>
      </c>
    </row>
    <row r="24" spans="1:7">
      <c r="A24" s="4" t="s">
        <v>100</v>
      </c>
      <c r="B24" s="4" t="s">
        <v>96</v>
      </c>
      <c r="C24" s="4" t="s">
        <v>101</v>
      </c>
      <c r="D24" s="4" t="s">
        <v>20</v>
      </c>
      <c r="E24" s="4" t="s">
        <v>102</v>
      </c>
      <c r="F24" s="4" t="s">
        <v>103</v>
      </c>
      <c r="G24" s="4" t="s">
        <v>23</v>
      </c>
    </row>
    <row r="25" spans="1:7">
      <c r="A25" s="5" t="s">
        <v>104</v>
      </c>
      <c r="B25" s="5" t="s">
        <v>96</v>
      </c>
      <c r="C25" s="5" t="s">
        <v>105</v>
      </c>
      <c r="D25" s="5" t="s">
        <v>36</v>
      </c>
      <c r="E25" s="5" t="s">
        <v>106</v>
      </c>
      <c r="F25" s="5" t="s">
        <v>103</v>
      </c>
      <c r="G25" s="5" t="s">
        <v>23</v>
      </c>
    </row>
    <row r="26" spans="1:7">
      <c r="A26" s="4" t="s">
        <v>107</v>
      </c>
      <c r="B26" s="4" t="s">
        <v>96</v>
      </c>
      <c r="C26" s="4" t="s">
        <v>108</v>
      </c>
      <c r="D26" s="4" t="s">
        <v>20</v>
      </c>
      <c r="E26" s="4" t="s">
        <v>109</v>
      </c>
      <c r="F26" s="4" t="s">
        <v>103</v>
      </c>
      <c r="G26" s="4" t="s">
        <v>23</v>
      </c>
    </row>
    <row r="27" spans="1:7">
      <c r="A27" s="5" t="s">
        <v>110</v>
      </c>
      <c r="B27" s="5" t="s">
        <v>96</v>
      </c>
      <c r="C27" s="5" t="s">
        <v>111</v>
      </c>
      <c r="D27" s="5" t="s">
        <v>36</v>
      </c>
      <c r="E27" s="5" t="s">
        <v>112</v>
      </c>
      <c r="F27" s="5" t="s">
        <v>103</v>
      </c>
      <c r="G27" s="5" t="s">
        <v>23</v>
      </c>
    </row>
    <row r="28" spans="1:7">
      <c r="A28" s="4" t="s">
        <v>113</v>
      </c>
      <c r="B28" s="4" t="s">
        <v>96</v>
      </c>
      <c r="C28" s="4" t="s">
        <v>114</v>
      </c>
      <c r="D28" s="4" t="s">
        <v>36</v>
      </c>
      <c r="E28" s="4" t="s">
        <v>115</v>
      </c>
      <c r="F28" s="4" t="s">
        <v>103</v>
      </c>
      <c r="G28" s="4" t="s">
        <v>23</v>
      </c>
    </row>
    <row r="29" spans="1:7">
      <c r="A29" s="5" t="s">
        <v>116</v>
      </c>
      <c r="B29" s="5" t="s">
        <v>96</v>
      </c>
      <c r="C29" s="5" t="s">
        <v>117</v>
      </c>
      <c r="D29" s="5" t="s">
        <v>20</v>
      </c>
      <c r="E29" s="5" t="s">
        <v>118</v>
      </c>
      <c r="F29" s="5" t="s">
        <v>103</v>
      </c>
      <c r="G29" s="5" t="s">
        <v>23</v>
      </c>
    </row>
    <row r="30" spans="1:7">
      <c r="A30" s="4" t="s">
        <v>119</v>
      </c>
      <c r="B30" s="4" t="s">
        <v>96</v>
      </c>
      <c r="C30" s="4" t="s">
        <v>120</v>
      </c>
      <c r="D30" s="4" t="s">
        <v>20</v>
      </c>
      <c r="E30" s="4" t="s">
        <v>121</v>
      </c>
      <c r="F30" s="4" t="s">
        <v>81</v>
      </c>
      <c r="G30" s="4" t="s">
        <v>23</v>
      </c>
    </row>
    <row r="31" spans="1:7">
      <c r="A31" s="5" t="s">
        <v>122</v>
      </c>
      <c r="B31" s="5" t="s">
        <v>96</v>
      </c>
      <c r="C31" s="5" t="s">
        <v>123</v>
      </c>
      <c r="D31" s="5" t="s">
        <v>20</v>
      </c>
      <c r="E31" s="5" t="s">
        <v>124</v>
      </c>
      <c r="F31" s="5" t="s">
        <v>103</v>
      </c>
      <c r="G31" s="5" t="s">
        <v>23</v>
      </c>
    </row>
    <row r="32" spans="1:7">
      <c r="A32" s="4" t="s">
        <v>125</v>
      </c>
      <c r="B32" s="4" t="s">
        <v>126</v>
      </c>
      <c r="C32" s="4" t="s">
        <v>127</v>
      </c>
      <c r="D32" s="4" t="s">
        <v>36</v>
      </c>
      <c r="E32" s="4" t="s">
        <v>128</v>
      </c>
      <c r="F32" s="4" t="s">
        <v>129</v>
      </c>
      <c r="G32" s="4" t="s">
        <v>23</v>
      </c>
    </row>
    <row r="33" spans="1:7">
      <c r="A33" s="5" t="s">
        <v>130</v>
      </c>
      <c r="B33" s="5" t="s">
        <v>126</v>
      </c>
      <c r="C33" s="5" t="s">
        <v>131</v>
      </c>
      <c r="D33" s="5" t="s">
        <v>36</v>
      </c>
      <c r="E33" s="5" t="s">
        <v>132</v>
      </c>
      <c r="F33" s="5" t="s">
        <v>129</v>
      </c>
      <c r="G33" s="5" t="s">
        <v>23</v>
      </c>
    </row>
    <row r="34" spans="1:7">
      <c r="A34" s="4" t="s">
        <v>133</v>
      </c>
      <c r="B34" s="4" t="s">
        <v>126</v>
      </c>
      <c r="C34" s="4" t="s">
        <v>134</v>
      </c>
      <c r="D34" s="4" t="s">
        <v>36</v>
      </c>
      <c r="E34" s="4" t="s">
        <v>135</v>
      </c>
      <c r="F34" s="4" t="s">
        <v>136</v>
      </c>
      <c r="G34" s="4" t="s">
        <v>23</v>
      </c>
    </row>
    <row r="35" spans="1:7">
      <c r="A35" s="5" t="s">
        <v>137</v>
      </c>
      <c r="B35" s="5" t="s">
        <v>126</v>
      </c>
      <c r="C35" s="5" t="s">
        <v>138</v>
      </c>
      <c r="D35" s="5" t="s">
        <v>20</v>
      </c>
      <c r="E35" s="5" t="s">
        <v>139</v>
      </c>
      <c r="F35" s="5" t="s">
        <v>81</v>
      </c>
      <c r="G35" s="5" t="s">
        <v>23</v>
      </c>
    </row>
    <row r="36" spans="1:7">
      <c r="A36" s="4" t="s">
        <v>140</v>
      </c>
      <c r="B36" s="4" t="s">
        <v>126</v>
      </c>
      <c r="C36" s="4" t="s">
        <v>141</v>
      </c>
      <c r="D36" s="4" t="s">
        <v>20</v>
      </c>
      <c r="E36" s="4" t="s">
        <v>142</v>
      </c>
      <c r="F36" s="4" t="s">
        <v>81</v>
      </c>
      <c r="G36" s="4" t="s">
        <v>23</v>
      </c>
    </row>
    <row r="37" spans="1:7">
      <c r="A37" s="5" t="s">
        <v>143</v>
      </c>
      <c r="B37" s="5" t="s">
        <v>126</v>
      </c>
      <c r="C37" s="5" t="s">
        <v>144</v>
      </c>
      <c r="D37" s="5" t="s">
        <v>20</v>
      </c>
      <c r="E37" s="5" t="s">
        <v>145</v>
      </c>
      <c r="F37" s="5" t="s">
        <v>81</v>
      </c>
      <c r="G37" s="5" t="s">
        <v>23</v>
      </c>
    </row>
    <row r="38" spans="1:7">
      <c r="A38" s="4" t="s">
        <v>146</v>
      </c>
      <c r="B38" s="4" t="s">
        <v>126</v>
      </c>
      <c r="C38" s="4" t="s">
        <v>147</v>
      </c>
      <c r="D38" s="4" t="s">
        <v>20</v>
      </c>
      <c r="E38" s="4" t="s">
        <v>148</v>
      </c>
      <c r="F38" s="4" t="s">
        <v>149</v>
      </c>
      <c r="G38" s="4" t="s">
        <v>23</v>
      </c>
    </row>
    <row r="39" spans="1:7">
      <c r="A39" s="5" t="s">
        <v>150</v>
      </c>
      <c r="B39" s="5" t="s">
        <v>126</v>
      </c>
      <c r="C39" s="5" t="s">
        <v>151</v>
      </c>
      <c r="D39" s="5" t="s">
        <v>36</v>
      </c>
      <c r="E39" s="5" t="s">
        <v>152</v>
      </c>
      <c r="F39" s="5" t="s">
        <v>129</v>
      </c>
      <c r="G39" s="5" t="s">
        <v>23</v>
      </c>
    </row>
    <row r="40" spans="1:7">
      <c r="A40" s="4" t="s">
        <v>153</v>
      </c>
      <c r="B40" s="4" t="s">
        <v>126</v>
      </c>
      <c r="C40" s="4" t="s">
        <v>154</v>
      </c>
      <c r="D40" s="4" t="s">
        <v>20</v>
      </c>
      <c r="E40" s="4" t="s">
        <v>155</v>
      </c>
      <c r="F40" s="4" t="s">
        <v>129</v>
      </c>
      <c r="G40" s="4" t="s">
        <v>23</v>
      </c>
    </row>
    <row r="41" spans="1:7">
      <c r="A41" s="5" t="s">
        <v>156</v>
      </c>
      <c r="B41" s="5" t="s">
        <v>157</v>
      </c>
      <c r="C41" s="5" t="s">
        <v>158</v>
      </c>
      <c r="D41" s="5" t="s">
        <v>20</v>
      </c>
      <c r="E41" s="5" t="s">
        <v>159</v>
      </c>
      <c r="F41" s="5" t="s">
        <v>160</v>
      </c>
      <c r="G41" s="5" t="s">
        <v>23</v>
      </c>
    </row>
    <row r="42" spans="1:7">
      <c r="A42" s="4" t="s">
        <v>161</v>
      </c>
      <c r="B42" s="4" t="s">
        <v>157</v>
      </c>
      <c r="C42" s="4" t="s">
        <v>162</v>
      </c>
      <c r="D42" s="4" t="s">
        <v>20</v>
      </c>
      <c r="E42" s="4" t="s">
        <v>163</v>
      </c>
      <c r="F42" s="4" t="s">
        <v>65</v>
      </c>
      <c r="G42" s="4" t="s">
        <v>23</v>
      </c>
    </row>
    <row r="43" spans="1:7">
      <c r="A43" s="5" t="s">
        <v>164</v>
      </c>
      <c r="B43" s="5" t="s">
        <v>157</v>
      </c>
      <c r="C43" s="5" t="s">
        <v>165</v>
      </c>
      <c r="D43" s="5" t="s">
        <v>54</v>
      </c>
      <c r="E43" s="5" t="s">
        <v>166</v>
      </c>
      <c r="F43" s="5" t="s">
        <v>56</v>
      </c>
      <c r="G43" s="5" t="s">
        <v>23</v>
      </c>
    </row>
    <row r="44" spans="1:7">
      <c r="A44" s="4" t="s">
        <v>167</v>
      </c>
      <c r="B44" s="4" t="s">
        <v>157</v>
      </c>
      <c r="C44" s="4" t="s">
        <v>168</v>
      </c>
      <c r="D44" s="4" t="s">
        <v>20</v>
      </c>
      <c r="E44" s="4" t="s">
        <v>169</v>
      </c>
      <c r="F44" s="4" t="s">
        <v>170</v>
      </c>
      <c r="G44" s="4" t="s">
        <v>23</v>
      </c>
    </row>
    <row r="45" spans="1:7">
      <c r="A45" s="5" t="s">
        <v>171</v>
      </c>
      <c r="B45" s="5" t="s">
        <v>157</v>
      </c>
      <c r="C45" s="5" t="s">
        <v>172</v>
      </c>
      <c r="D45" s="5" t="s">
        <v>20</v>
      </c>
      <c r="E45" s="5" t="s">
        <v>173</v>
      </c>
      <c r="F45" s="5" t="s">
        <v>174</v>
      </c>
      <c r="G45" s="5" t="s">
        <v>23</v>
      </c>
    </row>
    <row r="46" spans="1:7">
      <c r="A46" s="4" t="s">
        <v>175</v>
      </c>
      <c r="B46" s="4" t="s">
        <v>157</v>
      </c>
      <c r="C46" s="4" t="s">
        <v>176</v>
      </c>
      <c r="D46" s="4" t="s">
        <v>20</v>
      </c>
      <c r="E46" s="4" t="s">
        <v>177</v>
      </c>
      <c r="F46" s="4" t="s">
        <v>178</v>
      </c>
      <c r="G46" s="4" t="s">
        <v>23</v>
      </c>
    </row>
    <row r="47" spans="1:7">
      <c r="A47" s="5" t="s">
        <v>179</v>
      </c>
      <c r="B47" s="5" t="s">
        <v>157</v>
      </c>
      <c r="C47" s="5" t="s">
        <v>180</v>
      </c>
      <c r="D47" s="5" t="s">
        <v>20</v>
      </c>
      <c r="E47" s="5" t="s">
        <v>181</v>
      </c>
      <c r="F47" s="5" t="s">
        <v>170</v>
      </c>
      <c r="G47" s="5" t="s">
        <v>23</v>
      </c>
    </row>
    <row r="48" spans="1:7">
      <c r="A48" s="4" t="s">
        <v>182</v>
      </c>
      <c r="B48" s="4" t="s">
        <v>157</v>
      </c>
      <c r="C48" s="4" t="s">
        <v>183</v>
      </c>
      <c r="D48" s="4" t="s">
        <v>36</v>
      </c>
      <c r="E48" s="4" t="s">
        <v>184</v>
      </c>
      <c r="F48" s="4" t="s">
        <v>60</v>
      </c>
      <c r="G48" s="4" t="s">
        <v>23</v>
      </c>
    </row>
    <row r="49" spans="1:7">
      <c r="A49" s="5" t="s">
        <v>185</v>
      </c>
      <c r="B49" s="5" t="s">
        <v>157</v>
      </c>
      <c r="C49" s="5" t="s">
        <v>186</v>
      </c>
      <c r="D49" s="5" t="s">
        <v>20</v>
      </c>
      <c r="E49" s="5" t="s">
        <v>187</v>
      </c>
      <c r="F49" s="5" t="s">
        <v>60</v>
      </c>
      <c r="G49" s="5" t="s">
        <v>23</v>
      </c>
    </row>
    <row r="50" spans="1:7">
      <c r="A50" s="4" t="s">
        <v>188</v>
      </c>
      <c r="B50" s="4" t="s">
        <v>157</v>
      </c>
      <c r="C50" s="4" t="s">
        <v>189</v>
      </c>
      <c r="D50" s="4" t="s">
        <v>54</v>
      </c>
      <c r="E50" s="4" t="s">
        <v>190</v>
      </c>
      <c r="F50" s="4" t="s">
        <v>56</v>
      </c>
      <c r="G50" s="4" t="s">
        <v>23</v>
      </c>
    </row>
    <row r="51" spans="1:7">
      <c r="A51" s="5" t="s">
        <v>191</v>
      </c>
      <c r="B51" s="5" t="s">
        <v>192</v>
      </c>
      <c r="C51" s="5" t="s">
        <v>193</v>
      </c>
      <c r="D51" s="5" t="s">
        <v>20</v>
      </c>
      <c r="E51" s="5" t="s">
        <v>194</v>
      </c>
      <c r="F51" s="5" t="s">
        <v>195</v>
      </c>
      <c r="G51" s="5" t="s">
        <v>23</v>
      </c>
    </row>
    <row r="52" spans="1:7">
      <c r="A52" s="4" t="s">
        <v>196</v>
      </c>
      <c r="B52" s="4" t="s">
        <v>192</v>
      </c>
      <c r="C52" s="4" t="s">
        <v>197</v>
      </c>
      <c r="D52" s="4" t="s">
        <v>20</v>
      </c>
      <c r="E52" s="4" t="s">
        <v>198</v>
      </c>
      <c r="F52" s="4" t="s">
        <v>81</v>
      </c>
      <c r="G52" s="4" t="s">
        <v>23</v>
      </c>
    </row>
    <row r="53" spans="1:7">
      <c r="A53" s="5" t="s">
        <v>199</v>
      </c>
      <c r="B53" s="5" t="s">
        <v>192</v>
      </c>
      <c r="C53" s="5" t="s">
        <v>200</v>
      </c>
      <c r="D53" s="5" t="s">
        <v>20</v>
      </c>
      <c r="E53" s="5" t="s">
        <v>201</v>
      </c>
      <c r="F53" s="5" t="s">
        <v>202</v>
      </c>
      <c r="G53" s="5" t="s">
        <v>23</v>
      </c>
    </row>
    <row r="54" spans="1:7">
      <c r="A54" s="4" t="s">
        <v>203</v>
      </c>
      <c r="B54" s="4" t="s">
        <v>192</v>
      </c>
      <c r="C54" s="4" t="s">
        <v>204</v>
      </c>
      <c r="D54" s="4" t="s">
        <v>54</v>
      </c>
      <c r="E54" s="4" t="s">
        <v>205</v>
      </c>
      <c r="F54" s="4" t="s">
        <v>81</v>
      </c>
      <c r="G54" s="4" t="s">
        <v>23</v>
      </c>
    </row>
    <row r="55" spans="1:7">
      <c r="A55" s="5" t="s">
        <v>206</v>
      </c>
      <c r="B55" s="5" t="s">
        <v>192</v>
      </c>
      <c r="C55" s="5" t="s">
        <v>207</v>
      </c>
      <c r="D55" s="5" t="s">
        <v>20</v>
      </c>
      <c r="E55" s="5" t="s">
        <v>208</v>
      </c>
      <c r="F55" s="5" t="s">
        <v>195</v>
      </c>
      <c r="G55" s="5" t="s">
        <v>23</v>
      </c>
    </row>
    <row r="56" spans="1:7">
      <c r="A56" s="4" t="s">
        <v>209</v>
      </c>
      <c r="B56" s="4" t="s">
        <v>192</v>
      </c>
      <c r="C56" s="4" t="s">
        <v>210</v>
      </c>
      <c r="D56" s="4" t="s">
        <v>36</v>
      </c>
      <c r="E56" s="4" t="s">
        <v>211</v>
      </c>
      <c r="F56" s="4" t="s">
        <v>60</v>
      </c>
      <c r="G56" s="4" t="s">
        <v>23</v>
      </c>
    </row>
    <row r="57" spans="1:7">
      <c r="A57" s="5" t="s">
        <v>212</v>
      </c>
      <c r="B57" s="5" t="s">
        <v>192</v>
      </c>
      <c r="C57" s="5" t="s">
        <v>213</v>
      </c>
      <c r="D57" s="5" t="s">
        <v>20</v>
      </c>
      <c r="E57" s="5" t="s">
        <v>214</v>
      </c>
      <c r="F57" s="5" t="s">
        <v>81</v>
      </c>
      <c r="G57" s="5" t="s">
        <v>23</v>
      </c>
    </row>
    <row r="58" spans="1:7">
      <c r="A58" s="4" t="s">
        <v>215</v>
      </c>
      <c r="B58" s="4" t="s">
        <v>192</v>
      </c>
      <c r="C58" s="4" t="s">
        <v>216</v>
      </c>
      <c r="D58" s="4" t="s">
        <v>20</v>
      </c>
      <c r="E58" s="4" t="s">
        <v>217</v>
      </c>
      <c r="F58" s="4" t="s">
        <v>60</v>
      </c>
      <c r="G58" s="4" t="s">
        <v>23</v>
      </c>
    </row>
    <row r="59" spans="1:7">
      <c r="A59" s="5" t="s">
        <v>218</v>
      </c>
      <c r="B59" s="5" t="s">
        <v>219</v>
      </c>
      <c r="C59" s="5" t="s">
        <v>220</v>
      </c>
      <c r="D59" s="5" t="s">
        <v>36</v>
      </c>
      <c r="E59" s="5" t="s">
        <v>221</v>
      </c>
      <c r="F59" s="5" t="s">
        <v>222</v>
      </c>
      <c r="G59" s="5" t="s">
        <v>23</v>
      </c>
    </row>
    <row r="60" spans="1:7">
      <c r="A60" s="4" t="s">
        <v>223</v>
      </c>
      <c r="B60" s="4" t="s">
        <v>219</v>
      </c>
      <c r="C60" s="4" t="s">
        <v>224</v>
      </c>
      <c r="D60" s="4" t="s">
        <v>20</v>
      </c>
      <c r="E60" s="4" t="s">
        <v>225</v>
      </c>
      <c r="F60" s="4" t="s">
        <v>222</v>
      </c>
      <c r="G60" s="4" t="s">
        <v>23</v>
      </c>
    </row>
    <row r="61" spans="1:7">
      <c r="A61" s="5" t="s">
        <v>226</v>
      </c>
      <c r="B61" s="5" t="s">
        <v>219</v>
      </c>
      <c r="C61" s="5" t="s">
        <v>227</v>
      </c>
      <c r="D61" s="5" t="s">
        <v>36</v>
      </c>
      <c r="E61" s="5" t="s">
        <v>228</v>
      </c>
      <c r="F61" s="5" t="s">
        <v>229</v>
      </c>
      <c r="G61" s="5" t="s">
        <v>23</v>
      </c>
    </row>
    <row r="62" spans="1:7">
      <c r="A62" s="4" t="s">
        <v>230</v>
      </c>
      <c r="B62" s="4" t="s">
        <v>219</v>
      </c>
      <c r="C62" s="4" t="s">
        <v>231</v>
      </c>
      <c r="D62" s="4" t="s">
        <v>20</v>
      </c>
      <c r="E62" s="4" t="s">
        <v>232</v>
      </c>
      <c r="F62" s="4" t="s">
        <v>81</v>
      </c>
      <c r="G62" s="4" t="s">
        <v>23</v>
      </c>
    </row>
    <row r="63" spans="1:7">
      <c r="A63" s="5" t="s">
        <v>233</v>
      </c>
      <c r="B63" s="5" t="s">
        <v>219</v>
      </c>
      <c r="C63" s="5" t="s">
        <v>234</v>
      </c>
      <c r="D63" s="5" t="s">
        <v>54</v>
      </c>
      <c r="E63" s="5" t="s">
        <v>235</v>
      </c>
      <c r="F63" s="5" t="s">
        <v>236</v>
      </c>
      <c r="G63" s="5" t="s">
        <v>23</v>
      </c>
    </row>
    <row r="64" spans="1:7">
      <c r="A64" s="4" t="s">
        <v>237</v>
      </c>
      <c r="B64" s="4" t="s">
        <v>219</v>
      </c>
      <c r="C64" s="4" t="s">
        <v>238</v>
      </c>
      <c r="D64" s="4" t="s">
        <v>20</v>
      </c>
      <c r="E64" s="4" t="s">
        <v>239</v>
      </c>
      <c r="F64" s="4" t="s">
        <v>81</v>
      </c>
      <c r="G64" s="4" t="s">
        <v>23</v>
      </c>
    </row>
    <row r="65" spans="1:7">
      <c r="A65" s="5" t="s">
        <v>240</v>
      </c>
      <c r="B65" s="5" t="s">
        <v>219</v>
      </c>
      <c r="C65" s="5" t="s">
        <v>241</v>
      </c>
      <c r="D65" s="5" t="s">
        <v>36</v>
      </c>
      <c r="E65" s="5" t="s">
        <v>242</v>
      </c>
      <c r="F65" s="5" t="s">
        <v>60</v>
      </c>
      <c r="G65" s="5" t="s">
        <v>23</v>
      </c>
    </row>
    <row r="66" spans="1:7">
      <c r="A66" s="4" t="s">
        <v>243</v>
      </c>
      <c r="B66" s="4" t="s">
        <v>244</v>
      </c>
      <c r="C66" s="4" t="s">
        <v>245</v>
      </c>
      <c r="D66" s="4" t="s">
        <v>20</v>
      </c>
      <c r="E66" s="4" t="s">
        <v>246</v>
      </c>
      <c r="F66" s="4" t="s">
        <v>247</v>
      </c>
      <c r="G66" s="4" t="s">
        <v>23</v>
      </c>
    </row>
    <row r="67" spans="1:7">
      <c r="A67" s="5" t="s">
        <v>248</v>
      </c>
      <c r="B67" s="5" t="s">
        <v>244</v>
      </c>
      <c r="C67" s="5" t="s">
        <v>249</v>
      </c>
      <c r="D67" s="5" t="s">
        <v>36</v>
      </c>
      <c r="E67" s="5" t="s">
        <v>250</v>
      </c>
      <c r="F67" s="5" t="s">
        <v>251</v>
      </c>
      <c r="G67" s="5" t="s">
        <v>23</v>
      </c>
    </row>
    <row r="68" spans="1:7">
      <c r="A68" s="4" t="s">
        <v>252</v>
      </c>
      <c r="B68" s="4" t="s">
        <v>244</v>
      </c>
      <c r="C68" s="4" t="s">
        <v>253</v>
      </c>
      <c r="D68" s="4" t="s">
        <v>20</v>
      </c>
      <c r="E68" s="4" t="s">
        <v>254</v>
      </c>
      <c r="F68" s="4" t="s">
        <v>247</v>
      </c>
      <c r="G68" s="4" t="s">
        <v>23</v>
      </c>
    </row>
    <row r="69" spans="1:7">
      <c r="A69" s="5" t="s">
        <v>255</v>
      </c>
      <c r="B69" s="5" t="s">
        <v>244</v>
      </c>
      <c r="C69" s="5" t="s">
        <v>256</v>
      </c>
      <c r="D69" s="5" t="s">
        <v>20</v>
      </c>
      <c r="E69" s="5" t="s">
        <v>257</v>
      </c>
      <c r="F69" s="5" t="s">
        <v>258</v>
      </c>
      <c r="G69" s="5" t="s">
        <v>23</v>
      </c>
    </row>
    <row r="70" spans="1:7">
      <c r="A70" s="4" t="s">
        <v>259</v>
      </c>
      <c r="B70" s="4" t="s">
        <v>244</v>
      </c>
      <c r="C70" s="4" t="s">
        <v>260</v>
      </c>
      <c r="D70" s="4" t="s">
        <v>54</v>
      </c>
      <c r="E70" s="4" t="s">
        <v>261</v>
      </c>
      <c r="F70" s="4" t="s">
        <v>81</v>
      </c>
      <c r="G70" s="4" t="s">
        <v>23</v>
      </c>
    </row>
    <row r="71" spans="1:7">
      <c r="A71" s="5" t="s">
        <v>262</v>
      </c>
      <c r="B71" s="5" t="s">
        <v>244</v>
      </c>
      <c r="C71" s="5" t="s">
        <v>263</v>
      </c>
      <c r="D71" s="5" t="s">
        <v>20</v>
      </c>
      <c r="E71" s="5" t="s">
        <v>264</v>
      </c>
      <c r="F71" s="5" t="s">
        <v>247</v>
      </c>
      <c r="G71" s="5" t="s">
        <v>23</v>
      </c>
    </row>
    <row r="72" spans="1:7">
      <c r="A72" s="4" t="s">
        <v>265</v>
      </c>
      <c r="B72" s="4" t="s">
        <v>244</v>
      </c>
      <c r="C72" s="4" t="s">
        <v>266</v>
      </c>
      <c r="D72" s="4" t="s">
        <v>36</v>
      </c>
      <c r="E72" s="4" t="s">
        <v>267</v>
      </c>
      <c r="F72" s="4" t="s">
        <v>268</v>
      </c>
      <c r="G72" s="4" t="s">
        <v>23</v>
      </c>
    </row>
    <row r="73" spans="1:7">
      <c r="A73" s="5" t="s">
        <v>269</v>
      </c>
      <c r="B73" s="5" t="s">
        <v>270</v>
      </c>
      <c r="C73" s="5" t="s">
        <v>271</v>
      </c>
      <c r="D73" s="5" t="s">
        <v>36</v>
      </c>
      <c r="E73" s="5" t="s">
        <v>272</v>
      </c>
      <c r="F73" s="5" t="s">
        <v>60</v>
      </c>
      <c r="G73" s="5" t="s">
        <v>23</v>
      </c>
    </row>
    <row r="74" spans="1:7">
      <c r="A74" s="4" t="s">
        <v>273</v>
      </c>
      <c r="B74" s="4" t="s">
        <v>270</v>
      </c>
      <c r="C74" s="4" t="s">
        <v>274</v>
      </c>
      <c r="D74" s="4" t="s">
        <v>36</v>
      </c>
      <c r="E74" s="4" t="s">
        <v>242</v>
      </c>
      <c r="F74" s="4" t="s">
        <v>60</v>
      </c>
      <c r="G74" s="4" t="s">
        <v>23</v>
      </c>
    </row>
    <row r="75" spans="1:7">
      <c r="A75" s="5" t="s">
        <v>275</v>
      </c>
      <c r="B75" s="5" t="s">
        <v>270</v>
      </c>
      <c r="C75" s="5" t="s">
        <v>276</v>
      </c>
      <c r="D75" s="5" t="s">
        <v>36</v>
      </c>
      <c r="E75" s="5" t="s">
        <v>277</v>
      </c>
      <c r="F75" s="5" t="s">
        <v>60</v>
      </c>
      <c r="G75" s="5" t="s">
        <v>23</v>
      </c>
    </row>
    <row r="76" spans="1:7">
      <c r="A76" s="4" t="s">
        <v>278</v>
      </c>
      <c r="B76" s="4" t="s">
        <v>270</v>
      </c>
      <c r="C76" s="4" t="s">
        <v>279</v>
      </c>
      <c r="D76" s="4" t="s">
        <v>36</v>
      </c>
      <c r="E76" s="4" t="s">
        <v>280</v>
      </c>
      <c r="F76" s="4" t="s">
        <v>60</v>
      </c>
      <c r="G76" s="4" t="s">
        <v>23</v>
      </c>
    </row>
    <row r="77" spans="1:7">
      <c r="A77" s="5" t="s">
        <v>281</v>
      </c>
      <c r="B77" s="5" t="s">
        <v>270</v>
      </c>
      <c r="C77" s="5" t="s">
        <v>282</v>
      </c>
      <c r="D77" s="5" t="s">
        <v>20</v>
      </c>
      <c r="E77" s="5" t="s">
        <v>283</v>
      </c>
      <c r="F77" s="5" t="s">
        <v>284</v>
      </c>
      <c r="G77" s="5" t="s">
        <v>23</v>
      </c>
    </row>
    <row r="78" spans="1:7">
      <c r="A78" s="4" t="s">
        <v>285</v>
      </c>
      <c r="B78" s="4" t="s">
        <v>270</v>
      </c>
      <c r="C78" s="4" t="s">
        <v>286</v>
      </c>
      <c r="D78" s="4" t="s">
        <v>36</v>
      </c>
      <c r="E78" s="4" t="s">
        <v>287</v>
      </c>
      <c r="F78" s="4" t="s">
        <v>60</v>
      </c>
      <c r="G78" s="4" t="s">
        <v>23</v>
      </c>
    </row>
    <row r="79" spans="1:7">
      <c r="A79" s="5" t="s">
        <v>288</v>
      </c>
      <c r="B79" s="5" t="s">
        <v>270</v>
      </c>
      <c r="C79" s="5" t="s">
        <v>289</v>
      </c>
      <c r="D79" s="5" t="s">
        <v>36</v>
      </c>
      <c r="E79" s="5" t="s">
        <v>290</v>
      </c>
      <c r="F79" s="5" t="s">
        <v>60</v>
      </c>
      <c r="G79" s="5" t="s">
        <v>23</v>
      </c>
    </row>
    <row r="80" spans="1:7">
      <c r="A80" s="4" t="s">
        <v>291</v>
      </c>
      <c r="B80" s="4" t="s">
        <v>270</v>
      </c>
      <c r="C80" s="4" t="s">
        <v>292</v>
      </c>
      <c r="D80" s="4" t="s">
        <v>20</v>
      </c>
      <c r="E80" s="4" t="s">
        <v>293</v>
      </c>
      <c r="F80" s="4" t="s">
        <v>284</v>
      </c>
      <c r="G80" s="4" t="s">
        <v>23</v>
      </c>
    </row>
    <row r="81" spans="1:7">
      <c r="A81" s="5" t="s">
        <v>294</v>
      </c>
      <c r="B81" s="5" t="s">
        <v>18</v>
      </c>
      <c r="C81" s="5" t="s">
        <v>295</v>
      </c>
      <c r="D81" s="5" t="s">
        <v>20</v>
      </c>
      <c r="E81" s="5" t="s">
        <v>296</v>
      </c>
      <c r="F81" s="5" t="s">
        <v>22</v>
      </c>
      <c r="G81" s="5" t="s">
        <v>23</v>
      </c>
    </row>
    <row r="82" spans="1:7">
      <c r="A82" s="4" t="s">
        <v>297</v>
      </c>
      <c r="B82" s="4" t="s">
        <v>18</v>
      </c>
      <c r="C82" s="4" t="s">
        <v>298</v>
      </c>
      <c r="D82" s="4" t="s">
        <v>20</v>
      </c>
      <c r="E82" s="4" t="s">
        <v>299</v>
      </c>
      <c r="F82" s="4" t="s">
        <v>22</v>
      </c>
      <c r="G82" s="4" t="s">
        <v>23</v>
      </c>
    </row>
    <row r="83" spans="1:7">
      <c r="A83" s="5" t="s">
        <v>300</v>
      </c>
      <c r="B83" s="5" t="s">
        <v>62</v>
      </c>
      <c r="C83" s="5" t="s">
        <v>301</v>
      </c>
      <c r="D83" s="5" t="s">
        <v>36</v>
      </c>
      <c r="E83" s="5" t="s">
        <v>302</v>
      </c>
      <c r="F83" s="5" t="s">
        <v>65</v>
      </c>
      <c r="G83" s="5" t="s">
        <v>23</v>
      </c>
    </row>
    <row r="84" spans="1:7">
      <c r="A84" s="4" t="s">
        <v>303</v>
      </c>
      <c r="B84" s="4" t="s">
        <v>62</v>
      </c>
      <c r="C84" s="4" t="s">
        <v>304</v>
      </c>
      <c r="D84" s="4" t="s">
        <v>20</v>
      </c>
      <c r="E84" s="4" t="s">
        <v>305</v>
      </c>
      <c r="F84" s="4" t="s">
        <v>65</v>
      </c>
      <c r="G84" s="4" t="s">
        <v>23</v>
      </c>
    </row>
    <row r="85" spans="1:7">
      <c r="A85" s="5" t="s">
        <v>306</v>
      </c>
      <c r="B85" s="5" t="s">
        <v>96</v>
      </c>
      <c r="C85" s="5" t="s">
        <v>307</v>
      </c>
      <c r="D85" s="5" t="s">
        <v>36</v>
      </c>
      <c r="E85" s="5" t="s">
        <v>308</v>
      </c>
      <c r="F85" s="5" t="s">
        <v>103</v>
      </c>
      <c r="G85" s="5" t="s">
        <v>23</v>
      </c>
    </row>
    <row r="86" spans="1:7">
      <c r="A86" s="4" t="s">
        <v>309</v>
      </c>
      <c r="B86" s="4" t="s">
        <v>96</v>
      </c>
      <c r="C86" s="4" t="s">
        <v>310</v>
      </c>
      <c r="D86" s="4" t="s">
        <v>36</v>
      </c>
      <c r="E86" s="4" t="s">
        <v>311</v>
      </c>
      <c r="F86" s="4" t="s">
        <v>103</v>
      </c>
      <c r="G86" s="4" t="s">
        <v>23</v>
      </c>
    </row>
    <row r="87" spans="1:7">
      <c r="A87" s="5" t="s">
        <v>312</v>
      </c>
      <c r="B87" s="5" t="s">
        <v>126</v>
      </c>
      <c r="C87" s="5" t="s">
        <v>313</v>
      </c>
      <c r="D87" s="5" t="s">
        <v>36</v>
      </c>
      <c r="E87" s="5" t="s">
        <v>314</v>
      </c>
      <c r="F87" s="5" t="s">
        <v>136</v>
      </c>
      <c r="G87" s="5" t="s">
        <v>23</v>
      </c>
    </row>
    <row r="88" spans="1:7">
      <c r="A88" s="4" t="s">
        <v>315</v>
      </c>
      <c r="B88" s="4" t="s">
        <v>126</v>
      </c>
      <c r="C88" s="4" t="s">
        <v>316</v>
      </c>
      <c r="D88" s="4" t="s">
        <v>20</v>
      </c>
      <c r="E88" s="4" t="s">
        <v>317</v>
      </c>
      <c r="F88" s="4" t="s">
        <v>284</v>
      </c>
      <c r="G88" s="4" t="s">
        <v>23</v>
      </c>
    </row>
    <row r="89" spans="1:7">
      <c r="A89" s="5" t="s">
        <v>318</v>
      </c>
      <c r="B89" s="5" t="s">
        <v>157</v>
      </c>
      <c r="C89" s="5" t="s">
        <v>319</v>
      </c>
      <c r="D89" s="5" t="s">
        <v>54</v>
      </c>
      <c r="E89" s="5" t="s">
        <v>320</v>
      </c>
      <c r="F89" s="5" t="s">
        <v>65</v>
      </c>
      <c r="G89" s="5" t="s">
        <v>23</v>
      </c>
    </row>
    <row r="90" spans="1:7">
      <c r="A90" s="4" t="s">
        <v>321</v>
      </c>
      <c r="B90" s="4" t="s">
        <v>157</v>
      </c>
      <c r="C90" s="4" t="s">
        <v>322</v>
      </c>
      <c r="D90" s="4" t="s">
        <v>20</v>
      </c>
      <c r="E90" s="4" t="s">
        <v>323</v>
      </c>
      <c r="F90" s="4" t="s">
        <v>129</v>
      </c>
      <c r="G90" s="4" t="s">
        <v>23</v>
      </c>
    </row>
    <row r="91" spans="1:7">
      <c r="A91" s="5" t="s">
        <v>324</v>
      </c>
      <c r="B91" s="5" t="s">
        <v>192</v>
      </c>
      <c r="C91" s="5" t="s">
        <v>325</v>
      </c>
      <c r="D91" s="5" t="s">
        <v>20</v>
      </c>
      <c r="E91" s="5" t="s">
        <v>326</v>
      </c>
      <c r="F91" s="5" t="s">
        <v>202</v>
      </c>
      <c r="G91" s="5" t="s">
        <v>23</v>
      </c>
    </row>
    <row r="92" spans="1:7">
      <c r="A92" s="4" t="s">
        <v>327</v>
      </c>
      <c r="B92" s="4" t="s">
        <v>192</v>
      </c>
      <c r="C92" s="4" t="s">
        <v>328</v>
      </c>
      <c r="D92" s="4" t="s">
        <v>20</v>
      </c>
      <c r="E92" s="4" t="s">
        <v>329</v>
      </c>
      <c r="F92" s="4" t="s">
        <v>330</v>
      </c>
      <c r="G92" s="4" t="s">
        <v>23</v>
      </c>
    </row>
    <row r="93" spans="1:7">
      <c r="A93" s="5" t="s">
        <v>331</v>
      </c>
      <c r="B93" s="5" t="s">
        <v>219</v>
      </c>
      <c r="C93" s="5" t="s">
        <v>332</v>
      </c>
      <c r="D93" s="5" t="s">
        <v>36</v>
      </c>
      <c r="E93" s="5" t="s">
        <v>333</v>
      </c>
      <c r="F93" s="5" t="s">
        <v>229</v>
      </c>
      <c r="G93" s="5" t="s">
        <v>23</v>
      </c>
    </row>
    <row r="94" spans="1:7">
      <c r="A94" s="4" t="s">
        <v>334</v>
      </c>
      <c r="B94" s="4" t="s">
        <v>244</v>
      </c>
      <c r="C94" s="4" t="s">
        <v>335</v>
      </c>
      <c r="D94" s="4" t="s">
        <v>20</v>
      </c>
      <c r="E94" s="4" t="s">
        <v>336</v>
      </c>
      <c r="F94" s="4" t="s">
        <v>81</v>
      </c>
      <c r="G94" s="4" t="s">
        <v>23</v>
      </c>
    </row>
    <row r="95" spans="1:7">
      <c r="A95" s="5" t="s">
        <v>337</v>
      </c>
      <c r="B95" s="5" t="s">
        <v>270</v>
      </c>
      <c r="C95" s="5" t="s">
        <v>338</v>
      </c>
      <c r="D95" s="5" t="s">
        <v>36</v>
      </c>
      <c r="E95" s="5" t="s">
        <v>339</v>
      </c>
      <c r="F95" s="5" t="s">
        <v>60</v>
      </c>
      <c r="G95" s="5" t="s">
        <v>23</v>
      </c>
    </row>
    <row r="96" spans="1:7">
      <c r="A96" s="4" t="s">
        <v>340</v>
      </c>
      <c r="B96" s="4" t="s">
        <v>270</v>
      </c>
      <c r="C96" s="4" t="s">
        <v>341</v>
      </c>
      <c r="D96" s="4" t="s">
        <v>20</v>
      </c>
      <c r="E96" s="4" t="s">
        <v>342</v>
      </c>
      <c r="F96" s="4" t="s">
        <v>56</v>
      </c>
      <c r="G96" s="4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4F4F"/>
  </sheetPr>
  <dimension ref="A1:G96"/>
  <sheetViews>
    <sheetView workbookViewId="0">
      <pane ySplit="1" topLeftCell="A2" activePane="bottomLeft" state="frozen"/>
      <selection pane="bottomLeft" activeCell="K15" sqref="K15"/>
    </sheetView>
  </sheetViews>
  <sheetFormatPr defaultRowHeight="15"/>
  <cols>
    <col min="1" max="1" width="11" customWidth="1"/>
    <col min="2" max="2" width="26" customWidth="1"/>
    <col min="3" max="3" width="34" customWidth="1"/>
    <col min="4" max="4" width="12" customWidth="1"/>
    <col min="5" max="5" width="52" customWidth="1"/>
    <col min="6" max="6" width="16" customWidth="1"/>
    <col min="7" max="7" width="8" customWidth="1"/>
  </cols>
  <sheetData>
    <row r="1" spans="1:7" ht="26.1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</row>
    <row r="3" spans="1:7">
      <c r="A3" s="5" t="s">
        <v>24</v>
      </c>
      <c r="B3" s="5" t="s">
        <v>18</v>
      </c>
      <c r="C3" s="5" t="s">
        <v>25</v>
      </c>
      <c r="D3" s="5" t="s">
        <v>20</v>
      </c>
      <c r="E3" s="5" t="s">
        <v>26</v>
      </c>
      <c r="F3" s="5" t="s">
        <v>22</v>
      </c>
      <c r="G3" s="5" t="s">
        <v>23</v>
      </c>
    </row>
    <row r="4" spans="1:7">
      <c r="A4" s="4" t="s">
        <v>27</v>
      </c>
      <c r="B4" s="4" t="s">
        <v>18</v>
      </c>
      <c r="C4" s="4" t="s">
        <v>28</v>
      </c>
      <c r="D4" s="4" t="s">
        <v>20</v>
      </c>
      <c r="E4" s="4" t="s">
        <v>29</v>
      </c>
      <c r="F4" s="4" t="s">
        <v>30</v>
      </c>
      <c r="G4" s="4" t="s">
        <v>23</v>
      </c>
    </row>
    <row r="5" spans="1:7">
      <c r="A5" s="5" t="s">
        <v>31</v>
      </c>
      <c r="B5" s="5" t="s">
        <v>18</v>
      </c>
      <c r="C5" s="5" t="s">
        <v>32</v>
      </c>
      <c r="D5" s="5" t="s">
        <v>20</v>
      </c>
      <c r="E5" s="5" t="s">
        <v>33</v>
      </c>
      <c r="F5" s="5" t="s">
        <v>22</v>
      </c>
      <c r="G5" s="5" t="s">
        <v>23</v>
      </c>
    </row>
    <row r="6" spans="1:7">
      <c r="A6" s="4" t="s">
        <v>34</v>
      </c>
      <c r="B6" s="4" t="s">
        <v>18</v>
      </c>
      <c r="C6" s="4" t="s">
        <v>35</v>
      </c>
      <c r="D6" s="4" t="s">
        <v>36</v>
      </c>
      <c r="E6" s="4" t="s">
        <v>37</v>
      </c>
      <c r="F6" s="4" t="s">
        <v>22</v>
      </c>
      <c r="G6" s="4" t="s">
        <v>23</v>
      </c>
    </row>
    <row r="7" spans="1:7">
      <c r="A7" s="5" t="s">
        <v>38</v>
      </c>
      <c r="B7" s="5" t="s">
        <v>18</v>
      </c>
      <c r="C7" s="5" t="s">
        <v>39</v>
      </c>
      <c r="D7" s="5" t="s">
        <v>36</v>
      </c>
      <c r="E7" s="5" t="s">
        <v>40</v>
      </c>
      <c r="F7" s="5" t="s">
        <v>41</v>
      </c>
      <c r="G7" s="5" t="s">
        <v>23</v>
      </c>
    </row>
    <row r="8" spans="1:7">
      <c r="A8" s="4" t="s">
        <v>42</v>
      </c>
      <c r="B8" s="4" t="s">
        <v>18</v>
      </c>
      <c r="C8" s="4" t="s">
        <v>43</v>
      </c>
      <c r="D8" s="4" t="s">
        <v>20</v>
      </c>
      <c r="E8" s="4" t="s">
        <v>44</v>
      </c>
      <c r="F8" s="4" t="s">
        <v>45</v>
      </c>
      <c r="G8" s="4" t="s">
        <v>23</v>
      </c>
    </row>
    <row r="9" spans="1:7">
      <c r="A9" s="5" t="s">
        <v>46</v>
      </c>
      <c r="B9" s="5" t="s">
        <v>18</v>
      </c>
      <c r="C9" s="5" t="s">
        <v>47</v>
      </c>
      <c r="D9" s="5" t="s">
        <v>20</v>
      </c>
      <c r="E9" s="5" t="s">
        <v>48</v>
      </c>
      <c r="F9" s="5" t="s">
        <v>22</v>
      </c>
      <c r="G9" s="5" t="s">
        <v>23</v>
      </c>
    </row>
    <row r="10" spans="1:7">
      <c r="A10" s="4" t="s">
        <v>49</v>
      </c>
      <c r="B10" s="4" t="s">
        <v>18</v>
      </c>
      <c r="C10" s="4" t="s">
        <v>50</v>
      </c>
      <c r="D10" s="4" t="s">
        <v>20</v>
      </c>
      <c r="E10" s="4" t="s">
        <v>51</v>
      </c>
      <c r="F10" s="4" t="s">
        <v>22</v>
      </c>
      <c r="G10" s="4" t="s">
        <v>23</v>
      </c>
    </row>
    <row r="11" spans="1:7">
      <c r="A11" s="5" t="s">
        <v>52</v>
      </c>
      <c r="B11" s="5" t="s">
        <v>18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23</v>
      </c>
    </row>
    <row r="12" spans="1:7">
      <c r="A12" s="4" t="s">
        <v>57</v>
      </c>
      <c r="B12" s="4" t="s">
        <v>18</v>
      </c>
      <c r="C12" s="4" t="s">
        <v>58</v>
      </c>
      <c r="D12" s="4" t="s">
        <v>36</v>
      </c>
      <c r="E12" s="4" t="s">
        <v>59</v>
      </c>
      <c r="F12" s="4" t="s">
        <v>60</v>
      </c>
      <c r="G12" s="4" t="s">
        <v>23</v>
      </c>
    </row>
    <row r="13" spans="1:7">
      <c r="A13" s="5" t="s">
        <v>61</v>
      </c>
      <c r="B13" s="5" t="s">
        <v>62</v>
      </c>
      <c r="C13" s="5" t="s">
        <v>63</v>
      </c>
      <c r="D13" s="5" t="s">
        <v>36</v>
      </c>
      <c r="E13" s="5" t="s">
        <v>64</v>
      </c>
      <c r="F13" s="5" t="s">
        <v>65</v>
      </c>
      <c r="G13" s="5" t="s">
        <v>23</v>
      </c>
    </row>
    <row r="14" spans="1:7">
      <c r="A14" s="4" t="s">
        <v>66</v>
      </c>
      <c r="B14" s="4" t="s">
        <v>62</v>
      </c>
      <c r="C14" s="4" t="s">
        <v>67</v>
      </c>
      <c r="D14" s="4" t="s">
        <v>20</v>
      </c>
      <c r="E14" s="4" t="s">
        <v>68</v>
      </c>
      <c r="F14" s="4" t="s">
        <v>65</v>
      </c>
      <c r="G14" s="4" t="s">
        <v>23</v>
      </c>
    </row>
    <row r="15" spans="1:7">
      <c r="A15" s="5" t="s">
        <v>69</v>
      </c>
      <c r="B15" s="5" t="s">
        <v>62</v>
      </c>
      <c r="C15" s="5" t="s">
        <v>70</v>
      </c>
      <c r="D15" s="5" t="s">
        <v>20</v>
      </c>
      <c r="E15" s="5" t="s">
        <v>71</v>
      </c>
      <c r="F15" s="5" t="s">
        <v>22</v>
      </c>
      <c r="G15" s="5" t="s">
        <v>23</v>
      </c>
    </row>
    <row r="16" spans="1:7">
      <c r="A16" s="4" t="s">
        <v>72</v>
      </c>
      <c r="B16" s="4" t="s">
        <v>62</v>
      </c>
      <c r="C16" s="4" t="s">
        <v>73</v>
      </c>
      <c r="D16" s="4" t="s">
        <v>20</v>
      </c>
      <c r="E16" s="4" t="s">
        <v>74</v>
      </c>
      <c r="F16" s="4" t="s">
        <v>22</v>
      </c>
      <c r="G16" s="4" t="s">
        <v>23</v>
      </c>
    </row>
    <row r="17" spans="1:7">
      <c r="A17" s="5" t="s">
        <v>75</v>
      </c>
      <c r="B17" s="5" t="s">
        <v>62</v>
      </c>
      <c r="C17" s="5" t="s">
        <v>76</v>
      </c>
      <c r="D17" s="5" t="s">
        <v>36</v>
      </c>
      <c r="E17" s="5" t="s">
        <v>77</v>
      </c>
      <c r="F17" s="5" t="s">
        <v>65</v>
      </c>
      <c r="G17" s="5" t="s">
        <v>23</v>
      </c>
    </row>
    <row r="18" spans="1:7">
      <c r="A18" s="4" t="s">
        <v>78</v>
      </c>
      <c r="B18" s="4" t="s">
        <v>62</v>
      </c>
      <c r="C18" s="4" t="s">
        <v>79</v>
      </c>
      <c r="D18" s="4" t="s">
        <v>54</v>
      </c>
      <c r="E18" s="4" t="s">
        <v>80</v>
      </c>
      <c r="F18" s="4" t="s">
        <v>81</v>
      </c>
      <c r="G18" s="4" t="s">
        <v>23</v>
      </c>
    </row>
    <row r="19" spans="1:7">
      <c r="A19" s="5" t="s">
        <v>82</v>
      </c>
      <c r="B19" s="5" t="s">
        <v>62</v>
      </c>
      <c r="C19" s="5" t="s">
        <v>83</v>
      </c>
      <c r="D19" s="5" t="s">
        <v>20</v>
      </c>
      <c r="E19" s="5" t="s">
        <v>84</v>
      </c>
      <c r="F19" s="5" t="s">
        <v>85</v>
      </c>
      <c r="G19" s="5" t="s">
        <v>23</v>
      </c>
    </row>
    <row r="20" spans="1:7">
      <c r="A20" s="4" t="s">
        <v>86</v>
      </c>
      <c r="B20" s="4" t="s">
        <v>62</v>
      </c>
      <c r="C20" s="4" t="s">
        <v>87</v>
      </c>
      <c r="D20" s="4" t="s">
        <v>20</v>
      </c>
      <c r="E20" s="4" t="s">
        <v>88</v>
      </c>
      <c r="F20" s="4" t="s">
        <v>85</v>
      </c>
      <c r="G20" s="4" t="s">
        <v>23</v>
      </c>
    </row>
    <row r="21" spans="1:7">
      <c r="A21" s="5" t="s">
        <v>89</v>
      </c>
      <c r="B21" s="5" t="s">
        <v>62</v>
      </c>
      <c r="C21" s="5" t="s">
        <v>90</v>
      </c>
      <c r="D21" s="5" t="s">
        <v>20</v>
      </c>
      <c r="E21" s="5" t="s">
        <v>91</v>
      </c>
      <c r="F21" s="5" t="s">
        <v>65</v>
      </c>
      <c r="G21" s="5" t="s">
        <v>23</v>
      </c>
    </row>
    <row r="22" spans="1:7">
      <c r="A22" s="4" t="s">
        <v>92</v>
      </c>
      <c r="B22" s="4" t="s">
        <v>62</v>
      </c>
      <c r="C22" s="4" t="s">
        <v>93</v>
      </c>
      <c r="D22" s="4" t="s">
        <v>20</v>
      </c>
      <c r="E22" s="4" t="s">
        <v>94</v>
      </c>
      <c r="F22" s="4" t="s">
        <v>81</v>
      </c>
      <c r="G22" s="4" t="s">
        <v>23</v>
      </c>
    </row>
    <row r="23" spans="1:7">
      <c r="A23" s="5" t="s">
        <v>95</v>
      </c>
      <c r="B23" s="5" t="s">
        <v>96</v>
      </c>
      <c r="C23" s="5" t="s">
        <v>97</v>
      </c>
      <c r="D23" s="5" t="s">
        <v>20</v>
      </c>
      <c r="E23" s="5" t="s">
        <v>98</v>
      </c>
      <c r="F23" s="5" t="s">
        <v>99</v>
      </c>
      <c r="G23" s="5" t="s">
        <v>23</v>
      </c>
    </row>
    <row r="24" spans="1:7">
      <c r="A24" s="4" t="s">
        <v>100</v>
      </c>
      <c r="B24" s="4" t="s">
        <v>96</v>
      </c>
      <c r="C24" s="4" t="s">
        <v>101</v>
      </c>
      <c r="D24" s="4" t="s">
        <v>20</v>
      </c>
      <c r="E24" s="4" t="s">
        <v>102</v>
      </c>
      <c r="F24" s="4" t="s">
        <v>103</v>
      </c>
      <c r="G24" s="4" t="s">
        <v>23</v>
      </c>
    </row>
    <row r="25" spans="1:7">
      <c r="A25" s="5" t="s">
        <v>104</v>
      </c>
      <c r="B25" s="5" t="s">
        <v>96</v>
      </c>
      <c r="C25" s="5" t="s">
        <v>105</v>
      </c>
      <c r="D25" s="5" t="s">
        <v>36</v>
      </c>
      <c r="E25" s="5" t="s">
        <v>106</v>
      </c>
      <c r="F25" s="5" t="s">
        <v>103</v>
      </c>
      <c r="G25" s="5" t="s">
        <v>23</v>
      </c>
    </row>
    <row r="26" spans="1:7">
      <c r="A26" s="4" t="s">
        <v>107</v>
      </c>
      <c r="B26" s="4" t="s">
        <v>96</v>
      </c>
      <c r="C26" s="4" t="s">
        <v>108</v>
      </c>
      <c r="D26" s="4" t="s">
        <v>20</v>
      </c>
      <c r="E26" s="4" t="s">
        <v>109</v>
      </c>
      <c r="F26" s="4" t="s">
        <v>103</v>
      </c>
      <c r="G26" s="4" t="s">
        <v>23</v>
      </c>
    </row>
    <row r="27" spans="1:7">
      <c r="A27" s="5" t="s">
        <v>110</v>
      </c>
      <c r="B27" s="5" t="s">
        <v>96</v>
      </c>
      <c r="C27" s="5" t="s">
        <v>111</v>
      </c>
      <c r="D27" s="5" t="s">
        <v>36</v>
      </c>
      <c r="E27" s="5" t="s">
        <v>112</v>
      </c>
      <c r="F27" s="5" t="s">
        <v>103</v>
      </c>
      <c r="G27" s="5" t="s">
        <v>23</v>
      </c>
    </row>
    <row r="28" spans="1:7">
      <c r="A28" s="4" t="s">
        <v>113</v>
      </c>
      <c r="B28" s="4" t="s">
        <v>96</v>
      </c>
      <c r="C28" s="4" t="s">
        <v>114</v>
      </c>
      <c r="D28" s="4" t="s">
        <v>36</v>
      </c>
      <c r="E28" s="4" t="s">
        <v>115</v>
      </c>
      <c r="F28" s="4" t="s">
        <v>103</v>
      </c>
      <c r="G28" s="4" t="s">
        <v>23</v>
      </c>
    </row>
    <row r="29" spans="1:7">
      <c r="A29" s="5" t="s">
        <v>116</v>
      </c>
      <c r="B29" s="5" t="s">
        <v>96</v>
      </c>
      <c r="C29" s="5" t="s">
        <v>117</v>
      </c>
      <c r="D29" s="5" t="s">
        <v>20</v>
      </c>
      <c r="E29" s="5" t="s">
        <v>118</v>
      </c>
      <c r="F29" s="5" t="s">
        <v>103</v>
      </c>
      <c r="G29" s="5" t="s">
        <v>23</v>
      </c>
    </row>
    <row r="30" spans="1:7">
      <c r="A30" s="4" t="s">
        <v>119</v>
      </c>
      <c r="B30" s="4" t="s">
        <v>96</v>
      </c>
      <c r="C30" s="4" t="s">
        <v>120</v>
      </c>
      <c r="D30" s="4" t="s">
        <v>20</v>
      </c>
      <c r="E30" s="4" t="s">
        <v>121</v>
      </c>
      <c r="F30" s="4" t="s">
        <v>81</v>
      </c>
      <c r="G30" s="4" t="s">
        <v>23</v>
      </c>
    </row>
    <row r="31" spans="1:7">
      <c r="A31" s="5" t="s">
        <v>122</v>
      </c>
      <c r="B31" s="5" t="s">
        <v>96</v>
      </c>
      <c r="C31" s="5" t="s">
        <v>123</v>
      </c>
      <c r="D31" s="5" t="s">
        <v>20</v>
      </c>
      <c r="E31" s="5" t="s">
        <v>124</v>
      </c>
      <c r="F31" s="5" t="s">
        <v>103</v>
      </c>
      <c r="G31" s="5" t="s">
        <v>23</v>
      </c>
    </row>
    <row r="32" spans="1:7">
      <c r="A32" s="4" t="s">
        <v>125</v>
      </c>
      <c r="B32" s="4" t="s">
        <v>126</v>
      </c>
      <c r="C32" s="4" t="s">
        <v>127</v>
      </c>
      <c r="D32" s="4" t="s">
        <v>36</v>
      </c>
      <c r="E32" s="4" t="s">
        <v>128</v>
      </c>
      <c r="F32" s="4" t="s">
        <v>129</v>
      </c>
      <c r="G32" s="4" t="s">
        <v>23</v>
      </c>
    </row>
    <row r="33" spans="1:7">
      <c r="A33" s="5" t="s">
        <v>130</v>
      </c>
      <c r="B33" s="5" t="s">
        <v>126</v>
      </c>
      <c r="C33" s="5" t="s">
        <v>131</v>
      </c>
      <c r="D33" s="5" t="s">
        <v>36</v>
      </c>
      <c r="E33" s="5" t="s">
        <v>132</v>
      </c>
      <c r="F33" s="5" t="s">
        <v>129</v>
      </c>
      <c r="G33" s="5" t="s">
        <v>23</v>
      </c>
    </row>
    <row r="34" spans="1:7">
      <c r="A34" s="4" t="s">
        <v>133</v>
      </c>
      <c r="B34" s="4" t="s">
        <v>126</v>
      </c>
      <c r="C34" s="4" t="s">
        <v>134</v>
      </c>
      <c r="D34" s="4" t="s">
        <v>36</v>
      </c>
      <c r="E34" s="4" t="s">
        <v>135</v>
      </c>
      <c r="F34" s="4" t="s">
        <v>136</v>
      </c>
      <c r="G34" s="4" t="s">
        <v>23</v>
      </c>
    </row>
    <row r="35" spans="1:7">
      <c r="A35" s="5" t="s">
        <v>137</v>
      </c>
      <c r="B35" s="5" t="s">
        <v>126</v>
      </c>
      <c r="C35" s="5" t="s">
        <v>138</v>
      </c>
      <c r="D35" s="5" t="s">
        <v>20</v>
      </c>
      <c r="E35" s="5" t="s">
        <v>139</v>
      </c>
      <c r="F35" s="5" t="s">
        <v>81</v>
      </c>
      <c r="G35" s="5" t="s">
        <v>23</v>
      </c>
    </row>
    <row r="36" spans="1:7">
      <c r="A36" s="4" t="s">
        <v>140</v>
      </c>
      <c r="B36" s="4" t="s">
        <v>126</v>
      </c>
      <c r="C36" s="4" t="s">
        <v>141</v>
      </c>
      <c r="D36" s="4" t="s">
        <v>20</v>
      </c>
      <c r="E36" s="4" t="s">
        <v>142</v>
      </c>
      <c r="F36" s="4" t="s">
        <v>81</v>
      </c>
      <c r="G36" s="4" t="s">
        <v>23</v>
      </c>
    </row>
    <row r="37" spans="1:7">
      <c r="A37" s="5" t="s">
        <v>143</v>
      </c>
      <c r="B37" s="5" t="s">
        <v>126</v>
      </c>
      <c r="C37" s="5" t="s">
        <v>144</v>
      </c>
      <c r="D37" s="5" t="s">
        <v>20</v>
      </c>
      <c r="E37" s="5" t="s">
        <v>145</v>
      </c>
      <c r="F37" s="5" t="s">
        <v>81</v>
      </c>
      <c r="G37" s="5" t="s">
        <v>23</v>
      </c>
    </row>
    <row r="38" spans="1:7">
      <c r="A38" s="4" t="s">
        <v>146</v>
      </c>
      <c r="B38" s="4" t="s">
        <v>126</v>
      </c>
      <c r="C38" s="4" t="s">
        <v>147</v>
      </c>
      <c r="D38" s="4" t="s">
        <v>20</v>
      </c>
      <c r="E38" s="4" t="s">
        <v>148</v>
      </c>
      <c r="F38" s="4" t="s">
        <v>149</v>
      </c>
      <c r="G38" s="4" t="s">
        <v>23</v>
      </c>
    </row>
    <row r="39" spans="1:7">
      <c r="A39" s="5" t="s">
        <v>150</v>
      </c>
      <c r="B39" s="5" t="s">
        <v>126</v>
      </c>
      <c r="C39" s="5" t="s">
        <v>151</v>
      </c>
      <c r="D39" s="5" t="s">
        <v>36</v>
      </c>
      <c r="E39" s="5" t="s">
        <v>152</v>
      </c>
      <c r="F39" s="5" t="s">
        <v>129</v>
      </c>
      <c r="G39" s="5" t="s">
        <v>23</v>
      </c>
    </row>
    <row r="40" spans="1:7">
      <c r="A40" s="4" t="s">
        <v>153</v>
      </c>
      <c r="B40" s="4" t="s">
        <v>126</v>
      </c>
      <c r="C40" s="4" t="s">
        <v>154</v>
      </c>
      <c r="D40" s="4" t="s">
        <v>20</v>
      </c>
      <c r="E40" s="4" t="s">
        <v>155</v>
      </c>
      <c r="F40" s="4" t="s">
        <v>129</v>
      </c>
      <c r="G40" s="4" t="s">
        <v>23</v>
      </c>
    </row>
    <row r="41" spans="1:7">
      <c r="A41" s="5" t="s">
        <v>156</v>
      </c>
      <c r="B41" s="5" t="s">
        <v>157</v>
      </c>
      <c r="C41" s="5" t="s">
        <v>158</v>
      </c>
      <c r="D41" s="5" t="s">
        <v>20</v>
      </c>
      <c r="E41" s="5" t="s">
        <v>159</v>
      </c>
      <c r="F41" s="5" t="s">
        <v>160</v>
      </c>
      <c r="G41" s="5" t="s">
        <v>23</v>
      </c>
    </row>
    <row r="42" spans="1:7">
      <c r="A42" s="4" t="s">
        <v>161</v>
      </c>
      <c r="B42" s="4" t="s">
        <v>157</v>
      </c>
      <c r="C42" s="4" t="s">
        <v>162</v>
      </c>
      <c r="D42" s="4" t="s">
        <v>20</v>
      </c>
      <c r="E42" s="4" t="s">
        <v>163</v>
      </c>
      <c r="F42" s="4" t="s">
        <v>65</v>
      </c>
      <c r="G42" s="4" t="s">
        <v>23</v>
      </c>
    </row>
    <row r="43" spans="1:7">
      <c r="A43" s="5" t="s">
        <v>164</v>
      </c>
      <c r="B43" s="5" t="s">
        <v>157</v>
      </c>
      <c r="C43" s="5" t="s">
        <v>165</v>
      </c>
      <c r="D43" s="5" t="s">
        <v>54</v>
      </c>
      <c r="E43" s="5" t="s">
        <v>166</v>
      </c>
      <c r="F43" s="5" t="s">
        <v>56</v>
      </c>
      <c r="G43" s="5" t="s">
        <v>23</v>
      </c>
    </row>
    <row r="44" spans="1:7">
      <c r="A44" s="4" t="s">
        <v>167</v>
      </c>
      <c r="B44" s="4" t="s">
        <v>157</v>
      </c>
      <c r="C44" s="4" t="s">
        <v>168</v>
      </c>
      <c r="D44" s="4" t="s">
        <v>20</v>
      </c>
      <c r="E44" s="4" t="s">
        <v>169</v>
      </c>
      <c r="F44" s="4" t="s">
        <v>170</v>
      </c>
      <c r="G44" s="4" t="s">
        <v>23</v>
      </c>
    </row>
    <row r="45" spans="1:7">
      <c r="A45" s="5" t="s">
        <v>171</v>
      </c>
      <c r="B45" s="5" t="s">
        <v>157</v>
      </c>
      <c r="C45" s="5" t="s">
        <v>172</v>
      </c>
      <c r="D45" s="5" t="s">
        <v>20</v>
      </c>
      <c r="E45" s="5" t="s">
        <v>173</v>
      </c>
      <c r="F45" s="5" t="s">
        <v>174</v>
      </c>
      <c r="G45" s="5" t="s">
        <v>23</v>
      </c>
    </row>
    <row r="46" spans="1:7">
      <c r="A46" s="4" t="s">
        <v>175</v>
      </c>
      <c r="B46" s="4" t="s">
        <v>157</v>
      </c>
      <c r="C46" s="4" t="s">
        <v>176</v>
      </c>
      <c r="D46" s="4" t="s">
        <v>20</v>
      </c>
      <c r="E46" s="4" t="s">
        <v>177</v>
      </c>
      <c r="F46" s="4" t="s">
        <v>178</v>
      </c>
      <c r="G46" s="4" t="s">
        <v>23</v>
      </c>
    </row>
    <row r="47" spans="1:7">
      <c r="A47" s="5" t="s">
        <v>179</v>
      </c>
      <c r="B47" s="5" t="s">
        <v>157</v>
      </c>
      <c r="C47" s="5" t="s">
        <v>180</v>
      </c>
      <c r="D47" s="5" t="s">
        <v>20</v>
      </c>
      <c r="E47" s="5" t="s">
        <v>181</v>
      </c>
      <c r="F47" s="5" t="s">
        <v>170</v>
      </c>
      <c r="G47" s="5" t="s">
        <v>23</v>
      </c>
    </row>
    <row r="48" spans="1:7">
      <c r="A48" s="4" t="s">
        <v>182</v>
      </c>
      <c r="B48" s="4" t="s">
        <v>157</v>
      </c>
      <c r="C48" s="4" t="s">
        <v>183</v>
      </c>
      <c r="D48" s="4" t="s">
        <v>36</v>
      </c>
      <c r="E48" s="4" t="s">
        <v>184</v>
      </c>
      <c r="F48" s="4" t="s">
        <v>60</v>
      </c>
      <c r="G48" s="4" t="s">
        <v>23</v>
      </c>
    </row>
    <row r="49" spans="1:7">
      <c r="A49" s="5" t="s">
        <v>185</v>
      </c>
      <c r="B49" s="5" t="s">
        <v>157</v>
      </c>
      <c r="C49" s="5" t="s">
        <v>186</v>
      </c>
      <c r="D49" s="5" t="s">
        <v>20</v>
      </c>
      <c r="E49" s="5" t="s">
        <v>187</v>
      </c>
      <c r="F49" s="5" t="s">
        <v>60</v>
      </c>
      <c r="G49" s="5" t="s">
        <v>23</v>
      </c>
    </row>
    <row r="50" spans="1:7">
      <c r="A50" s="4" t="s">
        <v>188</v>
      </c>
      <c r="B50" s="4" t="s">
        <v>157</v>
      </c>
      <c r="C50" s="4" t="s">
        <v>189</v>
      </c>
      <c r="D50" s="4" t="s">
        <v>54</v>
      </c>
      <c r="E50" s="4" t="s">
        <v>190</v>
      </c>
      <c r="F50" s="4" t="s">
        <v>56</v>
      </c>
      <c r="G50" s="4" t="s">
        <v>23</v>
      </c>
    </row>
    <row r="51" spans="1:7">
      <c r="A51" s="5" t="s">
        <v>191</v>
      </c>
      <c r="B51" s="5" t="s">
        <v>192</v>
      </c>
      <c r="C51" s="5" t="s">
        <v>193</v>
      </c>
      <c r="D51" s="5" t="s">
        <v>20</v>
      </c>
      <c r="E51" s="5" t="s">
        <v>194</v>
      </c>
      <c r="F51" s="5" t="s">
        <v>195</v>
      </c>
      <c r="G51" s="5" t="s">
        <v>23</v>
      </c>
    </row>
    <row r="52" spans="1:7">
      <c r="A52" s="4" t="s">
        <v>196</v>
      </c>
      <c r="B52" s="4" t="s">
        <v>192</v>
      </c>
      <c r="C52" s="4" t="s">
        <v>197</v>
      </c>
      <c r="D52" s="4" t="s">
        <v>20</v>
      </c>
      <c r="E52" s="4" t="s">
        <v>198</v>
      </c>
      <c r="F52" s="4" t="s">
        <v>81</v>
      </c>
      <c r="G52" s="4" t="s">
        <v>23</v>
      </c>
    </row>
    <row r="53" spans="1:7">
      <c r="A53" s="5" t="s">
        <v>199</v>
      </c>
      <c r="B53" s="5" t="s">
        <v>192</v>
      </c>
      <c r="C53" s="5" t="s">
        <v>200</v>
      </c>
      <c r="D53" s="5" t="s">
        <v>20</v>
      </c>
      <c r="E53" s="5" t="s">
        <v>201</v>
      </c>
      <c r="F53" s="5" t="s">
        <v>202</v>
      </c>
      <c r="G53" s="5" t="s">
        <v>23</v>
      </c>
    </row>
    <row r="54" spans="1:7">
      <c r="A54" s="4" t="s">
        <v>203</v>
      </c>
      <c r="B54" s="4" t="s">
        <v>192</v>
      </c>
      <c r="C54" s="4" t="s">
        <v>204</v>
      </c>
      <c r="D54" s="4" t="s">
        <v>54</v>
      </c>
      <c r="E54" s="4" t="s">
        <v>205</v>
      </c>
      <c r="F54" s="4" t="s">
        <v>81</v>
      </c>
      <c r="G54" s="4" t="s">
        <v>23</v>
      </c>
    </row>
    <row r="55" spans="1:7">
      <c r="A55" s="5" t="s">
        <v>206</v>
      </c>
      <c r="B55" s="5" t="s">
        <v>192</v>
      </c>
      <c r="C55" s="5" t="s">
        <v>207</v>
      </c>
      <c r="D55" s="5" t="s">
        <v>20</v>
      </c>
      <c r="E55" s="5" t="s">
        <v>208</v>
      </c>
      <c r="F55" s="5" t="s">
        <v>195</v>
      </c>
      <c r="G55" s="5" t="s">
        <v>23</v>
      </c>
    </row>
    <row r="56" spans="1:7">
      <c r="A56" s="4" t="s">
        <v>209</v>
      </c>
      <c r="B56" s="4" t="s">
        <v>192</v>
      </c>
      <c r="C56" s="4" t="s">
        <v>210</v>
      </c>
      <c r="D56" s="4" t="s">
        <v>36</v>
      </c>
      <c r="E56" s="4" t="s">
        <v>211</v>
      </c>
      <c r="F56" s="4" t="s">
        <v>60</v>
      </c>
      <c r="G56" s="4" t="s">
        <v>23</v>
      </c>
    </row>
    <row r="57" spans="1:7">
      <c r="A57" s="5" t="s">
        <v>212</v>
      </c>
      <c r="B57" s="5" t="s">
        <v>192</v>
      </c>
      <c r="C57" s="5" t="s">
        <v>213</v>
      </c>
      <c r="D57" s="5" t="s">
        <v>20</v>
      </c>
      <c r="E57" s="5" t="s">
        <v>214</v>
      </c>
      <c r="F57" s="5" t="s">
        <v>81</v>
      </c>
      <c r="G57" s="5" t="s">
        <v>23</v>
      </c>
    </row>
    <row r="58" spans="1:7">
      <c r="A58" s="4" t="s">
        <v>215</v>
      </c>
      <c r="B58" s="4" t="s">
        <v>192</v>
      </c>
      <c r="C58" s="4" t="s">
        <v>216</v>
      </c>
      <c r="D58" s="4" t="s">
        <v>20</v>
      </c>
      <c r="E58" s="4" t="s">
        <v>217</v>
      </c>
      <c r="F58" s="4" t="s">
        <v>60</v>
      </c>
      <c r="G58" s="4" t="s">
        <v>23</v>
      </c>
    </row>
    <row r="59" spans="1:7">
      <c r="A59" s="5" t="s">
        <v>218</v>
      </c>
      <c r="B59" s="5" t="s">
        <v>219</v>
      </c>
      <c r="C59" s="5" t="s">
        <v>220</v>
      </c>
      <c r="D59" s="5" t="s">
        <v>36</v>
      </c>
      <c r="E59" s="5" t="s">
        <v>221</v>
      </c>
      <c r="F59" s="5" t="s">
        <v>222</v>
      </c>
      <c r="G59" s="5" t="s">
        <v>23</v>
      </c>
    </row>
    <row r="60" spans="1:7">
      <c r="A60" s="4" t="s">
        <v>223</v>
      </c>
      <c r="B60" s="4" t="s">
        <v>219</v>
      </c>
      <c r="C60" s="4" t="s">
        <v>224</v>
      </c>
      <c r="D60" s="4" t="s">
        <v>20</v>
      </c>
      <c r="E60" s="4" t="s">
        <v>225</v>
      </c>
      <c r="F60" s="4" t="s">
        <v>222</v>
      </c>
      <c r="G60" s="4" t="s">
        <v>23</v>
      </c>
    </row>
    <row r="61" spans="1:7">
      <c r="A61" s="5" t="s">
        <v>226</v>
      </c>
      <c r="B61" s="5" t="s">
        <v>219</v>
      </c>
      <c r="C61" s="5" t="s">
        <v>227</v>
      </c>
      <c r="D61" s="5" t="s">
        <v>36</v>
      </c>
      <c r="E61" s="5" t="s">
        <v>228</v>
      </c>
      <c r="F61" s="5" t="s">
        <v>229</v>
      </c>
      <c r="G61" s="5" t="s">
        <v>23</v>
      </c>
    </row>
    <row r="62" spans="1:7">
      <c r="A62" s="4" t="s">
        <v>230</v>
      </c>
      <c r="B62" s="4" t="s">
        <v>219</v>
      </c>
      <c r="C62" s="4" t="s">
        <v>231</v>
      </c>
      <c r="D62" s="4" t="s">
        <v>20</v>
      </c>
      <c r="E62" s="4" t="s">
        <v>232</v>
      </c>
      <c r="F62" s="4" t="s">
        <v>81</v>
      </c>
      <c r="G62" s="4" t="s">
        <v>23</v>
      </c>
    </row>
    <row r="63" spans="1:7">
      <c r="A63" s="5" t="s">
        <v>233</v>
      </c>
      <c r="B63" s="5" t="s">
        <v>219</v>
      </c>
      <c r="C63" s="5" t="s">
        <v>234</v>
      </c>
      <c r="D63" s="5" t="s">
        <v>54</v>
      </c>
      <c r="E63" s="5" t="s">
        <v>235</v>
      </c>
      <c r="F63" s="5" t="s">
        <v>236</v>
      </c>
      <c r="G63" s="5" t="s">
        <v>23</v>
      </c>
    </row>
    <row r="64" spans="1:7">
      <c r="A64" s="4" t="s">
        <v>237</v>
      </c>
      <c r="B64" s="4" t="s">
        <v>219</v>
      </c>
      <c r="C64" s="4" t="s">
        <v>238</v>
      </c>
      <c r="D64" s="4" t="s">
        <v>20</v>
      </c>
      <c r="E64" s="4" t="s">
        <v>239</v>
      </c>
      <c r="F64" s="4" t="s">
        <v>81</v>
      </c>
      <c r="G64" s="4" t="s">
        <v>23</v>
      </c>
    </row>
    <row r="65" spans="1:7">
      <c r="A65" s="5" t="s">
        <v>240</v>
      </c>
      <c r="B65" s="5" t="s">
        <v>219</v>
      </c>
      <c r="C65" s="5" t="s">
        <v>241</v>
      </c>
      <c r="D65" s="5" t="s">
        <v>36</v>
      </c>
      <c r="E65" s="5" t="s">
        <v>242</v>
      </c>
      <c r="F65" s="5" t="s">
        <v>60</v>
      </c>
      <c r="G65" s="5" t="s">
        <v>23</v>
      </c>
    </row>
    <row r="66" spans="1:7">
      <c r="A66" s="4" t="s">
        <v>243</v>
      </c>
      <c r="B66" s="4" t="s">
        <v>244</v>
      </c>
      <c r="C66" s="4" t="s">
        <v>245</v>
      </c>
      <c r="D66" s="4" t="s">
        <v>20</v>
      </c>
      <c r="E66" s="4" t="s">
        <v>246</v>
      </c>
      <c r="F66" s="4" t="s">
        <v>247</v>
      </c>
      <c r="G66" s="4" t="s">
        <v>23</v>
      </c>
    </row>
    <row r="67" spans="1:7">
      <c r="A67" s="5" t="s">
        <v>248</v>
      </c>
      <c r="B67" s="5" t="s">
        <v>244</v>
      </c>
      <c r="C67" s="5" t="s">
        <v>249</v>
      </c>
      <c r="D67" s="5" t="s">
        <v>36</v>
      </c>
      <c r="E67" s="5" t="s">
        <v>250</v>
      </c>
      <c r="F67" s="5" t="s">
        <v>251</v>
      </c>
      <c r="G67" s="5" t="s">
        <v>23</v>
      </c>
    </row>
    <row r="68" spans="1:7">
      <c r="A68" s="4" t="s">
        <v>252</v>
      </c>
      <c r="B68" s="4" t="s">
        <v>244</v>
      </c>
      <c r="C68" s="4" t="s">
        <v>253</v>
      </c>
      <c r="D68" s="4" t="s">
        <v>20</v>
      </c>
      <c r="E68" s="4" t="s">
        <v>254</v>
      </c>
      <c r="F68" s="4" t="s">
        <v>247</v>
      </c>
      <c r="G68" s="4" t="s">
        <v>23</v>
      </c>
    </row>
    <row r="69" spans="1:7">
      <c r="A69" s="5" t="s">
        <v>255</v>
      </c>
      <c r="B69" s="5" t="s">
        <v>244</v>
      </c>
      <c r="C69" s="5" t="s">
        <v>256</v>
      </c>
      <c r="D69" s="5" t="s">
        <v>20</v>
      </c>
      <c r="E69" s="5" t="s">
        <v>257</v>
      </c>
      <c r="F69" s="5" t="s">
        <v>258</v>
      </c>
      <c r="G69" s="5" t="s">
        <v>23</v>
      </c>
    </row>
    <row r="70" spans="1:7">
      <c r="A70" s="4" t="s">
        <v>259</v>
      </c>
      <c r="B70" s="4" t="s">
        <v>244</v>
      </c>
      <c r="C70" s="4" t="s">
        <v>260</v>
      </c>
      <c r="D70" s="4" t="s">
        <v>54</v>
      </c>
      <c r="E70" s="4" t="s">
        <v>261</v>
      </c>
      <c r="F70" s="4" t="s">
        <v>81</v>
      </c>
      <c r="G70" s="4" t="s">
        <v>23</v>
      </c>
    </row>
    <row r="71" spans="1:7">
      <c r="A71" s="5" t="s">
        <v>262</v>
      </c>
      <c r="B71" s="5" t="s">
        <v>244</v>
      </c>
      <c r="C71" s="5" t="s">
        <v>263</v>
      </c>
      <c r="D71" s="5" t="s">
        <v>20</v>
      </c>
      <c r="E71" s="5" t="s">
        <v>264</v>
      </c>
      <c r="F71" s="5" t="s">
        <v>247</v>
      </c>
      <c r="G71" s="5" t="s">
        <v>23</v>
      </c>
    </row>
    <row r="72" spans="1:7">
      <c r="A72" s="4" t="s">
        <v>265</v>
      </c>
      <c r="B72" s="4" t="s">
        <v>244</v>
      </c>
      <c r="C72" s="4" t="s">
        <v>266</v>
      </c>
      <c r="D72" s="4" t="s">
        <v>36</v>
      </c>
      <c r="E72" s="4" t="s">
        <v>267</v>
      </c>
      <c r="F72" s="4" t="s">
        <v>268</v>
      </c>
      <c r="G72" s="4" t="s">
        <v>23</v>
      </c>
    </row>
    <row r="73" spans="1:7">
      <c r="A73" s="5" t="s">
        <v>269</v>
      </c>
      <c r="B73" s="5" t="s">
        <v>270</v>
      </c>
      <c r="C73" s="5" t="s">
        <v>271</v>
      </c>
      <c r="D73" s="5" t="s">
        <v>36</v>
      </c>
      <c r="E73" s="5" t="s">
        <v>272</v>
      </c>
      <c r="F73" s="5" t="s">
        <v>60</v>
      </c>
      <c r="G73" s="5" t="s">
        <v>23</v>
      </c>
    </row>
    <row r="74" spans="1:7">
      <c r="A74" s="4" t="s">
        <v>273</v>
      </c>
      <c r="B74" s="4" t="s">
        <v>270</v>
      </c>
      <c r="C74" s="4" t="s">
        <v>274</v>
      </c>
      <c r="D74" s="4" t="s">
        <v>36</v>
      </c>
      <c r="E74" s="4" t="s">
        <v>242</v>
      </c>
      <c r="F74" s="4" t="s">
        <v>60</v>
      </c>
      <c r="G74" s="4" t="s">
        <v>23</v>
      </c>
    </row>
    <row r="75" spans="1:7">
      <c r="A75" s="5" t="s">
        <v>275</v>
      </c>
      <c r="B75" s="5" t="s">
        <v>270</v>
      </c>
      <c r="C75" s="5" t="s">
        <v>276</v>
      </c>
      <c r="D75" s="5" t="s">
        <v>36</v>
      </c>
      <c r="E75" s="5" t="s">
        <v>277</v>
      </c>
      <c r="F75" s="5" t="s">
        <v>60</v>
      </c>
      <c r="G75" s="5" t="s">
        <v>23</v>
      </c>
    </row>
    <row r="76" spans="1:7">
      <c r="A76" s="4" t="s">
        <v>278</v>
      </c>
      <c r="B76" s="4" t="s">
        <v>270</v>
      </c>
      <c r="C76" s="4" t="s">
        <v>279</v>
      </c>
      <c r="D76" s="4" t="s">
        <v>36</v>
      </c>
      <c r="E76" s="4" t="s">
        <v>280</v>
      </c>
      <c r="F76" s="4" t="s">
        <v>60</v>
      </c>
      <c r="G76" s="4" t="s">
        <v>23</v>
      </c>
    </row>
    <row r="77" spans="1:7">
      <c r="A77" s="5" t="s">
        <v>281</v>
      </c>
      <c r="B77" s="5" t="s">
        <v>270</v>
      </c>
      <c r="C77" s="5" t="s">
        <v>282</v>
      </c>
      <c r="D77" s="5" t="s">
        <v>20</v>
      </c>
      <c r="E77" s="5" t="s">
        <v>283</v>
      </c>
      <c r="F77" s="5" t="s">
        <v>284</v>
      </c>
      <c r="G77" s="5" t="s">
        <v>23</v>
      </c>
    </row>
    <row r="78" spans="1:7">
      <c r="A78" s="4" t="s">
        <v>285</v>
      </c>
      <c r="B78" s="4" t="s">
        <v>270</v>
      </c>
      <c r="C78" s="4" t="s">
        <v>286</v>
      </c>
      <c r="D78" s="4" t="s">
        <v>36</v>
      </c>
      <c r="E78" s="4" t="s">
        <v>287</v>
      </c>
      <c r="F78" s="4" t="s">
        <v>60</v>
      </c>
      <c r="G78" s="4" t="s">
        <v>23</v>
      </c>
    </row>
    <row r="79" spans="1:7">
      <c r="A79" s="5" t="s">
        <v>288</v>
      </c>
      <c r="B79" s="5" t="s">
        <v>270</v>
      </c>
      <c r="C79" s="5" t="s">
        <v>289</v>
      </c>
      <c r="D79" s="5" t="s">
        <v>36</v>
      </c>
      <c r="E79" s="5" t="s">
        <v>290</v>
      </c>
      <c r="F79" s="5" t="s">
        <v>60</v>
      </c>
      <c r="G79" s="5" t="s">
        <v>23</v>
      </c>
    </row>
    <row r="80" spans="1:7">
      <c r="A80" s="4" t="s">
        <v>291</v>
      </c>
      <c r="B80" s="4" t="s">
        <v>270</v>
      </c>
      <c r="C80" s="4" t="s">
        <v>292</v>
      </c>
      <c r="D80" s="4" t="s">
        <v>20</v>
      </c>
      <c r="E80" s="4" t="s">
        <v>293</v>
      </c>
      <c r="F80" s="4" t="s">
        <v>284</v>
      </c>
      <c r="G80" s="4" t="s">
        <v>23</v>
      </c>
    </row>
    <row r="81" spans="1:7">
      <c r="A81" s="5" t="s">
        <v>294</v>
      </c>
      <c r="B81" s="5" t="s">
        <v>18</v>
      </c>
      <c r="C81" s="5" t="s">
        <v>295</v>
      </c>
      <c r="D81" s="5" t="s">
        <v>20</v>
      </c>
      <c r="E81" s="5" t="s">
        <v>296</v>
      </c>
      <c r="F81" s="5" t="s">
        <v>22</v>
      </c>
      <c r="G81" s="5" t="s">
        <v>23</v>
      </c>
    </row>
    <row r="82" spans="1:7">
      <c r="A82" s="4" t="s">
        <v>297</v>
      </c>
      <c r="B82" s="4" t="s">
        <v>18</v>
      </c>
      <c r="C82" s="4" t="s">
        <v>298</v>
      </c>
      <c r="D82" s="4" t="s">
        <v>20</v>
      </c>
      <c r="E82" s="4" t="s">
        <v>299</v>
      </c>
      <c r="F82" s="4" t="s">
        <v>22</v>
      </c>
      <c r="G82" s="4" t="s">
        <v>23</v>
      </c>
    </row>
    <row r="83" spans="1:7">
      <c r="A83" s="5" t="s">
        <v>300</v>
      </c>
      <c r="B83" s="5" t="s">
        <v>62</v>
      </c>
      <c r="C83" s="5" t="s">
        <v>301</v>
      </c>
      <c r="D83" s="5" t="s">
        <v>36</v>
      </c>
      <c r="E83" s="5" t="s">
        <v>302</v>
      </c>
      <c r="F83" s="5" t="s">
        <v>65</v>
      </c>
      <c r="G83" s="5" t="s">
        <v>23</v>
      </c>
    </row>
    <row r="84" spans="1:7">
      <c r="A84" s="4" t="s">
        <v>303</v>
      </c>
      <c r="B84" s="4" t="s">
        <v>62</v>
      </c>
      <c r="C84" s="4" t="s">
        <v>304</v>
      </c>
      <c r="D84" s="4" t="s">
        <v>20</v>
      </c>
      <c r="E84" s="4" t="s">
        <v>305</v>
      </c>
      <c r="F84" s="4" t="s">
        <v>65</v>
      </c>
      <c r="G84" s="4" t="s">
        <v>23</v>
      </c>
    </row>
    <row r="85" spans="1:7">
      <c r="A85" s="5" t="s">
        <v>306</v>
      </c>
      <c r="B85" s="5" t="s">
        <v>96</v>
      </c>
      <c r="C85" s="5" t="s">
        <v>307</v>
      </c>
      <c r="D85" s="5" t="s">
        <v>36</v>
      </c>
      <c r="E85" s="5" t="s">
        <v>308</v>
      </c>
      <c r="F85" s="5" t="s">
        <v>103</v>
      </c>
      <c r="G85" s="5" t="s">
        <v>23</v>
      </c>
    </row>
    <row r="86" spans="1:7">
      <c r="A86" s="4" t="s">
        <v>309</v>
      </c>
      <c r="B86" s="4" t="s">
        <v>96</v>
      </c>
      <c r="C86" s="4" t="s">
        <v>310</v>
      </c>
      <c r="D86" s="4" t="s">
        <v>36</v>
      </c>
      <c r="E86" s="4" t="s">
        <v>311</v>
      </c>
      <c r="F86" s="4" t="s">
        <v>103</v>
      </c>
      <c r="G86" s="4" t="s">
        <v>23</v>
      </c>
    </row>
    <row r="87" spans="1:7">
      <c r="A87" s="5" t="s">
        <v>312</v>
      </c>
      <c r="B87" s="5" t="s">
        <v>126</v>
      </c>
      <c r="C87" s="5" t="s">
        <v>313</v>
      </c>
      <c r="D87" s="5" t="s">
        <v>36</v>
      </c>
      <c r="E87" s="5" t="s">
        <v>314</v>
      </c>
      <c r="F87" s="5" t="s">
        <v>136</v>
      </c>
      <c r="G87" s="5" t="s">
        <v>23</v>
      </c>
    </row>
    <row r="88" spans="1:7">
      <c r="A88" s="4" t="s">
        <v>315</v>
      </c>
      <c r="B88" s="4" t="s">
        <v>126</v>
      </c>
      <c r="C88" s="4" t="s">
        <v>316</v>
      </c>
      <c r="D88" s="4" t="s">
        <v>20</v>
      </c>
      <c r="E88" s="4" t="s">
        <v>317</v>
      </c>
      <c r="F88" s="4" t="s">
        <v>284</v>
      </c>
      <c r="G88" s="4" t="s">
        <v>23</v>
      </c>
    </row>
    <row r="89" spans="1:7">
      <c r="A89" s="5" t="s">
        <v>318</v>
      </c>
      <c r="B89" s="5" t="s">
        <v>157</v>
      </c>
      <c r="C89" s="5" t="s">
        <v>319</v>
      </c>
      <c r="D89" s="5" t="s">
        <v>54</v>
      </c>
      <c r="E89" s="5" t="s">
        <v>320</v>
      </c>
      <c r="F89" s="5" t="s">
        <v>65</v>
      </c>
      <c r="G89" s="5" t="s">
        <v>23</v>
      </c>
    </row>
    <row r="90" spans="1:7">
      <c r="A90" s="4" t="s">
        <v>321</v>
      </c>
      <c r="B90" s="4" t="s">
        <v>157</v>
      </c>
      <c r="C90" s="4" t="s">
        <v>322</v>
      </c>
      <c r="D90" s="4" t="s">
        <v>20</v>
      </c>
      <c r="E90" s="4" t="s">
        <v>323</v>
      </c>
      <c r="F90" s="4" t="s">
        <v>129</v>
      </c>
      <c r="G90" s="4" t="s">
        <v>23</v>
      </c>
    </row>
    <row r="91" spans="1:7">
      <c r="A91" s="5" t="s">
        <v>324</v>
      </c>
      <c r="B91" s="5" t="s">
        <v>192</v>
      </c>
      <c r="C91" s="5" t="s">
        <v>325</v>
      </c>
      <c r="D91" s="5" t="s">
        <v>20</v>
      </c>
      <c r="E91" s="5" t="s">
        <v>326</v>
      </c>
      <c r="F91" s="5" t="s">
        <v>202</v>
      </c>
      <c r="G91" s="5" t="s">
        <v>23</v>
      </c>
    </row>
    <row r="92" spans="1:7">
      <c r="A92" s="4" t="s">
        <v>327</v>
      </c>
      <c r="B92" s="4" t="s">
        <v>192</v>
      </c>
      <c r="C92" s="4" t="s">
        <v>328</v>
      </c>
      <c r="D92" s="4" t="s">
        <v>20</v>
      </c>
      <c r="E92" s="4" t="s">
        <v>329</v>
      </c>
      <c r="F92" s="4" t="s">
        <v>330</v>
      </c>
      <c r="G92" s="4" t="s">
        <v>23</v>
      </c>
    </row>
    <row r="93" spans="1:7">
      <c r="A93" s="5" t="s">
        <v>331</v>
      </c>
      <c r="B93" s="5" t="s">
        <v>219</v>
      </c>
      <c r="C93" s="5" t="s">
        <v>332</v>
      </c>
      <c r="D93" s="5" t="s">
        <v>36</v>
      </c>
      <c r="E93" s="5" t="s">
        <v>333</v>
      </c>
      <c r="F93" s="5" t="s">
        <v>229</v>
      </c>
      <c r="G93" s="5" t="s">
        <v>23</v>
      </c>
    </row>
    <row r="94" spans="1:7">
      <c r="A94" s="4" t="s">
        <v>334</v>
      </c>
      <c r="B94" s="4" t="s">
        <v>244</v>
      </c>
      <c r="C94" s="4" t="s">
        <v>335</v>
      </c>
      <c r="D94" s="4" t="s">
        <v>20</v>
      </c>
      <c r="E94" s="4" t="s">
        <v>336</v>
      </c>
      <c r="F94" s="4" t="s">
        <v>81</v>
      </c>
      <c r="G94" s="4" t="s">
        <v>23</v>
      </c>
    </row>
    <row r="95" spans="1:7">
      <c r="A95" s="5" t="s">
        <v>337</v>
      </c>
      <c r="B95" s="5" t="s">
        <v>270</v>
      </c>
      <c r="C95" s="5" t="s">
        <v>338</v>
      </c>
      <c r="D95" s="5" t="s">
        <v>36</v>
      </c>
      <c r="E95" s="5" t="s">
        <v>339</v>
      </c>
      <c r="F95" s="5" t="s">
        <v>60</v>
      </c>
      <c r="G95" s="5" t="s">
        <v>23</v>
      </c>
    </row>
    <row r="96" spans="1:7">
      <c r="A96" s="4" t="s">
        <v>340</v>
      </c>
      <c r="B96" s="4" t="s">
        <v>270</v>
      </c>
      <c r="C96" s="4" t="s">
        <v>341</v>
      </c>
      <c r="D96" s="4" t="s">
        <v>20</v>
      </c>
      <c r="E96" s="4" t="s">
        <v>342</v>
      </c>
      <c r="F96" s="4" t="s">
        <v>56</v>
      </c>
      <c r="G96" s="4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8962E"/>
  </sheetPr>
  <dimension ref="A1:C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4" customWidth="1"/>
    <col min="3" max="3" width="12" customWidth="1"/>
  </cols>
  <sheetData>
    <row r="1" spans="1:3" ht="26.1" customHeight="1">
      <c r="A1" s="3" t="s">
        <v>343</v>
      </c>
      <c r="B1" s="3" t="s">
        <v>11</v>
      </c>
      <c r="C1" s="3" t="s">
        <v>344</v>
      </c>
    </row>
    <row r="2" spans="1:3">
      <c r="A2" s="4" t="s">
        <v>345</v>
      </c>
      <c r="B2" s="4" t="s">
        <v>18</v>
      </c>
      <c r="C2" s="4">
        <f>COUNTIF('01_Registry'!A:A,"SWD-*")</f>
        <v>13</v>
      </c>
    </row>
    <row r="3" spans="1:3">
      <c r="A3" s="5" t="s">
        <v>346</v>
      </c>
      <c r="B3" s="5" t="s">
        <v>62</v>
      </c>
      <c r="C3" s="5">
        <f>COUNTIF('01_Registry'!A:A,"DAT-*")</f>
        <v>12</v>
      </c>
    </row>
    <row r="4" spans="1:3">
      <c r="A4" s="4" t="s">
        <v>347</v>
      </c>
      <c r="B4" s="4" t="s">
        <v>96</v>
      </c>
      <c r="C4" s="4">
        <f>COUNTIF('01_Registry'!A:A,"DSN-*")</f>
        <v>11</v>
      </c>
    </row>
    <row r="5" spans="1:3">
      <c r="A5" s="5" t="s">
        <v>348</v>
      </c>
      <c r="B5" s="5" t="s">
        <v>126</v>
      </c>
      <c r="C5" s="5">
        <f>COUNTIF('01_Registry'!A:A,"MKC-*")</f>
        <v>11</v>
      </c>
    </row>
    <row r="6" spans="1:3">
      <c r="A6" s="4" t="s">
        <v>349</v>
      </c>
      <c r="B6" s="4" t="s">
        <v>157</v>
      </c>
      <c r="C6" s="4">
        <f>COUNTIF('01_Registry'!A:A,"BSF-*")</f>
        <v>12</v>
      </c>
    </row>
    <row r="7" spans="1:3">
      <c r="A7" s="5" t="s">
        <v>350</v>
      </c>
      <c r="B7" s="5" t="s">
        <v>192</v>
      </c>
      <c r="C7" s="5">
        <f>COUNTIF('01_Registry'!A:A,"ENG-*")</f>
        <v>10</v>
      </c>
    </row>
    <row r="8" spans="1:3">
      <c r="A8" s="4" t="s">
        <v>351</v>
      </c>
      <c r="B8" s="4" t="s">
        <v>219</v>
      </c>
      <c r="C8" s="4">
        <f>COUNTIF('01_Registry'!A:A,"LNG-*")</f>
        <v>8</v>
      </c>
    </row>
    <row r="9" spans="1:3">
      <c r="A9" s="5" t="s">
        <v>352</v>
      </c>
      <c r="B9" s="5" t="s">
        <v>244</v>
      </c>
      <c r="C9" s="5">
        <f>COUNTIF('01_Registry'!A:A,"MED-*")</f>
        <v>8</v>
      </c>
    </row>
    <row r="10" spans="1:3">
      <c r="A10" s="4" t="s">
        <v>353</v>
      </c>
      <c r="B10" s="4" t="s">
        <v>270</v>
      </c>
      <c r="C10" s="4">
        <f>COUNTIF('01_Registry'!A:A,"AOS-*")</f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0000"/>
  </sheetPr>
  <dimension ref="A1:E2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2" width="11" customWidth="1"/>
    <col min="3" max="3" width="18" customWidth="1"/>
    <col min="4" max="4" width="52" customWidth="1"/>
    <col min="5" max="5" width="12" customWidth="1"/>
  </cols>
  <sheetData>
    <row r="1" spans="1:5" ht="26.1" customHeight="1">
      <c r="A1" s="3" t="s">
        <v>354</v>
      </c>
      <c r="B1" s="3" t="s">
        <v>10</v>
      </c>
      <c r="C1" s="3" t="s">
        <v>355</v>
      </c>
      <c r="D1" s="3" t="s">
        <v>356</v>
      </c>
      <c r="E1" s="3" t="s">
        <v>357</v>
      </c>
    </row>
    <row r="2" spans="1:5">
      <c r="A2" s="4"/>
      <c r="B2" s="4"/>
      <c r="C2" s="4"/>
      <c r="D2" s="4"/>
      <c r="E2" s="4"/>
    </row>
    <row r="3" spans="1:5">
      <c r="A3" s="5"/>
      <c r="B3" s="5"/>
      <c r="C3" s="5"/>
      <c r="D3" s="5"/>
      <c r="E3" s="5"/>
    </row>
    <row r="4" spans="1:5">
      <c r="A4" s="4"/>
      <c r="B4" s="4"/>
      <c r="C4" s="4"/>
      <c r="D4" s="4"/>
      <c r="E4" s="4"/>
    </row>
    <row r="5" spans="1:5">
      <c r="A5" s="5"/>
      <c r="B5" s="5"/>
      <c r="C5" s="5"/>
      <c r="D5" s="5"/>
      <c r="E5" s="5"/>
    </row>
    <row r="6" spans="1:5">
      <c r="A6" s="4"/>
      <c r="B6" s="4"/>
      <c r="C6" s="4"/>
      <c r="D6" s="4"/>
      <c r="E6" s="4"/>
    </row>
    <row r="7" spans="1:5">
      <c r="A7" s="5"/>
      <c r="B7" s="5"/>
      <c r="C7" s="5"/>
      <c r="D7" s="5"/>
      <c r="E7" s="5"/>
    </row>
    <row r="8" spans="1:5">
      <c r="A8" s="4"/>
      <c r="B8" s="4"/>
      <c r="C8" s="4"/>
      <c r="D8" s="4"/>
      <c r="E8" s="4"/>
    </row>
    <row r="9" spans="1:5">
      <c r="A9" s="5"/>
      <c r="B9" s="5"/>
      <c r="C9" s="5"/>
      <c r="D9" s="5"/>
      <c r="E9" s="5"/>
    </row>
    <row r="10" spans="1:5">
      <c r="A10" s="4"/>
      <c r="B10" s="4"/>
      <c r="C10" s="4"/>
      <c r="D10" s="4"/>
      <c r="E10" s="4"/>
    </row>
    <row r="11" spans="1:5">
      <c r="A11" s="5"/>
      <c r="B11" s="5"/>
      <c r="C11" s="5"/>
      <c r="D11" s="5"/>
      <c r="E11" s="5"/>
    </row>
    <row r="12" spans="1:5">
      <c r="A12" s="4"/>
      <c r="B12" s="4"/>
      <c r="C12" s="4"/>
      <c r="D12" s="4"/>
      <c r="E12" s="4"/>
    </row>
    <row r="13" spans="1:5">
      <c r="A13" s="5"/>
      <c r="B13" s="5"/>
      <c r="C13" s="5"/>
      <c r="D13" s="5"/>
      <c r="E13" s="5"/>
    </row>
    <row r="14" spans="1:5">
      <c r="A14" s="4"/>
      <c r="B14" s="4"/>
      <c r="C14" s="4"/>
      <c r="D14" s="4"/>
      <c r="E14" s="4"/>
    </row>
    <row r="15" spans="1:5">
      <c r="A15" s="5"/>
      <c r="B15" s="5"/>
      <c r="C15" s="5"/>
      <c r="D15" s="5"/>
      <c r="E15" s="5"/>
    </row>
    <row r="16" spans="1:5">
      <c r="A16" s="4"/>
      <c r="B16" s="4"/>
      <c r="C16" s="4"/>
      <c r="D16" s="4"/>
      <c r="E16" s="4"/>
    </row>
    <row r="17" spans="1:5">
      <c r="A17" s="5"/>
      <c r="B17" s="5"/>
      <c r="C17" s="5"/>
      <c r="D17" s="5"/>
      <c r="E17" s="5"/>
    </row>
    <row r="18" spans="1:5">
      <c r="A18" s="4"/>
      <c r="B18" s="4"/>
      <c r="C18" s="4"/>
      <c r="D18" s="4"/>
      <c r="E18" s="4"/>
    </row>
    <row r="19" spans="1:5">
      <c r="A19" s="5"/>
      <c r="B19" s="5"/>
      <c r="C19" s="5"/>
      <c r="D19" s="5"/>
      <c r="E19" s="5"/>
    </row>
    <row r="20" spans="1:5">
      <c r="A20" s="4"/>
      <c r="B20" s="4"/>
      <c r="C20" s="4"/>
      <c r="D20" s="4"/>
      <c r="E20" s="4"/>
    </row>
    <row r="21" spans="1:5">
      <c r="A21" s="5"/>
      <c r="B21" s="5"/>
      <c r="C21" s="5"/>
      <c r="D21" s="5"/>
      <c r="E2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Maher F. S.</cp:lastModifiedBy>
  <cp:revision/>
  <dcterms:created xsi:type="dcterms:W3CDTF">2026-07-05T05:55:22Z</dcterms:created>
  <dcterms:modified xsi:type="dcterms:W3CDTF">2026-08-09T13:37:11Z</dcterms:modified>
  <cp:category/>
  <cp:contentStatus/>
</cp:coreProperties>
</file>