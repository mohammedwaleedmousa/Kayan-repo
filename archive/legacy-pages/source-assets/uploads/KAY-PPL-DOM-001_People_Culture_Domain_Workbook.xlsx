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0 · READ ME" sheetId="2" state="visible" r:id="rId4"/>
    <sheet name="01 · DOMAIN ON A PAGE" sheetId="3" state="visible" r:id="rId5"/>
    <sheet name="02 · THE HARVEST" sheetId="4" state="visible" r:id="rId6"/>
    <sheet name="03 · ORG &amp; HAT MAP" sheetId="5" state="visible" r:id="rId7"/>
    <sheet name="04 · STAFF REGISTER" sheetId="6" state="visible" r:id="rId8"/>
    <sheet name="05 · POSITIONS &amp; LADDERS" sheetId="7" state="visible" r:id="rId9"/>
    <sheet name="06 · JD STANDARD &amp; LIBRARY" sheetId="8" state="visible" r:id="rId10"/>
    <sheet name="07 · COMPENSATION" sheetId="9" state="visible" r:id="rId11"/>
    <sheet name="08 · LIFECYCLE E-PROCESS" sheetId="10" state="visible" r:id="rId12"/>
    <sheet name="09 · INTERNS·TRAINING·CULTURE" sheetId="11" state="visible" r:id="rId13"/>
    <sheet name="10 · RISK REGISTER" sheetId="12" state="visible" r:id="rId14"/>
    <sheet name="11 · CROSS-DOMAIN NOTES" sheetId="13" state="visible" r:id="rId15"/>
    <sheet name="12 · GAPS &amp; BUILD PLAN"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<sst xmlns="http://schemas.openxmlformats.org/spreadsheetml/2006/main" count="804" uniqueCount="608">
  <si>
    <t xml:space="preserve">KAYAN  ◆  DOMAIN INTELLIGENCE &amp; OPERATING WORKBOOK</t>
  </si>
  <si>
    <t xml:space="preserve">People &amp; Culture</t>
  </si>
  <si>
    <t xml:space="preserve">People are the institution — hire to triggers, not to hope</t>
  </si>
  <si>
    <t xml:space="preserve">Behind every success, a KAYAN</t>
  </si>
  <si>
    <t xml:space="preserve">Instrument</t>
  </si>
  <si>
    <t xml:space="preserve">KAY-PPL-DOM-001  ·  People &amp; Culture Domain Workbook</t>
  </si>
  <si>
    <t xml:space="preserve">What it is</t>
  </si>
  <si>
    <t xml:space="preserve">The one place that reasons the people domain end to end: who is actually here today and which hats they wear, the position architecture and the assistant-first ladder, the pay bands and what a package really contains, the whole employee lifecycle as an e-process with every actor named, the intern pipeline, the culture, and the risks</t>
  </si>
  <si>
    <t xml:space="preserve">Built from the ledger</t>
  </si>
  <si>
    <t xml:space="preserve">Second domain built FROM the accumulating system: every people note logged by the three lines, the Spine, and the Legal domain is pulled into tab 02 and answered here</t>
  </si>
  <si>
    <t xml:space="preserve">Grounded in reality</t>
  </si>
  <si>
    <t xml:space="preserve">Elevates the strong existing HR estate — the S1–S5 salary ladder, the POS-ID job library, the Aden recruitment channels, the 90-day onboarding, the two-day foundation training — and the real roster as it stands in August 2026, including the live vacancy</t>
  </si>
  <si>
    <t xml:space="preserve">Status</t>
  </si>
  <si>
    <t xml:space="preserve">Living workbook — one per operating domain, on the accumulating template</t>
  </si>
  <si>
    <t xml:space="preserve">WHAT IS INSIDE</t>
  </si>
  <si>
    <t xml:space="preserve">00 · READ ME</t>
  </si>
  <si>
    <t xml:space="preserve">How this domain workbook works and its standing rules</t>
  </si>
  <si>
    <t xml:space="preserve">01 · DOMAIN ON A PAGE</t>
  </si>
  <si>
    <t xml:space="preserve">What People &amp; Culture does for Kayan, and the philosophy</t>
  </si>
  <si>
    <t xml:space="preserve">02 · THE HARVEST</t>
  </si>
  <si>
    <t xml:space="preserve">Every people note the lines, the Spine, and Legal logged — answered</t>
  </si>
  <si>
    <t xml:space="preserve">03 · ORG &amp; HAT MAP</t>
  </si>
  <si>
    <t xml:space="preserve">The target structure, and who actually wears which hats today</t>
  </si>
  <si>
    <t xml:space="preserve">04 · STAFF REGISTER</t>
  </si>
  <si>
    <t xml:space="preserve">The operational record: codes ↔ names, the real roster, the vacancy</t>
  </si>
  <si>
    <t xml:space="preserve">05 · POSITIONS &amp; LADDERS</t>
  </si>
  <si>
    <t xml:space="preserve">The position taxonomy and the assistant-first ladder rule</t>
  </si>
  <si>
    <t xml:space="preserve">06 · JD STANDARD &amp; LIBRARY</t>
  </si>
  <si>
    <t xml:space="preserve">The canonical JD format, the library map, and the live-vacancy JD in full</t>
  </si>
  <si>
    <t xml:space="preserve">07 · COMPENSATION</t>
  </si>
  <si>
    <t xml:space="preserve">Bands S1–S5, what a package contains in Aden, Cairo payroll, cost-share</t>
  </si>
  <si>
    <t xml:space="preserve">08 · LIFECYCLE E-PROCESS</t>
  </si>
  <si>
    <t xml:space="preserve">Joiner → mover → leaver, every actor, every system event, every risk</t>
  </si>
  <si>
    <t xml:space="preserve">09 · INTERNS · TRAINING · CULTURE</t>
  </si>
  <si>
    <t xml:space="preserve">The pipeline, the mandatory training matrix, and the culture codified</t>
  </si>
  <si>
    <t xml:space="preserve">10 · RISK REGISTER</t>
  </si>
  <si>
    <t xml:space="preserve">The people risks, each answered by a named instrument</t>
  </si>
  <si>
    <t xml:space="preserve">11 · CROSS-DOMAIN NOTES</t>
  </si>
  <si>
    <t xml:space="preserve">What People requires of the other domains (accumulating outward)</t>
  </si>
  <si>
    <t xml:space="preserve">12 · GAPS &amp; BUILD PLAN</t>
  </si>
  <si>
    <t xml:space="preserve">Live counts and the sequenced plan — starting with the live vacancy</t>
  </si>
  <si>
    <t xml:space="preserve">HOW THIS DOMAIN WORKBOOK WORKS</t>
  </si>
  <si>
    <t xml:space="preserve">What it governs</t>
  </si>
  <si>
    <t xml:space="preserve">Everything about the people: structure, positions, pay, hiring, onboarding, performance, movement, exit, interns, training, and culture. The line workbooks define what each line's roles do; this domain defines how any person joins, is paid, grows, moves, and leaves — one lifecycle for the whole firm.</t>
  </si>
  <si>
    <t xml:space="preserve">The harvest first</t>
  </si>
  <si>
    <t xml:space="preserve">Tab 02 answers every people note the three lines, the Spine, and the Legal domain accumulated. Then the domain builds outward from those answers — nothing the rest of the firm asked for is rediscovered later.</t>
  </si>
  <si>
    <t xml:space="preserve">Elevate, do not restart</t>
  </si>
  <si>
    <t xml:space="preserve">The existing HR estate is genuinely strong: an S1–S5 salary ladder priced against the Aden market, a POS-ID job library, mapped recruitment channels with a mandatory screening form, a 90-day onboarding that starts a week before Day 1, and a two-day foundation training. Each is mapped to where it now lives; none is discarded.</t>
  </si>
  <si>
    <t xml:space="preserve">Names and codes</t>
  </si>
  <si>
    <t xml:space="preserve">Structure, process, and JD tabs use position codes only. Tab 04 is the operational record where codes map to real names — it is the one place the mapping lives, and payroll, contracts, and audit follow it.</t>
  </si>
  <si>
    <t xml:space="preserve">The assistant-first rule</t>
  </si>
  <si>
    <t xml:space="preserve">Every open Lead function is hired at assistant level first and upgraded to Lead only when a revenue trigger is met. Job announcements state the assistant level plainly. The trigger definition is owed by the Chief Executive and flagged as a fork — the ladder is built so the rule cannot be forgotten.</t>
  </si>
  <si>
    <t xml:space="preserve">No vesting, anywhere</t>
  </si>
  <si>
    <t xml:space="preserve">Employment and internship instruments contain no vesting, cliff, or forfeiture language — partner ownership is immediate and complete, and applicable labour law governs employment. Any long-term incentive reserve is internal only and is never named in any external document.</t>
  </si>
  <si>
    <t xml:space="preserve">Numbers</t>
  </si>
  <si>
    <t xml:space="preserve">Confirmed facts are stated (the Cairo developers' EGP 18,000 monthly, the 50/50 cost-share on the lead developer, the intern's four-hour day). Bands and stipends carry the existing draft values marked for confirmation; every contested figure remains a «placeholder» for the finance session.</t>
  </si>
  <si>
    <t xml:space="preserve">People &amp; Culture — the domain on a page</t>
  </si>
  <si>
    <t xml:space="preserve">The capability that turns a founder's company into an institution: the right people, hired at the right moment, onboarded so they carry the standard, paid fairly against the real Aden market, growing along a ladder that is written down, and leaving — when they leave — cleanly and safely.</t>
  </si>
  <si>
    <t xml:space="preserve">The reality it starts from</t>
  </si>
  <si>
    <t xml:space="preserve">August 2026: four partners (one executive), one executive-assistant intern on four hours a day, two developers in Cairo (one cost-shared with CauseWay), three security guards, and one live vacancy — Admin &amp; Supply Assistant. The Chief Executive currently wears most operating hats. That is normal for the stage; the danger is only in not writing it down. Tab 03 writes it down.</t>
  </si>
  <si>
    <t xml:space="preserve">The philosophy</t>
  </si>
  <si>
    <t xml:space="preserve">Hire to triggers, not to hope — the drafted playbook's own words, kept. Headcount follows revenue and workload evidence, never optimism. Every Lead function opens at assistant level; the Lead title is earned when the line's revenue trigger fires. Interns are a deliberate pipeline, not cheap labour: real tracks, real mentors, a real conversion path.</t>
  </si>
  <si>
    <t xml:space="preserve">Why culture is load-bearing</t>
  </si>
  <si>
    <t xml:space="preserve">Kayan sells trust, and trust is carried by people before it is carried by documents. The culture is codified — the weekly rhythm, the bilingual workplace, the safeguarding and safe-space commitments as an employer, the honest handling of a family founding team — because in a small firm, culture is the control environment.</t>
  </si>
  <si>
    <t xml:space="preserve">The e-process spine</t>
  </si>
  <si>
    <t xml:space="preserve">One lifecycle governs everyone: need → approve → advertise → screen → interview → offer → contract → provision → induct → perform → move → exit. Every step has a lead actor, named co-actors, evidence, a system event the platform can automate, and a risk if skipped. Access follows position codes through identity groups — joining, moving, and leaving change access the same day.</t>
  </si>
  <si>
    <t xml:space="preserve">What was inherited</t>
  </si>
  <si>
    <t xml:space="preserve">A strong drafted estate: 'People Are the Institution' (JD library and salary ladder), 'Hire to Triggers' (the playbook), the HR operating workbook (staffing plan with hire triggers and CauseWay share, bands, interview bank, scoring rubric, 90-day onboarding, wellbeing policy), the induction-and-performance workbook (weekly rhythm, 30/60/90), and the two-day foundation training. This domain is their one governing roof.</t>
  </si>
  <si>
    <t xml:space="preserve">The harvest — the accumulated ledger, answered</t>
  </si>
  <si>
    <t xml:space="preserve">Every people note logged by the Managed Delivery, Hub, and Forge workbooks, the Linking Spine, and the Legal domain while they were built — answered here with where each lands. The ledger keeps paying off.</t>
  </si>
  <si>
    <t xml:space="preserve">From</t>
  </si>
  <si>
    <t xml:space="preserve">The note that was logged</t>
  </si>
  <si>
    <t xml:space="preserve">Answered by</t>
  </si>
  <si>
    <t xml:space="preserve">Where it lands</t>
  </si>
  <si>
    <t xml:space="preserve">Managed Delivery</t>
  </si>
  <si>
    <t xml:space="preserve">Six roles run the line (delivery lead, account, pod coordination, independent reviewer, coordinator, intern); the reviewer must sit outside delivery and report to the Chief Executive.</t>
  </si>
  <si>
    <t xml:space="preserve">All six positions in the taxonomy; the reviewer's independent reporting line is structural — written into the position record and the org, not into a person.</t>
  </si>
  <si>
    <t xml:space="preserve">03 / 05</t>
  </si>
  <si>
    <t xml:space="preserve">Dual approval on payouts needs two real, named approvers who are trained for it.</t>
  </si>
  <si>
    <t xml:space="preserve">The register carries who holds the Finance and Management approval roles; the lifecycle provisions those group memberships on Day 0 and removes them on exit day.</t>
  </si>
  <si>
    <t xml:space="preserve">04 / 08</t>
  </si>
  <si>
    <t xml:space="preserve">The Hub</t>
  </si>
  <si>
    <t xml:space="preserve">Five roles run the Hub; the Member Experience Assistant JD already exists; a third security guard joined on 1 July 2026.</t>
  </si>
  <si>
    <t xml:space="preserve">Positions in the taxonomy; the existing JD mapped in the library; the third guard is in the register with a start date — the roster reflects reality, not plans.</t>
  </si>
  <si>
    <t xml:space="preserve">04 / 05 / 06</t>
  </si>
  <si>
    <t xml:space="preserve">The Café Lead is measured on the experience, not on margin — the 'Impact Maker' framing.</t>
  </si>
  <si>
    <t xml:space="preserve">Kept, deliberately: the JD standard requires KPIs that match what the role is for; the Café Lead's are experience and safety measures, and the naming philosophy is codified in culture.</t>
  </si>
  <si>
    <t xml:space="preserve">06 / 09</t>
  </si>
  <si>
    <t xml:space="preserve">Kayan Forge</t>
  </si>
  <si>
    <t xml:space="preserve">Five roles; the Forge Lead is a partner operating within the Forge only, with standing conflict handling and arm's-length terms; trainers are contracted arm's-length on a rated roster.</t>
  </si>
  <si>
    <t xml:space="preserve">The Forge Lead's scope is written into the position record and the hat map; trainer engagement is a contract relationship, not employment — flagged to Legal; ratings live in the Forge line.</t>
  </si>
  <si>
    <t xml:space="preserve">03 / 04 / 11</t>
  </si>
  <si>
    <t xml:space="preserve">Forge graduates are a talent pipeline.</t>
  </si>
  <si>
    <t xml:space="preserve">Made structural: Forge alumni are a named recruitment channel for assistant and intern roles — the firm hires from the capability it builds.</t>
  </si>
  <si>
    <t xml:space="preserve">08 / 09</t>
  </si>
  <si>
    <t xml:space="preserve">Linking Spine</t>
  </si>
  <si>
    <t xml:space="preserve">Access is granted to groups, never to people; joiners, movers, and leavers must change access the same day; every position code maps to its security groups.</t>
  </si>
  <si>
    <t xml:space="preserve">The lifecycle e-process carries the joiner–mover–leaver identity events step by step, with the implementation hints; the position-to-groups mapping is ordered as a build item for Tech.</t>
  </si>
  <si>
    <t xml:space="preserve">08 / 11 / 12</t>
  </si>
  <si>
    <t xml:space="preserve">Legal domain</t>
  </si>
  <si>
    <t xml:space="preserve">Employment and internship contracts are built with this domain — no vesting, cliff, or forfeiture language anywhere; applicable labour law governs.</t>
  </si>
  <si>
    <t xml:space="preserve">Both instruments specified here (fields, probation, position-code linkage) and ordered jointly with Legal; the no-vesting rule is a standing rule of the whole domain.</t>
  </si>
  <si>
    <t xml:space="preserve">06 / 11 / 12</t>
  </si>
  <si>
    <t xml:space="preserve">Every joiner signs the code of conduct, safeguarding, conflict-of-interest, and data-protection policies at onboarding; attestations refresh annually; safeguarding training is annual.</t>
  </si>
  <si>
    <t xml:space="preserve">Built into Day-0 of the lifecycle as a blocking step (no sign-off, no system access) and into the mandatory training matrix with its annual cadence.</t>
  </si>
  <si>
    <t xml:space="preserve">Canon (forks)</t>
  </si>
  <si>
    <t xml:space="preserve">Role specifics for two partners await the roles decision; the assistant-to-lead revenue trigger awaits definition.</t>
  </si>
  <si>
    <t xml:space="preserve">Both carried as visible forks: the hat map marks the partner roles as pending ratification; the ladder marks the trigger «TBD by the Chief Executive» — the structure is built so the decisions drop in.</t>
  </si>
  <si>
    <t xml:space="preserve">03 / 05 / 12</t>
  </si>
  <si>
    <t xml:space="preserve">Org design &amp; the hat map</t>
  </si>
  <si>
    <t xml:space="preserve">The honest structure. Left: where each position sits and reports. Right: the truth of August 2026 — who actually wears each hat today, whether that is substantive or acting, and what event de-hats it. A tiny firm's real risk is not wearing many hats; it is not writing down who wears them.</t>
  </si>
  <si>
    <t xml:space="preserve">Position (code)</t>
  </si>
  <si>
    <t xml:space="preserve">Sits in</t>
  </si>
  <si>
    <t xml:space="preserve">Reports to</t>
  </si>
  <si>
    <t xml:space="preserve">Held today (register ID)</t>
  </si>
  <si>
    <t xml:space="preserve">Hat status</t>
  </si>
  <si>
    <t xml:space="preserve">De-hat / fill trigger</t>
  </si>
  <si>
    <t xml:space="preserve">Chief Executive (CEO)</t>
  </si>
  <si>
    <t xml:space="preserve">Executive</t>
  </si>
  <si>
    <t xml:space="preserve">Partners</t>
  </si>
  <si>
    <t xml:space="preserve">PTR-001</t>
  </si>
  <si>
    <t xml:space="preserve">SUBSTANTIVE</t>
  </si>
  <si>
    <t xml:space="preserve">—</t>
  </si>
  <si>
    <t xml:space="preserve">CEO Executive Assistant (CEO-EA)</t>
  </si>
  <si>
    <t xml:space="preserve">CEO</t>
  </si>
  <si>
    <t xml:space="preserve">INT-001 (intern, 4 h/day)</t>
  </si>
  <si>
    <t xml:space="preserve">Grows with the diary and correspondence load</t>
  </si>
  <si>
    <t xml:space="preserve">Finance Lead (FIN-LEAD)</t>
  </si>
  <si>
    <t xml:space="preserve">Finance &amp; Admin</t>
  </si>
  <si>
    <t xml:space="preserve">CEO / Partners</t>
  </si>
  <si>
    <t xml:space="preserve">PTR-002 (partner)</t>
  </si>
  <si>
    <t xml:space="preserve">Finance Assistant hire relieves the transactional load</t>
  </si>
  <si>
    <t xml:space="preserve">Admin &amp; Supply Assistant (ADM-SUP)</t>
  </si>
  <si>
    <t xml:space="preserve">FIN-LEAD</t>
  </si>
  <si>
    <t xml:space="preserve">VACANT</t>
  </si>
  <si>
    <t xml:space="preserve">LIVE VACANCY — next hire; full JD in tab 06; ad ready</t>
  </si>
  <si>
    <t xml:space="preserve">Managed Delivery Lead (MD-LEAD)</t>
  </si>
  <si>
    <t xml:space="preserve">PTR-001 acting</t>
  </si>
  <si>
    <t xml:space="preserve">ACTING</t>
  </si>
  <si>
    <t xml:space="preserve">Assistant hired at trigger; Lead title on the revenue trigger «TBD»</t>
  </si>
  <si>
    <t xml:space="preserve">Independent Reviewer (MD-QA)</t>
  </si>
  <si>
    <t xml:space="preserve">Quality (outside delivery)</t>
  </si>
  <si>
    <t xml:space="preserve">PTR-001 acting (interim)</t>
  </si>
  <si>
    <t xml:space="preserve">First arm's-length reviewer engaged — independence is structural, so this hat must move early</t>
  </si>
  <si>
    <t xml:space="preserve">Hub Manager (HUB-MGR)</t>
  </si>
  <si>
    <t xml:space="preserve">Hub assistant hired at trigger; Lead on the revenue trigger «TBD»</t>
  </si>
  <si>
    <t xml:space="preserve">Member Experience Assistant (HUB-EXP)</t>
  </si>
  <si>
    <t xml:space="preserve">HUB-MGR</t>
  </si>
  <si>
    <t xml:space="preserve">Opens with the Hub's public opening cadence «date»</t>
  </si>
  <si>
    <t xml:space="preserve">Café Lead — Impact Maker (CAF-LEAD)</t>
  </si>
  <si>
    <t xml:space="preserve">The Hub (amenity)</t>
  </si>
  <si>
    <t xml:space="preserve">Opens with Café service start «date»</t>
  </si>
  <si>
    <t xml:space="preserve">Security (HUB-SEC ×3)</t>
  </si>
  <si>
    <t xml:space="preserve">EMP-003 / 004 / 005</t>
  </si>
  <si>
    <t xml:space="preserve">Third guard joined 1 July 2026 — roster complete</t>
  </si>
  <si>
    <t xml:space="preserve">Forge Lead (FRG-LEAD)</t>
  </si>
  <si>
    <t xml:space="preserve">PTR-003 (partner)</t>
  </si>
  <si>
    <t xml:space="preserve">SCOPED</t>
  </si>
  <si>
    <t xml:space="preserve">Partner role scoped to the Forge only; specifics await the roles decision (fork)</t>
  </si>
  <si>
    <t xml:space="preserve">Forge Coordinator (FRG-COORD)</t>
  </si>
  <si>
    <t xml:space="preserve">FRG-LEAD</t>
  </si>
  <si>
    <t xml:space="preserve">Opens at assistant level with the first funded cohort</t>
  </si>
  <si>
    <t xml:space="preserve">Sponsor &amp; Partnerships (FRG-SPON)</t>
  </si>
  <si>
    <t xml:space="preserve">First sponsor pipeline owner hired at trigger</t>
  </si>
  <si>
    <t xml:space="preserve">Lead Developer (TECH-DEV-1)</t>
  </si>
  <si>
    <t xml:space="preserve">Technology</t>
  </si>
  <si>
    <t xml:space="preserve">EMP-001 (Cairo, cost-shared)</t>
  </si>
  <si>
    <t xml:space="preserve">Developer (TECH-DEV-2)</t>
  </si>
  <si>
    <t xml:space="preserve">TECH-DEV-1</t>
  </si>
  <si>
    <t xml:space="preserve">EMP-002 (Cairo, dedicated)</t>
  </si>
  <si>
    <t xml:space="preserve">Marketing &amp; Content (MKT)</t>
  </si>
  <si>
    <t xml:space="preserve">Brand &amp; Marketing</t>
  </si>
  <si>
    <t xml:space="preserve">PTR-001 acting + interns</t>
  </si>
  <si>
    <t xml:space="preserve">Content intern track carries production; assistant at trigger</t>
  </si>
  <si>
    <t xml:space="preserve">Partner — no operational role</t>
  </si>
  <si>
    <t xml:space="preserve">Governance</t>
  </si>
  <si>
    <t xml:space="preserve">PTR-004</t>
  </si>
  <si>
    <t xml:space="preserve">PENDING</t>
  </si>
  <si>
    <t xml:space="preserve">Specifics await the roles decision (fork)</t>
  </si>
  <si>
    <t xml:space="preserve">Reading the map: the Chief Executive currently carries the delivery, hub, sponsor, marketing, and interim-reviewer hats — five acting roles. The hiring plan in tab 12 is, literally, the de-hatting sequence: each hire below is chosen to remove one acting hat, in the order that removes the most risk first. The independent-reviewer hat moves earliest because its independence is the point.</t>
  </si>
  <si>
    <t xml:space="preserve">Staff register — the operational record (codes ↔ names)</t>
  </si>
  <si>
    <t xml:space="preserve">The one place where position codes map to real people. Payroll, contracts, identity, and audit follow this register. It reflects August 2026 as it truly is — including the live vacancy — and it is the source the joiner–mover–leaver automation reads.</t>
  </si>
  <si>
    <t xml:space="preserve">Register ID</t>
  </si>
  <si>
    <t xml:space="preserve">Name</t>
  </si>
  <si>
    <t xml:space="preserve">Position code(s) held</t>
  </si>
  <si>
    <t xml:space="preserve">Type</t>
  </si>
  <si>
    <t xml:space="preserve">Band</t>
  </si>
  <si>
    <t xml:space="preserve">Location</t>
  </si>
  <si>
    <t xml:space="preserve">Start</t>
  </si>
  <si>
    <t xml:space="preserve">Cost basis (confirmed)</t>
  </si>
  <si>
    <t xml:space="preserve">Identity groups (Entra)</t>
  </si>
  <si>
    <t xml:space="preserve">Maher Faisal Saeed Farea</t>
  </si>
  <si>
    <t xml:space="preserve">CEO + acting: MD-LEAD, HUB-MGR, FRG-SPON, MKT, MD-QA (interim)</t>
  </si>
  <si>
    <t xml:space="preserve">Partner–exec</t>
  </si>
  <si>
    <t xml:space="preserve">S5</t>
  </si>
  <si>
    <t xml:space="preserve">Aden</t>
  </si>
  <si>
    <t xml:space="preserve">Founding</t>
  </si>
  <si>
    <t xml:space="preserve">Partner — «exec comp: finance session»</t>
  </si>
  <si>
    <t xml:space="preserve">SEC-Management, SEC-Finance (approver), all-lines read</t>
  </si>
  <si>
    <t xml:space="preserve">ACTIVE</t>
  </si>
  <si>
    <t xml:space="preserve">PTR-002</t>
  </si>
  <si>
    <t xml:space="preserve">Tariq Ahmed Ahmed Al-Makhdari</t>
  </si>
  <si>
    <t xml:space="preserve">S4</t>
  </si>
  <si>
    <t xml:space="preserve">Partner — «finance session»</t>
  </si>
  <si>
    <t xml:space="preserve">SEC-Finance, SEC-Management</t>
  </si>
  <si>
    <t xml:space="preserve">PTR-003</t>
  </si>
  <si>
    <t xml:space="preserve">Mohamed Faisal Saeed Farea</t>
  </si>
  <si>
    <t xml:space="preserve">FRG-LEAD (scoped to Forge)</t>
  </si>
  <si>
    <t xml:space="preserve">Partner–op</t>
  </si>
  <si>
    <t xml:space="preserve">Arm's-length «per agreement»; COI standing declaration on file</t>
  </si>
  <si>
    <t xml:space="preserve">SEC-Forge only — no cross-line approvals</t>
  </si>
  <si>
    <t xml:space="preserve">Ali Qaed Ahmed Haidar</t>
  </si>
  <si>
    <t xml:space="preserve">— (no operational role)</t>
  </si>
  <si>
    <t xml:space="preserve">Partner</t>
  </si>
  <si>
    <t xml:space="preserve">— (governance record access only)</t>
  </si>
  <si>
    <t xml:space="preserve">INT-001</t>
  </si>
  <si>
    <t xml:space="preserve">Lama Alhabshi</t>
  </si>
  <si>
    <t xml:space="preserve">CEO-EA</t>
  </si>
  <si>
    <t xml:space="preserve">Intern</t>
  </si>
  <si>
    <t xml:space="preserve">S1</t>
  </si>
  <si>
    <t xml:space="preserve">1 Jun 2026</t>
  </si>
  <si>
    <t xml:space="preserve">Part-time 4 h/day — stipend «token»</t>
  </si>
  <si>
    <t xml:space="preserve">SEC-Coordination (least privilege)</t>
  </si>
  <si>
    <t xml:space="preserve">EMP-001</t>
  </si>
  <si>
    <t xml:space="preserve">Mustafa Haney</t>
  </si>
  <si>
    <t xml:space="preserve">TECH-DEV-1 (Lead Developer)</t>
  </si>
  <si>
    <t xml:space="preserve">Employee (remote)</t>
  </si>
  <si>
    <t xml:space="preserve">Cairo</t>
  </si>
  <si>
    <t xml:space="preserve">Mar 2026</t>
  </si>
  <si>
    <t xml:space="preserve">EGP 18,000/mo — 50/50 cost-share with CauseWay; Kayan net 50% invoiced monthly per the cost-sharing agreement</t>
  </si>
  <si>
    <t xml:space="preserve">SEC-Tech (privileged, PIM-gated)</t>
  </si>
  <si>
    <t xml:space="preserve">EMP-002</t>
  </si>
  <si>
    <t xml:space="preserve">Alaa «full name — register»</t>
  </si>
  <si>
    <t xml:space="preserve">TECH-DEV-2 (Developer)</t>
  </si>
  <si>
    <t xml:space="preserve">S3</t>
  </si>
  <si>
    <t xml:space="preserve">May 2026</t>
  </si>
  <si>
    <t xml:space="preserve">EGP 18,000/mo — Kayan-dedicated, full cost</t>
  </si>
  <si>
    <t xml:space="preserve">SEC-Tech</t>
  </si>
  <si>
    <t xml:space="preserve">EMP-003</t>
  </si>
  <si>
    <t xml:space="preserve">«Guard 1 — register»</t>
  </si>
  <si>
    <t xml:space="preserve">HUB-SEC</t>
  </si>
  <si>
    <t xml:space="preserve">Employee</t>
  </si>
  <si>
    <t xml:space="preserve">«date»</t>
  </si>
  <si>
    <t xml:space="preserve">«band S1 — finance session»</t>
  </si>
  <si>
    <t xml:space="preserve">Physical access only — no information systems</t>
  </si>
  <si>
    <t xml:space="preserve">EMP-004</t>
  </si>
  <si>
    <t xml:space="preserve">«Guard 2 — register»</t>
  </si>
  <si>
    <t xml:space="preserve">«band S1»</t>
  </si>
  <si>
    <t xml:space="preserve">Physical access only</t>
  </si>
  <si>
    <t xml:space="preserve">EMP-005</t>
  </si>
  <si>
    <t xml:space="preserve">«Guard 3 — register»</t>
  </si>
  <si>
    <t xml:space="preserve">1 Jul 2026</t>
  </si>
  <si>
    <t xml:space="preserve">VACANT — to be recruited</t>
  </si>
  <si>
    <t xml:space="preserve">ADM-SUP (Admin &amp; Supply Assistant)</t>
  </si>
  <si>
    <t xml:space="preserve">S2</t>
  </si>
  <si>
    <t xml:space="preserve">«target»</t>
  </si>
  <si>
    <t xml:space="preserve">«band S2 — finance session»</t>
  </si>
  <si>
    <t xml:space="preserve">SEC-Coordination + procurement forms (on hire)</t>
  </si>
  <si>
    <t xml:space="preserve">Register hygiene — standing corrections applied: Badr and Nadia Salem Al-Aqil are not team members and appear in no Kayan document; Omar belongs to CauseWay only. The lead developer's 50% CauseWay share is invoiced monthly under the cost-sharing agreement — the one deliberate, documented bridge between the two firms; everything else stays fully separate.</t>
  </si>
  <si>
    <t xml:space="preserve">Position taxonomy &amp; the assistant-first ladder</t>
  </si>
  <si>
    <t xml:space="preserve">Left: the canonical position codes, reconciled with the line workbooks and the drafted POS-ID library. Right: the ladder every function climbs — assistant first, always; the Lead title exists only after the line's revenue trigger fires. Job announcements state the assistant level plainly.</t>
  </si>
  <si>
    <t xml:space="preserve">Function</t>
  </si>
  <si>
    <t xml:space="preserve">Entry position (opens first)</t>
  </si>
  <si>
    <t xml:space="preserve">Grows to</t>
  </si>
  <si>
    <t xml:space="preserve">Lead title unlocked by</t>
  </si>
  <si>
    <t xml:space="preserve">Announcement rule</t>
  </si>
  <si>
    <t xml:space="preserve">Delivery</t>
  </si>
  <si>
    <t xml:space="preserve">Delivery Assistant (MD-AST)</t>
  </si>
  <si>
    <t xml:space="preserve">Delivery Officer (MD-OFF)</t>
  </si>
  <si>
    <t xml:space="preserve">Managed Delivery Lead — on the delivery revenue trigger «TBD by CEO»</t>
  </si>
  <si>
    <t xml:space="preserve">Ad says 'Assistant' — never 'Lead'</t>
  </si>
  <si>
    <t xml:space="preserve">Hub &amp; community</t>
  </si>
  <si>
    <t xml:space="preserve">Hub Officer (HUB-OFF)</t>
  </si>
  <si>
    <t xml:space="preserve">Hub Manager — on the Hub revenue trigger «TBD»</t>
  </si>
  <si>
    <t xml:space="preserve">Ad says 'Assistant'</t>
  </si>
  <si>
    <t xml:space="preserve">Forge coordination</t>
  </si>
  <si>
    <t xml:space="preserve">Forge Assistant (FRG-AST)</t>
  </si>
  <si>
    <t xml:space="preserve">Cohort Coordinator (FRG-COORD)</t>
  </si>
  <si>
    <t xml:space="preserve">— (the Forge Lead is a scoped partner role, not a hire)</t>
  </si>
  <si>
    <t xml:space="preserve">Finance &amp; admin</t>
  </si>
  <si>
    <t xml:space="preserve">Finance Assistant (FIN-AST)</t>
  </si>
  <si>
    <t xml:space="preserve">Finance Lead is a partner role; senior finance hire only at scale trigger</t>
  </si>
  <si>
    <t xml:space="preserve">Ad says 'Assistant' — live vacancy</t>
  </si>
  <si>
    <t xml:space="preserve">Marketing &amp; content</t>
  </si>
  <si>
    <t xml:space="preserve">Content Intern track → Marketing Assistant (MKT-AST)</t>
  </si>
  <si>
    <t xml:space="preserve">S1→S2</t>
  </si>
  <si>
    <t xml:space="preserve">Marketing Officer (MKT-OFF)</t>
  </si>
  <si>
    <t xml:space="preserve">Marketing Lead — on the pipeline trigger «TBD»</t>
  </si>
  <si>
    <t xml:space="preserve">Developer (TECH-DEV)</t>
  </si>
  <si>
    <t xml:space="preserve">Already substantive — the exception, because the platform is being built now</t>
  </si>
  <si>
    <t xml:space="preserve">Quality</t>
  </si>
  <si>
    <t xml:space="preserve">Independent Reviewer (MD-QA) — engaged arm's-length per review</t>
  </si>
  <si>
    <t xml:space="preserve">Quality Officer at scale</t>
  </si>
  <si>
    <t xml:space="preserve">Never reports into delivery at any size — independence is structural</t>
  </si>
  <si>
    <t xml:space="preserve">Engagement, not employment, at first</t>
  </si>
  <si>
    <t xml:space="preserve">Security</t>
  </si>
  <si>
    <t xml:space="preserve">Guard (HUB-SEC)</t>
  </si>
  <si>
    <t xml:space="preserve">Senior Guard / shift lead</t>
  </si>
  <si>
    <t xml:space="preserve">Every function</t>
  </si>
  <si>
    <t xml:space="preserve">Intern (INT) — the pipeline into any track</t>
  </si>
  <si>
    <t xml:space="preserve">Assistant in that track</t>
  </si>
  <si>
    <t xml:space="preserve">Conversion on performance + an open seat</t>
  </si>
  <si>
    <t xml:space="preserve">Internship stated as internship</t>
  </si>
  <si>
    <t xml:space="preserve">Why assistant-first is the rule: it keeps cash risk small while the trigger is unproven, it grows people into the standard instead of importing habits over it, and it makes every promotion an earned, visible event tied to the line's real revenue — the trigger definitions are the one open decision, flagged in tab 12.</t>
  </si>
  <si>
    <t xml:space="preserve">The JD standard, the library map — and the live vacancy in full</t>
  </si>
  <si>
    <t xml:space="preserve">Top: the twelve fields every Kayan JD must contain — including the identity groups it grants and the policies it signs, so a JD is executable, not decorative. Middle: where every existing JD lives. Bottom: the Admin &amp; Supply Assistant JD written in full, because it is the live vacancy and the ad goes out next.</t>
  </si>
  <si>
    <t xml:space="preserve">#</t>
  </si>
  <si>
    <t xml:space="preserve">JD field (mandatory)</t>
  </si>
  <si>
    <t xml:space="preserve">Why it is mandatory</t>
  </si>
  <si>
    <t xml:space="preserve">1</t>
  </si>
  <si>
    <t xml:space="preserve">Position code &amp; title (EN/AR)</t>
  </si>
  <si>
    <t xml:space="preserve">One code, one truth — the register, payroll, and identity all key on it</t>
  </si>
  <si>
    <t xml:space="preserve">2</t>
  </si>
  <si>
    <t xml:space="preserve">Band &amp; type</t>
  </si>
  <si>
    <t xml:space="preserve">Pay is structural, not negotiated ad hoc</t>
  </si>
  <si>
    <t xml:space="preserve">3</t>
  </si>
  <si>
    <t xml:space="preserve">Reports to (position, not person)</t>
  </si>
  <si>
    <t xml:space="preserve">Survives every personnel change</t>
  </si>
  <si>
    <t xml:space="preserve">4</t>
  </si>
  <si>
    <t xml:space="preserve">Purpose — two sentences</t>
  </si>
  <si>
    <t xml:space="preserve">If the purpose cannot be said in two sentences, the role is not understood</t>
  </si>
  <si>
    <t xml:space="preserve">5</t>
  </si>
  <si>
    <t xml:space="preserve">Key responsibilities (max 8)</t>
  </si>
  <si>
    <t xml:space="preserve">Enough to act on, short enough to be true</t>
  </si>
  <si>
    <t xml:space="preserve">6</t>
  </si>
  <si>
    <t xml:space="preserve">KPIs with green / amber / red</t>
  </si>
  <si>
    <t xml:space="preserve">Performance is measured against the JD, so the JD must be measurable</t>
  </si>
  <si>
    <t xml:space="preserve">7</t>
  </si>
  <si>
    <t xml:space="preserve">Works closely with</t>
  </si>
  <si>
    <t xml:space="preserve">The role's real interfaces — who else is in its processes</t>
  </si>
  <si>
    <t xml:space="preserve">8</t>
  </si>
  <si>
    <t xml:space="preserve">Identity groups granted</t>
  </si>
  <si>
    <t xml:space="preserve">Access is part of the role definition — provisioning reads this line</t>
  </si>
  <si>
    <t xml:space="preserve">9</t>
  </si>
  <si>
    <t xml:space="preserve">Policies signed at Day 0</t>
  </si>
  <si>
    <t xml:space="preserve">Conduct, safeguarding, conflict-of-interest, data — blocking, not optional</t>
  </si>
  <si>
    <t xml:space="preserve">10</t>
  </si>
  <si>
    <t xml:space="preserve">Qualifications &amp; experience</t>
  </si>
  <si>
    <t xml:space="preserve">Screening criteria come from here, so bias cannot creep in later</t>
  </si>
  <si>
    <t xml:space="preserve">11</t>
  </si>
  <si>
    <t xml:space="preserve">Probation &amp; confirmation</t>
  </si>
  <si>
    <t xml:space="preserve">Per applicable labour law; the 30/60/90 checkpoints decide it</t>
  </si>
  <si>
    <t xml:space="preserve">12</t>
  </si>
  <si>
    <t xml:space="preserve">Growth path</t>
  </si>
  <si>
    <t xml:space="preserve">Where the role goes on the ladder — every JD shows its next rung</t>
  </si>
  <si>
    <t xml:space="preserve">WHERE THE EXISTING JDs LIVE</t>
  </si>
  <si>
    <t xml:space="preserve">◆</t>
  </si>
  <si>
    <t xml:space="preserve">Line roles — Managed Delivery, Hub, Forge (15 roles)</t>
  </si>
  <si>
    <t xml:space="preserve">Each line workbook, tab 04 — purpose, responsibilities, KPIs, reporting line</t>
  </si>
  <si>
    <t xml:space="preserve">Drafted POS-ID library (bilingual, with bands and qualifications)</t>
  </si>
  <si>
    <t xml:space="preserve">The HR operating workbook's JD library — elevated field-by-field into this standard</t>
  </si>
  <si>
    <t xml:space="preserve">Member Experience Assistant (full welcome-experience JD)</t>
  </si>
  <si>
    <t xml:space="preserve">Existing dedicated JD document — adopted; mapped to HUB-EXP</t>
  </si>
  <si>
    <t xml:space="preserve">Corporate roles — CEO-EA, developers, guards</t>
  </si>
  <si>
    <t xml:space="preserve">This register + this standard; short-form JDs issued from the twelve fields</t>
  </si>
  <si>
    <t xml:space="preserve">Employment &amp; internship contract templates</t>
  </si>
  <si>
    <t xml:space="preserve">Ordered jointly with the Legal domain — the JD attaches to the contract</t>
  </si>
  <si>
    <t xml:space="preserve">THE LIVE VACANCY — ADMIN &amp; SUPPLY ASSISTANT (ADM-SUP), IN FULL</t>
  </si>
  <si>
    <t xml:space="preserve">▪</t>
  </si>
  <si>
    <t xml:space="preserve">Position</t>
  </si>
  <si>
    <t xml:space="preserve">ADM-SUP · Admin &amp; Supply Assistant · مساعد إداري ومشتريات — Band S2, full-time, Aden, reports to the Finance Lead</t>
  </si>
  <si>
    <t xml:space="preserve">Purpose</t>
  </si>
  <si>
    <t xml:space="preserve">Keep the firm's daily administration and purchasing clean and evidenced: every purchase requested, approved, received, and filed exactly as the procurement policy says — so money is always traceable and the team is free to build.</t>
  </si>
  <si>
    <t xml:space="preserve">Key responsibilities</t>
  </si>
  <si>
    <t xml:space="preserve">1 Run the purchase cycle end to end — request, quotes per policy, approval per the delegation matrix, order, receipt check, three-way match, filing. 2 Maintain the supplier register and the petty-cash log with receipts. 3 Receive goods against orders; log discrepancies the same day. 4 Keep the office, Hub consumables, and Café supplies at par levels with the Café Lead. 5 Maintain the key log, asset tags, and the equipment register with Operations. 6 File contracts, invoices, and records per the retention table. 7 Support visitor and vendor coordination at the front of house. 8 Prepare the weekly admin summary for the Finance Lead.</t>
  </si>
  <si>
    <t xml:space="preserve">KPIs (green / amber / red)</t>
  </si>
  <si>
    <t xml:space="preserve">Three-way match completeness (100 / ≥95 / &lt;95%) · petty-cash reconciliation weekly on time (always / one slip / more) · par-level stockouts (0 / 1 / &gt;1 per month) · filing audit pass (clean / minor / findings)</t>
  </si>
  <si>
    <t xml:space="preserve">Finance Lead (approvals, reconciliation) · Café Lead (supplies) · Hub security (deliveries, keys) · CEO-EA (correspondence) · vendors</t>
  </si>
  <si>
    <t xml:space="preserve">Identity &amp; policies</t>
  </si>
  <si>
    <t xml:space="preserve">Granted: coordination group + procurement forms; no payment authority — requests only. Signs at Day 0: conduct, anti-fraud &amp; cash handling, conflict-of-interest, data protection.</t>
  </si>
  <si>
    <t xml:space="preserve">Qualifications &amp; probation</t>
  </si>
  <si>
    <t xml:space="preserve">Diploma in administration, accounting, or logistics; 1–2 years in purchasing, storekeeping, or office administration; honest references checked. Probation per applicable labour law, confirmed at the 90-day checkpoint.</t>
  </si>
  <si>
    <t xml:space="preserve">ADM-SUP (S2) → Finance Assistant (S3) as volume grows — stated in the ad, because a path attracts better people than a title does.</t>
  </si>
  <si>
    <t xml:space="preserve">The announcement</t>
  </si>
  <si>
    <t xml:space="preserve">Posted as 'Assistant' plainly, bilingual, with the screening form mandatory; channels: Aden WhatsApp job groups, university boards, Forge alumni first-look; on the external job board the ad is generic — role, criteria, and form — with no strategic detail, because that channel is also a competitor.</t>
  </si>
  <si>
    <t xml:space="preserve">Compensation architecture</t>
  </si>
  <si>
    <t xml:space="preserve">The S1–S5 ladder elevated from the drafted bands (priced against the real Aden market), what a package actually contains, the Cairo payroll reality, and the controls on any pay change. Band values carry the draft figures marked for confirmation; everything contested waits for the finance session.</t>
  </si>
  <si>
    <t xml:space="preserve">Who sits in it</t>
  </si>
  <si>
    <t xml:space="preserve">Draft range USD/mo</t>
  </si>
  <si>
    <t xml:space="preserve">Confirmed anchors</t>
  </si>
  <si>
    <t xml:space="preserve">Support &amp; Interns</t>
  </si>
  <si>
    <t xml:space="preserve">Guards · Café crew · interns</t>
  </si>
  <si>
    <t xml:space="preserve">«70 – 140 — confirm»</t>
  </si>
  <si>
    <t xml:space="preserve">Intern stipend «token»; CEO-EA intern part-time 4 h/day; drafted note: ≈70 USD is competitive vs Aden support-labour rates</t>
  </si>
  <si>
    <t xml:space="preserve">Assistants</t>
  </si>
  <si>
    <t xml:space="preserve">ADM-SUP · HUB-EXP · MD-AST · FRG-AST · MKT-AST</t>
  </si>
  <si>
    <t xml:space="preserve">«draft range — confirm»</t>
  </si>
  <si>
    <t xml:space="preserve">Every ladder opens here — the assistant-first rule keeps the band busy by design</t>
  </si>
  <si>
    <t xml:space="preserve">Officers &amp; specialists</t>
  </si>
  <si>
    <t xml:space="preserve">Developers · coordinators · finance assistant</t>
  </si>
  <si>
    <t xml:space="preserve">Alaa (TECH-DEV-2): EGP 18,000/mo — confirmed, Kayan-dedicated</t>
  </si>
  <si>
    <t xml:space="preserve">Leads &amp; senior</t>
  </si>
  <si>
    <t xml:space="preserve">Lead Developer · future line Leads · partner-op roles</t>
  </si>
  <si>
    <t xml:space="preserve">Mustafa (TECH-DEV-1): EGP 18,000/mo — confirmed, 50/50 cost-shared with CauseWay; Kayan net = 50%, invoiced monthly under the cost-sharing agreement</t>
  </si>
  <si>
    <t xml:space="preserve">Chief Executive</t>
  </si>
  <si>
    <t xml:space="preserve">«finance session»</t>
  </si>
  <si>
    <t xml:space="preserve">Partner-executive compensation is a partner matter — set in the governance and finance sessions, documented, arm's-length where a partner holds an operating role</t>
  </si>
  <si>
    <t xml:space="preserve">What a package contains (Aden)</t>
  </si>
  <si>
    <t xml:space="preserve">Base pay in the band · transport support where the shift requires it · communications allowance for roles that live on the phone · leave, holidays, and end-of-service per applicable labour law · the training programme · and the growth path in writing. Cash reality: staff pay is quoted and paid in «YER / USD split per finance policy»; the payroll calendar and any Eid timing practice are set with Finance.</t>
  </si>
  <si>
    <t xml:space="preserve">Cairo remote payroll</t>
  </si>
  <si>
    <t xml:space="preserve">The two developers are paid in EGP through «the transfer rail — finance session» on a fixed monthly date. The lead developer's 50% CauseWay share is invoiced to CauseWay monthly under the cost-sharing agreement — the invoice is the audit trail that keeps the two firms clean.</t>
  </si>
  <si>
    <t xml:space="preserve">Pay-change control</t>
  </si>
  <si>
    <t xml:space="preserve">No pay changes hands informally: any change of band or pay is proposed in writing against the ladder, and signed by the Finance Lead and the Chief Executive together — the same dual discipline as money movement. The register is updated the same day, and payroll follows the register, never a conversation.</t>
  </si>
  <si>
    <t xml:space="preserve">Long-term incentive reserve</t>
  </si>
  <si>
    <t xml:space="preserve">A partner-governed reserve exists as an internal matter only. It is never named in any external document, offer, or announcement; its terms are set by the partners in the governance session. Nothing in any employment instrument creates vesting, cliff, or forfeiture mechanics — ownership and incentives are structured only in ways applicable law permits.</t>
  </si>
  <si>
    <t xml:space="preserve">Fairness rule</t>
  </si>
  <si>
    <t xml:space="preserve">Same band, same range, regardless of who you are or who you know — the honest answer to being a family-founded firm is a ladder everyone can read.</t>
  </si>
  <si>
    <t xml:space="preserve">The employee lifecycle as an e-process — joiner · mover · leaver</t>
  </si>
  <si>
    <t xml:space="preserve">One lifecycle for everyone. Every step names its lead, its co-actors and why they are in the room, the evidence it leaves, the system event with its implementation hint, and the risk if the step is skipped. This is the tab the platform is built from.</t>
  </si>
  <si>
    <t xml:space="preserve">Stage</t>
  </si>
  <si>
    <t xml:space="preserve">What happens</t>
  </si>
  <si>
    <t xml:space="preserve">Lead</t>
  </si>
  <si>
    <t xml:space="preserve">Co-actors — who else, and why</t>
  </si>
  <si>
    <t xml:space="preserve">Evidence / record</t>
  </si>
  <si>
    <t xml:space="preserve">System event · implementation hint</t>
  </si>
  <si>
    <t xml:space="preserve">Risk if skipped</t>
  </si>
  <si>
    <t xml:space="preserve">1 · Need raised</t>
  </si>
  <si>
    <t xml:space="preserve">A hiring need is proposed against workload or a trigger firing</t>
  </si>
  <si>
    <t xml:space="preserve">Line owner</t>
  </si>
  <si>
    <t xml:space="preserve">Finance — is it in budget; CEO — is it in the plan; if outside the plan, a partner note precedes any offer</t>
  </si>
  <si>
    <t xml:space="preserve">Hiring request note</t>
  </si>
  <si>
    <t xml:space="preserve">people.request.created — a short form (position code, trigger evidence) opens a request record</t>
  </si>
  <si>
    <t xml:space="preserve">Hiring by mood; headcount drifts past cash</t>
  </si>
  <si>
    <t xml:space="preserve">2 · Approve</t>
  </si>
  <si>
    <t xml:space="preserve">The request is approved per the delegation matrix</t>
  </si>
  <si>
    <t xml:space="preserve">Finance confirms the band cost; the ladder confirms the level is assistant-first</t>
  </si>
  <si>
    <t xml:space="preserve">Approval on the request</t>
  </si>
  <si>
    <t xml:space="preserve">people.request.approved — approval logged; ad task auto-created</t>
  </si>
  <si>
    <t xml:space="preserve">Unbudgeted roles; ladder bypassed</t>
  </si>
  <si>
    <t xml:space="preserve">3 · Advertise</t>
  </si>
  <si>
    <t xml:space="preserve">The bilingual ad goes out on the mapped channels</t>
  </si>
  <si>
    <t xml:space="preserve">People (CEO-EA supports)</t>
  </si>
  <si>
    <t xml:space="preserve">Brand — the ad reads in the Kayan voice; Legal — nothing discriminatory; the external-board rule applied: generic ad, no strategy, because that channel is also a competitor</t>
  </si>
  <si>
    <t xml:space="preserve">Ad text + posting log</t>
  </si>
  <si>
    <t xml:space="preserve">people.vacancy.posted — posting with the mandatory screening-form link; channels: WhatsApp job groups, university boards, Forge alumni first-look</t>
  </si>
  <si>
    <t xml:space="preserve">Wrong channel, weak pool; strategy leaked to a competitor</t>
  </si>
  <si>
    <t xml:space="preserve">4 · Screen</t>
  </si>
  <si>
    <t xml:space="preserve">Applications land through the form and are screened against the JD criteria</t>
  </si>
  <si>
    <t xml:space="preserve">Hiring owner</t>
  </si>
  <si>
    <t xml:space="preserve">CEO-EA logs and acknowledges every applicant — respect is brand; screening uses the JD's criteria only</t>
  </si>
  <si>
    <t xml:space="preserve">Applicant log + screen scores</t>
  </si>
  <si>
    <t xml:space="preserve">people.application.received — form feeds the applicant list; auto-acknowledgement to every applicant</t>
  </si>
  <si>
    <t xml:space="preserve">Bias creeps in; applicants ghosted; reputation cost</t>
  </si>
  <si>
    <t xml:space="preserve">5 · Interview</t>
  </si>
  <si>
    <t xml:space="preserve">Structured interview from the drafted bank and rubric</t>
  </si>
  <si>
    <t xml:space="preserve">CEO in every hire at this size; the future line manager; if any candidate is a relative of anyone involved — a conflict declaration is filed before the interview, and that interviewer steps back from the decision</t>
  </si>
  <si>
    <t xml:space="preserve">Scored rubric per candidate</t>
  </si>
  <si>
    <t xml:space="preserve">people.interview.scored — scores recorded against the rubric; decision meeting scheduled</t>
  </si>
  <si>
    <t xml:space="preserve">Gut-feel hiring; family ties undeclared</t>
  </si>
  <si>
    <t xml:space="preserve">6 · Offer</t>
  </si>
  <si>
    <t xml:space="preserve">Offer per the band, in writing, from the Legal template</t>
  </si>
  <si>
    <t xml:space="preserve">Finance — the exact cost lands in the payroll forecast; references checked before the offer, not after</t>
  </si>
  <si>
    <t xml:space="preserve">Signed offer</t>
  </si>
  <si>
    <t xml:space="preserve">people.offer.issued — offer generated from the template: position code, band, probation; no vesting language exists in any instrument</t>
  </si>
  <si>
    <t xml:space="preserve">Off-ladder pay; promises the contract cannot keep</t>
  </si>
  <si>
    <t xml:space="preserve">7 · Contract</t>
  </si>
  <si>
    <t xml:space="preserve">Contract signed before Day 1 — the internal founding rule: no signed contract, no start</t>
  </si>
  <si>
    <t xml:space="preserve">Legal template per applicable labour law; the JD attaches to the contract</t>
  </si>
  <si>
    <t xml:space="preserve">Signed contract filed</t>
  </si>
  <si>
    <t xml:space="preserve">people.contract.signed — register row created from the contract (this row is what every later automation reads)</t>
  </si>
  <si>
    <t xml:space="preserve">Someone works without a contract — legal and moral exposure</t>
  </si>
  <si>
    <t xml:space="preserve">8 · Day-0 provision</t>
  </si>
  <si>
    <t xml:space="preserve">Identity, access, kit, and desk exist before the person arrives</t>
  </si>
  <si>
    <t xml:space="preserve">Tech + Ops</t>
  </si>
  <si>
    <t xml:space="preserve">Tech — the joiner flow; Ops — desk, equipment, keys per the key log; security — building access; Finance — payroll record opens dated from the contract</t>
  </si>
  <si>
    <t xml:space="preserve">Provisioning checklist</t>
  </si>
  <si>
    <t xml:space="preserve">people.joiner.provisioned — automation reads the register row: create the identity, assign groups from the position-to-groups map (least privilege), enforce MFA, issue kit ticket to Ops</t>
  </si>
  <si>
    <t xml:space="preserve">Day 1 wasted; or worse — access granted informally and never tracked</t>
  </si>
  <si>
    <t xml:space="preserve">9 · Day-0 sign-off</t>
  </si>
  <si>
    <t xml:space="preserve">The policy pack is signed before any system access is used</t>
  </si>
  <si>
    <t xml:space="preserve">People</t>
  </si>
  <si>
    <t xml:space="preserve">Legal — the pack: conduct, safeguarding, conflict-of-interest, data protection; blocking by design — no sign-off, no access</t>
  </si>
  <si>
    <t xml:space="preserve">Signed attestations</t>
  </si>
  <si>
    <t xml:space="preserve">people.policies.attested — sign-off recorded; access activates on completion; annual re-attestation task auto-scheduled</t>
  </si>
  <si>
    <t xml:space="preserve">People bound by rules they never saw</t>
  </si>
  <si>
    <t xml:space="preserve">10 · Induct (90 days)</t>
  </si>
  <si>
    <t xml:space="preserve">The 90-day path: welcome week, the two-day foundation training, 30/60/90 checkpoints</t>
  </si>
  <si>
    <t xml:space="preserve">Manager</t>
  </si>
  <si>
    <t xml:space="preserve">CEO leads 'Who Kayan Is'; a buddy is named; the Café and Hub walk-through for everyone — every joiner should know the whole place</t>
  </si>
  <si>
    <t xml:space="preserve">30/60/90 sign-offs</t>
  </si>
  <si>
    <t xml:space="preserve">people.induction.checkpoint — checkpoints scheduled from the start date; reminders to manager and joiner</t>
  </si>
  <si>
    <t xml:space="preserve">Sink-or-swim onboarding; the standard never transfers</t>
  </si>
  <si>
    <t xml:space="preserve">11 · Confirm</t>
  </si>
  <si>
    <t xml:space="preserve">Probation confirmed — or ended honestly — at the 90-day point</t>
  </si>
  <si>
    <t xml:space="preserve">CEO co-signs confirmation; Finance moves pay from probation terms if they differ; an honest no now is kinder than a slow one later</t>
  </si>
  <si>
    <t xml:space="preserve">Confirmation letter</t>
  </si>
  <si>
    <t xml:space="preserve">people.probation.confirmed — status updated on the register; payroll adjusts from the register</t>
  </si>
  <si>
    <t xml:space="preserve">Drift — nobody remembers who is confirmed</t>
  </si>
  <si>
    <t xml:space="preserve">12 · Perform</t>
  </si>
  <si>
    <t xml:space="preserve">The rhythm: weekly priorities, quarterly review against the JD's KPIs, annual development conversation</t>
  </si>
  <si>
    <t xml:space="preserve">CEO in every review at this size; training needs feed the calendar; green-amber-red against the JD, so reviews are facts, not vibes</t>
  </si>
  <si>
    <t xml:space="preserve">Review records</t>
  </si>
  <si>
    <t xml:space="preserve">people.review.completed — quarterly cycle auto-scheduled; outcomes logged; development actions tracked</t>
  </si>
  <si>
    <t xml:space="preserve">Feedback only at crisis; growth invisible</t>
  </si>
  <si>
    <t xml:space="preserve">13 · Move</t>
  </si>
  <si>
    <t xml:space="preserve">A hat moves, a promotion lands, or the assistant-to-lead trigger fires</t>
  </si>
  <si>
    <t xml:space="preserve">Finance and CEO dual-sign any pay change; Tech runs the mover flow — old groups removed, new groups granted, the same day; the register updates first and everything follows it</t>
  </si>
  <si>
    <t xml:space="preserve">Updated register + letter</t>
  </si>
  <si>
    <t xml:space="preserve">people.mover.executed — register change drives the identity change; access never lags the role</t>
  </si>
  <si>
    <t xml:space="preserve">Access accumulates; yesterday's hats keep today's keys</t>
  </si>
  <si>
    <t xml:space="preserve">14 · Exit</t>
  </si>
  <si>
    <t xml:space="preserve">Resignation or termination handled per applicable labour law — cleanly, safely, kindly</t>
  </si>
  <si>
    <t xml:space="preserve">Legal — the terms; Finance — final settlement and payroll close; Tech — the leaver flow revokes all access the same day; Ops — assets and keys returned against the log; an exit conversation captures the learning; records kept per the retention table</t>
  </si>
  <si>
    <t xml:space="preserve">Exit checklist complete</t>
  </si>
  <si>
    <t xml:space="preserve">people.leaver.executed — register status change triggers same-day revocation, asset checklist, settlement task, and the retention clock</t>
  </si>
  <si>
    <t xml:space="preserve">Departed accounts alive; assets wander; lessons lost</t>
  </si>
  <si>
    <t xml:space="preserve">Interns · training · culture</t>
  </si>
  <si>
    <t xml:space="preserve">The three engines that grow people. Interns are a deliberate pipeline with tracks and mentors; training is a matrix with mandatory rows nobody skips; culture is codified because in a firm this size, culture is the control environment.</t>
  </si>
  <si>
    <t xml:space="preserve">Engine</t>
  </si>
  <si>
    <t xml:space="preserve">How it works — specifically</t>
  </si>
  <si>
    <t xml:space="preserve">The intern pipeline</t>
  </si>
  <si>
    <t xml:space="preserve">Tracks with real work and a named mentor — content &amp; social (produces to the brand calendar), operations &amp; hub (front-of-house and events), delivery support, and Forge cohort support. Each intern has learning goals, a stipend «token», a certificate at completion, and a written conversion path: intern (S1) → assistant (S2) on performance plus an open seat. Sources: universities, the community — and Forge alumni first-look, because the firm hires from the capability it builds. The CEO Executive Assistant intern is the model working today: real responsibility, part-time hours, growing with the load.</t>
  </si>
  <si>
    <t xml:space="preserve">Mandatory training matrix</t>
  </si>
  <si>
    <t xml:space="preserve">Rows nobody skips, with cadence and evidence: safeguarding — annual, everyone, attested · data protection — annual, everyone with system access · conduct &amp; anti-fraud — at Day 0, refreshed annually · whistleblowing awareness — at Day 0 · food safety — Café crew, before first shift, refreshed «per standard» · security &amp; incident basics — guards and front-of-house. Role training rides on top: the two-day foundation programme for every joiner (Day 1 — who Kayan is, the lines, the promise; Day 2 — the Hub, the systems, the daily rhythm), then the role's own curriculum from the training workbook.</t>
  </si>
  <si>
    <t xml:space="preserve">The weekly rhythm</t>
  </si>
  <si>
    <t xml:space="preserve">Monday — each role sets its top three for the week, visible to all. Mid-week — do the work and raise blockers the day they appear, not at review. End of week — the light review: did the week's priorities land, what moves to next week, one thing learned. Small, unskippable, and the CEO attends — rhythm is culture made visible.</t>
  </si>
  <si>
    <t xml:space="preserve">The culture, codified</t>
  </si>
  <si>
    <t xml:space="preserve">Bilingual by default — documents and meetings work in Arabic and English, and neither is the 'translation'. The working day respects prayer times and the Ramadan schedule as a matter of course. Women's safety is an employer commitment, not only a Hub policy — in hiring, in the space, in how incidents are handled. The family founding team is handled with written honesty: declared conflicts, arm's-length terms, and the same ladder for everyone. Recognition is specific and public — the 'Impact Maker' naming shows the philosophy: titles say what a role does to people, not where it sits. And communication lives where Yemen lives: the internal broadcast channel carries the week's wins and notices to everyone, every week.</t>
  </si>
  <si>
    <t xml:space="preserve">Wellbeing, honestly</t>
  </si>
  <si>
    <t xml:space="preserve">A tiny team carries a heavy build. The drafted wellbeing policy is adopted: workloads visible in the weekly rhythm, leave actually taken, the CEO's own acting-hats tracked in the map so overload is a governance fact — not a private struggle. Burnout is listed as a risk with an owner, because pretending otherwise is how small firms break.</t>
  </si>
  <si>
    <t xml:space="preserve">People risk register</t>
  </si>
  <si>
    <t xml:space="preserve">The risks that could hurt the firm through its people, each answered by a named instrument in this workbook or its neighbours. Scored honestly: likelihood and impact, High / Medium / Low.</t>
  </si>
  <si>
    <t xml:space="preserve">Risk</t>
  </si>
  <si>
    <t xml:space="preserve">L</t>
  </si>
  <si>
    <t xml:space="preserve">I</t>
  </si>
  <si>
    <t xml:space="preserve">What answers it</t>
  </si>
  <si>
    <t xml:space="preserve">Owner</t>
  </si>
  <si>
    <t xml:space="preserve">Key-person concentration — the CEO wears five acting hats</t>
  </si>
  <si>
    <t xml:space="preserve">H</t>
  </si>
  <si>
    <t xml:space="preserve">The hat map makes it visible; the de-hatting sequence in tab 12 removes hats in risk order; delegation and named alternates cover absence</t>
  </si>
  <si>
    <t xml:space="preserve">The interim-reviewer hat sits with the CEO — independence not yet real</t>
  </si>
  <si>
    <t xml:space="preserve">M</t>
  </si>
  <si>
    <t xml:space="preserve">First arm's-length reviewer engaged early (build plan item 2); the position record forbids the hat returning to delivery or the executive</t>
  </si>
  <si>
    <t xml:space="preserve">Cost-share entanglement with the sister firm through the shared developer</t>
  </si>
  <si>
    <t xml:space="preserve">The cost-sharing agreement + monthly invoice as the audit trail; one documented bridge, everything else fully separate; register states it plainly</t>
  </si>
  <si>
    <t xml:space="preserve">Finance</t>
  </si>
  <si>
    <t xml:space="preserve">Strategy leakage through the external job board that is also a competitor</t>
  </si>
  <si>
    <t xml:space="preserve">The announcement rule: generic ads, criteria and form only, no strategic detail; rich ads go on owned channels</t>
  </si>
  <si>
    <t xml:space="preserve">Multi-currency payroll (YER · USD · EGP) — FX and rail risk</t>
  </si>
  <si>
    <t xml:space="preserve">Payroll calendar and rails set with Finance; EGP fixed date; FX policy from the finance session; the register is the single payroll source</t>
  </si>
  <si>
    <t xml:space="preserve">Talent drain — good people leave Yemen or are poached</t>
  </si>
  <si>
    <t xml:space="preserve">Written growth paths, the ladder, real training, recognition, and the internal-only incentive reserve; pay honest against the Aden market</t>
  </si>
  <si>
    <t xml:space="preserve">Burnout in a tiny team carrying a heavy build</t>
  </si>
  <si>
    <t xml:space="preserve">Wellbeing policy adopted; workloads visible in the weekly rhythm; hats tracked as governance fact; leave taken</t>
  </si>
  <si>
    <t xml:space="preserve">Probation misfires — a wrong hire lingers or a right one is lost</t>
  </si>
  <si>
    <t xml:space="preserve">Structured 30/60/90 with sign-offs; confirmation is an explicit decision, co-signed; honest early conversations</t>
  </si>
  <si>
    <t xml:space="preserve">Managers</t>
  </si>
  <si>
    <t xml:space="preserve">A safeguarding failure involving staff or interns</t>
  </si>
  <si>
    <t xml:space="preserve">Day-0 attestation, annual training, the focal point with past-CEO escalation — the Legal domain's instruments, enforced here</t>
  </si>
  <si>
    <t xml:space="preserve">Access drift — movers and leavers keep yesterday's keys</t>
  </si>
  <si>
    <t xml:space="preserve">Mover and leaver flows change access the same day, driven by the register; quarterly access review against the position-to-groups map</t>
  </si>
  <si>
    <t xml:space="preserve">Tech</t>
  </si>
  <si>
    <t xml:space="preserve">Cross-domain notes — what People requires of the others</t>
  </si>
  <si>
    <t xml:space="preserve">The ledger flows outward again: building the people domain surfaced requirements for the other domains. They accumulate here and are consumed when each is built.</t>
  </si>
  <si>
    <t xml:space="preserve">Domain</t>
  </si>
  <si>
    <t xml:space="preserve">Requirement surfaced while building People</t>
  </si>
  <si>
    <t xml:space="preserve">Action for that domain</t>
  </si>
  <si>
    <t xml:space="preserve">Band values, stipends, the payroll calendar, the YER/USD practice, and the EGP rail are finance-session numbers; the CauseWay cost-share invoice must run monthly without fail; payroll reads the register only.</t>
  </si>
  <si>
    <t xml:space="preserve">Bring bands and payroll mechanics to the numbers session; automate the monthly cost-share invoice; wire payroll to the register.</t>
  </si>
  <si>
    <t xml:space="preserve">NEEDS FORK</t>
  </si>
  <si>
    <t xml:space="preserve">Legal</t>
  </si>
  <si>
    <t xml:space="preserve">Employment and internship contracts per applicable labour law (probation length «confirm with counsel»), the Day-0 policy pack as a blocking step, and the trainer arm's-length engagement form for the Forge.</t>
  </si>
  <si>
    <t xml:space="preserve">Draft the two contracts and the pack with counsel; add the trainer engagement to the contract architecture.</t>
  </si>
  <si>
    <t xml:space="preserve">STANDING</t>
  </si>
  <si>
    <t xml:space="preserve">The position-to-identity-groups mapping table; register-driven joiner, mover, and leaver automation; the screening form and applicant log; checkpoint and re-attestation scheduling; a quarterly access review report.</t>
  </si>
  <si>
    <t xml:space="preserve">Build the mapping table and the three flows reading the register; stand up the form and the schedulers.</t>
  </si>
  <si>
    <t xml:space="preserve">Operations</t>
  </si>
  <si>
    <t xml:space="preserve">Day-0 kit as a ticketed checklist: desk, equipment tagged to the asset register, keys per the key log, building access with security — ready before the person arrives; exit reverses it against the same logs.</t>
  </si>
  <si>
    <t xml:space="preserve">Fold the joiner and leaver kit checklists into the Ops SOPs, keyed to the same register events.</t>
  </si>
  <si>
    <t xml:space="preserve">Two decisions gate this domain: the assistant-to-lead revenue triggers per line, and the partner-roles specifics; partner-executive compensation and the incentive reserve are partner matters for the governance session.</t>
  </si>
  <si>
    <t xml:space="preserve">Put the triggers and the roles decision to the Chief Executive; schedule the partner compensation item.</t>
  </si>
  <si>
    <t xml:space="preserve">Brand</t>
  </si>
  <si>
    <t xml:space="preserve">The bilingual job-ad template in the Kayan voice; an employer page that says the true things — the ladder, the training, the safe workplace; recognition moments fed to the internal channel weekly.</t>
  </si>
  <si>
    <t xml:space="preserve">Draft the ad template and employer page; add recognition to the content calendar.</t>
  </si>
  <si>
    <t xml:space="preserve">Forge / Talent</t>
  </si>
  <si>
    <t xml:space="preserve">Forge alumni are a named first-look recruitment channel; strong graduates can enter as interns or assistants — the handoff mirrors the talent-map handoff.</t>
  </si>
  <si>
    <t xml:space="preserve">Add the alumni first-look step to cohort close-out; tag willing graduates in the registry.</t>
  </si>
  <si>
    <t xml:space="preserve">Gaps &amp; build plan — the de-hatting sequence</t>
  </si>
  <si>
    <t xml:space="preserve">Live counts from the map and the register, then the sequenced plan. The order is chosen by risk: the live vacancy first because approvals wait on it, the reviewer hat second because independence is the promise.</t>
  </si>
  <si>
    <t xml:space="preserve">Acting hats on the CEO</t>
  </si>
  <si>
    <t xml:space="preserve">Vacant positions (map)</t>
  </si>
  <si>
    <t xml:space="preserve">Live vacancies (register)</t>
  </si>
  <si>
    <t xml:space="preserve">Substantive positions filled</t>
  </si>
  <si>
    <t xml:space="preserve">Order</t>
  </si>
  <si>
    <t xml:space="preserve">Move</t>
  </si>
  <si>
    <t xml:space="preserve">What is produced</t>
  </si>
  <si>
    <t xml:space="preserve">Why this order</t>
  </si>
  <si>
    <t xml:space="preserve">Fill the live vacancy</t>
  </si>
  <si>
    <t xml:space="preserve">ADM-SUP ad posted this week from the tab-06 JD — screening form live, channels per the map, external-board rule applied</t>
  </si>
  <si>
    <t xml:space="preserve">Purchasing and filing discipline currently rides on too few hands; every control in Finance assumes this seat</t>
  </si>
  <si>
    <t xml:space="preserve">Move the reviewer hat</t>
  </si>
  <si>
    <t xml:space="preserve">First arm's-length independent reviewer engaged per-review</t>
  </si>
  <si>
    <t xml:space="preserve">Independence is the promise Managed Delivery sells; it cannot sit with the executive a day longer than necessary</t>
  </si>
  <si>
    <t xml:space="preserve">Contracts with Legal</t>
  </si>
  <si>
    <t xml:space="preserve">Employment + internship templates and the Day-0 policy pack, counsel-checked</t>
  </si>
  <si>
    <t xml:space="preserve">Nothing else in the lifecycle is safe until the contract step is real — and the next hire needs it</t>
  </si>
  <si>
    <t xml:space="preserve">Identity wiring with Tech</t>
  </si>
  <si>
    <t xml:space="preserve">The position-to-groups mapping table + register-driven joiner, mover, leaver flows</t>
  </si>
  <si>
    <t xml:space="preserve">Access must follow the register from the first new hire, not be retrofitted</t>
  </si>
  <si>
    <t xml:space="preserve">The two decisions</t>
  </si>
  <si>
    <t xml:space="preserve">Assistant-to-lead revenue triggers per line, and the partner-roles specifics — to the Chief Executive</t>
  </si>
  <si>
    <t xml:space="preserve">Both are marked «TBD» in the ladder and map; the structure is built so the answers drop straight in</t>
  </si>
  <si>
    <t xml:space="preserve">Activate the calendars</t>
  </si>
  <si>
    <t xml:space="preserve">The two-day foundation training scheduled for the next joiners; the annual safeguarding and attestation cycle started</t>
  </si>
  <si>
    <t xml:space="preserve">The matrix is only real when the first dates exist</t>
  </si>
  <si>
    <t xml:space="preserve">Intern cohort two</t>
  </si>
  <si>
    <t xml:space="preserve">Next intake with tracks, mentors, and the Forge-alumni first-look</t>
  </si>
  <si>
    <t xml:space="preserve">The pipeline compounds — and it is the cheapest capability the firm can build</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</si>
</sst>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9"/>
      <color rgb="FFD4B574"/>
      <name val="Arial"/>
      <family val="0"/>
      <charset val="1"/>
    </font>
    <font>
      <b val="true"/>
      <sz val="26"/>
      <color rgb="FFF4F1EA"/>
      <name val="Arial"/>
      <family val="0"/>
      <charset val="1"/>
    </font>
    <font>
      <sz val="11"/>
      <color rgb="FFD4B574"/>
      <name val="Arial"/>
      <family val="0"/>
      <charset val="1"/>
    </font>
    <font>
      <i val="true"/>
      <sz val="10"/>
      <color rgb="FFD4B574"/>
      <name val="Arial"/>
      <family val="0"/>
      <charset val="1"/>
    </font>
    <font>
      <b val="true"/>
      <sz val="9"/>
      <color rgb="FF7A5A25"/>
      <name val="Arial"/>
      <family val="0"/>
      <charset val="1"/>
    </font>
    <font>
      <sz val="8.5"/>
      <color rgb="FF1A1A1A"/>
      <name val="Arial"/>
      <family val="0"/>
      <charset val="1"/>
    </font>
    <font>
      <b val="true"/>
      <sz val="10"/>
      <color rgb="FF0B3A33"/>
      <name val="Arial"/>
      <family val="0"/>
      <charset val="1"/>
    </font>
    <font>
      <b val="true"/>
      <sz val="8.5"/>
      <color rgb="FF1A1A1A"/>
      <name val="Arial"/>
      <family val="0"/>
      <charset val="1"/>
    </font>
    <font>
      <b val="true"/>
      <sz val="15"/>
      <color rgb="FF0B3A33"/>
      <name val="Arial"/>
      <family val="0"/>
      <charset val="1"/>
    </font>
    <font>
      <sz val="8"/>
      <color rgb="FF6E8E7B"/>
      <name val="Arial"/>
      <family val="0"/>
      <charset val="1"/>
    </font>
    <font>
      <b val="true"/>
      <sz val="9"/>
      <color rgb="FFF4F1EA"/>
      <name val="Arial"/>
      <family val="0"/>
      <charset val="1"/>
    </font>
    <font>
      <i val="true"/>
      <sz val="9"/>
      <color rgb="FF7A5A25"/>
      <name val="Arial"/>
      <family val="0"/>
      <charset val="1"/>
    </font>
  </fonts>
  <fills count="8">
    <fill>
      <patternFill patternType="none"/>
    </fill>
    <fill>
      <patternFill patternType="gray125"/>
    </fill>
    <fill>
      <patternFill patternType="solid">
        <fgColor rgb="FF0B3A33"/>
        <bgColor rgb="FF003300"/>
      </patternFill>
    </fill>
    <fill>
      <patternFill patternType="solid">
        <fgColor rgb="FFE7EDE7"/>
        <bgColor rgb="FFE3E9EE"/>
      </patternFill>
    </fill>
    <fill>
      <patternFill patternType="solid">
        <fgColor rgb="FFE0EBE1"/>
        <bgColor rgb="FFE7EDE7"/>
      </patternFill>
    </fill>
    <fill>
      <patternFill patternType="solid">
        <fgColor rgb="FFF5E4DE"/>
        <bgColor rgb="FFF0E6CE"/>
      </patternFill>
    </fill>
    <fill>
      <patternFill patternType="solid">
        <fgColor rgb="FFF0E6CE"/>
        <bgColor rgb="FFF5E4DE"/>
      </patternFill>
    </fill>
    <fill>
      <patternFill patternType="solid">
        <fgColor rgb="FFE3E9EE"/>
        <bgColor rgb="FFE7EDE7"/>
      </patternFill>
    </fill>
  </fills>
  <borders count="3">
    <border diagonalUp="false" diagonalDown="false">
      <left/>
      <right/>
      <top/>
      <bottom/>
      <diagonal/>
    </border>
    <border diagonalUp="false" diagonalDown="false">
      <left style="thin">
        <color rgb="FFD8D0BE"/>
      </left>
      <right style="thin">
        <color rgb="FFD8D0BE"/>
      </right>
      <top style="thin">
        <color rgb="FFD8D0BE"/>
      </top>
      <bottom style="thin">
        <color rgb="FFD8D0BE"/>
      </bottom>
      <diagonal/>
    </border>
    <border diagonalUp="false" diagonalDown="false">
      <left style="thin">
        <color rgb="FFD8D0BE"/>
      </left>
      <right/>
      <top style="thin">
        <color rgb="FFD8D0BE"/>
      </top>
      <bottom style="thin">
        <color rgb="FFD8D0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1EA"/>
      <rgbColor rgb="FFFF0000"/>
      <rgbColor rgb="FF00FF00"/>
      <rgbColor rgb="FF0000FF"/>
      <rgbColor rgb="FFFFFF00"/>
      <rgbColor rgb="FFFF00FF"/>
      <rgbColor rgb="FF00FFFF"/>
      <rgbColor rgb="FF800000"/>
      <rgbColor rgb="FF008000"/>
      <rgbColor rgb="FF000080"/>
      <rgbColor rgb="FF7A5A25"/>
      <rgbColor rgb="FF800080"/>
      <rgbColor rgb="FF008080"/>
      <rgbColor rgb="FFD8D0BE"/>
      <rgbColor rgb="FF6E8E7B"/>
      <rgbColor rgb="FF9999FF"/>
      <rgbColor rgb="FF993366"/>
      <rgbColor rgb="FFF0E6CE"/>
      <rgbColor rgb="FFE7ED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3E9EE"/>
      <rgbColor rgb="FFE0EBE1"/>
      <rgbColor rgb="FFFFFF99"/>
      <rgbColor rgb="FF99CCFF"/>
      <rgbColor rgb="FFFF99CC"/>
      <rgbColor rgb="FFCC99FF"/>
      <rgbColor rgb="FFF5E4DE"/>
      <rgbColor rgb="FF3366FF"/>
      <rgbColor rgb="FF33CCCC"/>
      <rgbColor rgb="FF99CC00"/>
      <rgbColor rgb="FFFFCC00"/>
      <rgbColor rgb="FFFF9900"/>
      <rgbColor rgb="FFFF6600"/>
      <rgbColor rgb="FF666699"/>
      <rgbColor rgb="FFD4B574"/>
      <rgbColor rgb="FF0B3A33"/>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6" min="3" style="1" width="18"/>
    <col collapsed="false" customWidth="true" hidden="false" outlineLevel="0" max="7" min="7" style="1" width="20"/>
    <col collapsed="false" customWidth="true" hidden="false" outlineLevel="0" max="8" min="8" style="1" width="3"/>
  </cols>
  <sheetData>
    <row r="2" customFormat="false" ht="15" hidden="false" customHeight="true" outlineLevel="0" collapsed="false">
      <c r="B2" s="2"/>
      <c r="C2" s="2"/>
      <c r="D2" s="2"/>
      <c r="E2" s="2"/>
      <c r="F2" s="2"/>
      <c r="G2" s="2"/>
    </row>
    <row r="3" customFormat="false" ht="15" hidden="false" customHeight="true" outlineLevel="0" collapsed="false">
      <c r="B3" s="3" t="s">
        <v>0</v>
      </c>
      <c r="C3" s="3"/>
      <c r="D3" s="3"/>
      <c r="E3" s="3"/>
      <c r="F3" s="3"/>
      <c r="G3" s="3"/>
    </row>
    <row r="4" customFormat="false" ht="15" hidden="false" customHeight="true" outlineLevel="0" collapsed="false">
      <c r="B4" s="2"/>
      <c r="C4" s="2"/>
      <c r="D4" s="2"/>
      <c r="E4" s="2"/>
      <c r="F4" s="2"/>
      <c r="G4" s="2"/>
    </row>
    <row r="5" customFormat="false" ht="15" hidden="false" customHeight="true" outlineLevel="0" collapsed="false">
      <c r="B5" s="4" t="s">
        <v>1</v>
      </c>
      <c r="C5" s="4"/>
      <c r="D5" s="4"/>
      <c r="E5" s="4"/>
      <c r="F5" s="4"/>
      <c r="G5" s="4"/>
    </row>
    <row r="6" customFormat="false" ht="15" hidden="false" customHeight="true" outlineLevel="0" collapsed="false">
      <c r="B6" s="4"/>
      <c r="C6" s="4"/>
      <c r="D6" s="4"/>
      <c r="E6" s="4"/>
      <c r="F6" s="4"/>
      <c r="G6" s="4"/>
    </row>
    <row r="7" customFormat="false" ht="15" hidden="false" customHeight="true" outlineLevel="0" collapsed="false">
      <c r="B7" s="5" t="s">
        <v>2</v>
      </c>
      <c r="C7" s="5"/>
      <c r="D7" s="5"/>
      <c r="E7" s="5"/>
      <c r="F7" s="5"/>
      <c r="G7" s="5"/>
    </row>
    <row r="8" customFormat="false" ht="15" hidden="false" customHeight="true" outlineLevel="0" collapsed="false">
      <c r="B8" s="2"/>
      <c r="C8" s="2"/>
      <c r="D8" s="2"/>
      <c r="E8" s="2"/>
      <c r="F8" s="2"/>
      <c r="G8" s="2"/>
    </row>
    <row r="9" customFormat="false" ht="15" hidden="false" customHeight="true" outlineLevel="0" collapsed="false">
      <c r="B9" s="6" t="s">
        <v>3</v>
      </c>
      <c r="C9" s="6"/>
      <c r="D9" s="6"/>
      <c r="E9" s="6"/>
      <c r="F9" s="6"/>
      <c r="G9" s="6"/>
    </row>
    <row r="10" customFormat="false" ht="15" hidden="false" customHeight="true" outlineLevel="0" collapsed="false">
      <c r="B10" s="2"/>
      <c r="C10" s="2"/>
      <c r="D10" s="2"/>
      <c r="E10" s="2"/>
      <c r="F10" s="2"/>
      <c r="G10" s="2"/>
    </row>
    <row r="11" customFormat="false" ht="15" hidden="false" customHeight="true" outlineLevel="0" collapsed="false">
      <c r="B11" s="2"/>
      <c r="C11" s="2"/>
      <c r="D11" s="2"/>
      <c r="E11" s="2"/>
      <c r="F11" s="2"/>
      <c r="G11" s="2"/>
    </row>
    <row r="13" customFormat="false" ht="49.5" hidden="false" customHeight="true" outlineLevel="0" collapsed="false">
      <c r="B13" s="7" t="s">
        <v>4</v>
      </c>
      <c r="C13" s="7"/>
      <c r="D13" s="8" t="s">
        <v>5</v>
      </c>
      <c r="E13" s="8"/>
      <c r="F13" s="8"/>
      <c r="G13" s="8"/>
    </row>
    <row r="14" customFormat="false" ht="49.5" hidden="false" customHeight="true" outlineLevel="0" collapsed="false">
      <c r="B14" s="7" t="s">
        <v>6</v>
      </c>
      <c r="C14" s="7"/>
      <c r="D14" s="8" t="s">
        <v>7</v>
      </c>
      <c r="E14" s="8"/>
      <c r="F14" s="8"/>
      <c r="G14" s="8"/>
    </row>
    <row r="15" customFormat="false" ht="49.5" hidden="false" customHeight="true" outlineLevel="0" collapsed="false">
      <c r="B15" s="7" t="s">
        <v>8</v>
      </c>
      <c r="C15" s="7"/>
      <c r="D15" s="8" t="s">
        <v>9</v>
      </c>
      <c r="E15" s="8"/>
      <c r="F15" s="8"/>
      <c r="G15" s="8"/>
    </row>
    <row r="16" customFormat="false" ht="49.5" hidden="false" customHeight="true" outlineLevel="0" collapsed="false">
      <c r="B16" s="7" t="s">
        <v>10</v>
      </c>
      <c r="C16" s="7"/>
      <c r="D16" s="8" t="s">
        <v>11</v>
      </c>
      <c r="E16" s="8"/>
      <c r="F16" s="8"/>
      <c r="G16" s="8"/>
    </row>
    <row r="17" customFormat="false" ht="49.5" hidden="false" customHeight="true" outlineLevel="0" collapsed="false">
      <c r="B17" s="7" t="s">
        <v>12</v>
      </c>
      <c r="C17" s="7"/>
      <c r="D17" s="8" t="s">
        <v>13</v>
      </c>
      <c r="E17" s="8"/>
      <c r="F17" s="8"/>
      <c r="G17" s="8"/>
    </row>
    <row r="19" customFormat="false" ht="15" hidden="false" customHeight="true" outlineLevel="0" collapsed="false">
      <c r="B19" s="9" t="s">
        <v>14</v>
      </c>
      <c r="C19" s="9"/>
      <c r="D19" s="9"/>
      <c r="E19" s="9"/>
      <c r="F19" s="9"/>
      <c r="G19" s="9"/>
    </row>
    <row r="20" customFormat="false" ht="21.75" hidden="false" customHeight="true" outlineLevel="0" collapsed="false">
      <c r="B20" s="10" t="s">
        <v>15</v>
      </c>
      <c r="C20" s="10"/>
      <c r="D20" s="8" t="s">
        <v>16</v>
      </c>
      <c r="E20" s="8"/>
      <c r="F20" s="8"/>
      <c r="G20" s="8"/>
    </row>
    <row r="21" customFormat="false" ht="21.75" hidden="false" customHeight="true" outlineLevel="0" collapsed="false">
      <c r="B21" s="10" t="s">
        <v>17</v>
      </c>
      <c r="C21" s="10"/>
      <c r="D21" s="8" t="s">
        <v>18</v>
      </c>
      <c r="E21" s="8"/>
      <c r="F21" s="8"/>
      <c r="G21" s="8"/>
    </row>
    <row r="22" customFormat="false" ht="21.75" hidden="false" customHeight="true" outlineLevel="0" collapsed="false">
      <c r="B22" s="10" t="s">
        <v>19</v>
      </c>
      <c r="C22" s="10"/>
      <c r="D22" s="8" t="s">
        <v>20</v>
      </c>
      <c r="E22" s="8"/>
      <c r="F22" s="8"/>
      <c r="G22" s="8"/>
    </row>
    <row r="23" customFormat="false" ht="21.75" hidden="false" customHeight="true" outlineLevel="0" collapsed="false">
      <c r="B23" s="10" t="s">
        <v>21</v>
      </c>
      <c r="C23" s="10"/>
      <c r="D23" s="8" t="s">
        <v>22</v>
      </c>
      <c r="E23" s="8"/>
      <c r="F23" s="8"/>
      <c r="G23" s="8"/>
    </row>
    <row r="24" customFormat="false" ht="21.75" hidden="false" customHeight="true" outlineLevel="0" collapsed="false">
      <c r="B24" s="10" t="s">
        <v>23</v>
      </c>
      <c r="C24" s="10"/>
      <c r="D24" s="8" t="s">
        <v>24</v>
      </c>
      <c r="E24" s="8"/>
      <c r="F24" s="8"/>
      <c r="G24" s="8"/>
    </row>
    <row r="25" customFormat="false" ht="21.75" hidden="false" customHeight="true" outlineLevel="0" collapsed="false">
      <c r="B25" s="10" t="s">
        <v>25</v>
      </c>
      <c r="C25" s="10"/>
      <c r="D25" s="8" t="s">
        <v>26</v>
      </c>
      <c r="E25" s="8"/>
      <c r="F25" s="8"/>
      <c r="G25" s="8"/>
    </row>
    <row r="26" customFormat="false" ht="21.75" hidden="false" customHeight="true" outlineLevel="0" collapsed="false">
      <c r="B26" s="10" t="s">
        <v>27</v>
      </c>
      <c r="C26" s="10"/>
      <c r="D26" s="8" t="s">
        <v>28</v>
      </c>
      <c r="E26" s="8"/>
      <c r="F26" s="8"/>
      <c r="G26" s="8"/>
    </row>
    <row r="27" customFormat="false" ht="21.75" hidden="false" customHeight="true" outlineLevel="0" collapsed="false">
      <c r="B27" s="10" t="s">
        <v>29</v>
      </c>
      <c r="C27" s="10"/>
      <c r="D27" s="8" t="s">
        <v>30</v>
      </c>
      <c r="E27" s="8"/>
      <c r="F27" s="8"/>
      <c r="G27" s="8"/>
    </row>
    <row r="28" customFormat="false" ht="21.75" hidden="false" customHeight="true" outlineLevel="0" collapsed="false">
      <c r="B28" s="10" t="s">
        <v>31</v>
      </c>
      <c r="C28" s="10"/>
      <c r="D28" s="8" t="s">
        <v>32</v>
      </c>
      <c r="E28" s="8"/>
      <c r="F28" s="8"/>
      <c r="G28" s="8"/>
    </row>
    <row r="29" customFormat="false" ht="21.75" hidden="false" customHeight="true" outlineLevel="0" collapsed="false">
      <c r="B29" s="10" t="s">
        <v>33</v>
      </c>
      <c r="C29" s="10"/>
      <c r="D29" s="8" t="s">
        <v>34</v>
      </c>
      <c r="E29" s="8"/>
      <c r="F29" s="8"/>
      <c r="G29" s="8"/>
    </row>
    <row r="30" customFormat="false" ht="21.75" hidden="false" customHeight="true" outlineLevel="0" collapsed="false">
      <c r="B30" s="10" t="s">
        <v>35</v>
      </c>
      <c r="C30" s="10"/>
      <c r="D30" s="8" t="s">
        <v>36</v>
      </c>
      <c r="E30" s="8"/>
      <c r="F30" s="8"/>
      <c r="G30" s="8"/>
    </row>
    <row r="31" customFormat="false" ht="21.75" hidden="false" customHeight="true" outlineLevel="0" collapsed="false">
      <c r="B31" s="10" t="s">
        <v>37</v>
      </c>
      <c r="C31" s="10"/>
      <c r="D31" s="8" t="s">
        <v>38</v>
      </c>
      <c r="E31" s="8"/>
      <c r="F31" s="8"/>
      <c r="G31" s="8"/>
    </row>
    <row r="32" customFormat="false" ht="21.75" hidden="false" customHeight="true" outlineLevel="0" collapsed="false">
      <c r="B32" s="10" t="s">
        <v>39</v>
      </c>
      <c r="C32" s="10"/>
      <c r="D32" s="8" t="s">
        <v>40</v>
      </c>
      <c r="E32" s="8"/>
      <c r="F32" s="8"/>
      <c r="G32" s="8"/>
    </row>
  </sheetData>
  <mergeCells count="41">
    <mergeCell ref="B3:G3"/>
    <mergeCell ref="B5:G6"/>
    <mergeCell ref="B7:G7"/>
    <mergeCell ref="B9:G9"/>
    <mergeCell ref="B13:C13"/>
    <mergeCell ref="D13:G13"/>
    <mergeCell ref="B14:C14"/>
    <mergeCell ref="D14:G14"/>
    <mergeCell ref="B15:C15"/>
    <mergeCell ref="D15:G15"/>
    <mergeCell ref="B16:C16"/>
    <mergeCell ref="D16:G16"/>
    <mergeCell ref="B17:C17"/>
    <mergeCell ref="D17:G17"/>
    <mergeCell ref="B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 ref="B30:C30"/>
    <mergeCell ref="D30:G30"/>
    <mergeCell ref="B31:C31"/>
    <mergeCell ref="D31:G31"/>
    <mergeCell ref="B32:C32"/>
    <mergeCell ref="D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7"/>
    <col collapsed="false" customWidth="true" hidden="false" outlineLevel="0" max="3" min="3" style="1" width="100"/>
  </cols>
  <sheetData>
    <row r="2" customFormat="false" ht="24" hidden="false" customHeight="true" outlineLevel="0" collapsed="false">
      <c r="B2" s="11" t="s">
        <v>41</v>
      </c>
      <c r="C2" s="11"/>
    </row>
    <row r="4" customFormat="false" ht="60" hidden="false" customHeight="true" outlineLevel="0" collapsed="false">
      <c r="B4" s="12" t="s">
        <v>42</v>
      </c>
      <c r="C4" s="13" t="s">
        <v>43</v>
      </c>
    </row>
    <row r="5" customFormat="false" ht="45" hidden="false" customHeight="true" outlineLevel="0" collapsed="false">
      <c r="B5" s="12" t="s">
        <v>44</v>
      </c>
      <c r="C5" s="13" t="s">
        <v>45</v>
      </c>
    </row>
    <row r="6" customFormat="false" ht="60" hidden="false" customHeight="true" outlineLevel="0" collapsed="false">
      <c r="B6" s="12" t="s">
        <v>46</v>
      </c>
      <c r="C6" s="13" t="s">
        <v>47</v>
      </c>
    </row>
    <row r="7" customFormat="false" ht="45" hidden="false" customHeight="true" outlineLevel="0" collapsed="false">
      <c r="B7" s="12" t="s">
        <v>48</v>
      </c>
      <c r="C7" s="13" t="s">
        <v>49</v>
      </c>
    </row>
    <row r="8" customFormat="false" ht="60" hidden="false" customHeight="true" outlineLevel="0" collapsed="false">
      <c r="B8" s="12" t="s">
        <v>50</v>
      </c>
      <c r="C8" s="13" t="s">
        <v>51</v>
      </c>
    </row>
    <row r="9" customFormat="false" ht="45" hidden="false" customHeight="true" outlineLevel="0" collapsed="false">
      <c r="B9" s="12" t="s">
        <v>52</v>
      </c>
      <c r="C9" s="13" t="s">
        <v>53</v>
      </c>
    </row>
    <row r="10" customFormat="false" ht="60" hidden="false" customHeight="true" outlineLevel="0" collapsed="false">
      <c r="B10" s="12" t="s">
        <v>54</v>
      </c>
      <c r="C10" s="13" t="s">
        <v>55</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7"/>
    <col collapsed="false" customWidth="true" hidden="false" outlineLevel="0" max="3" min="3" style="1" width="100"/>
  </cols>
  <sheetData>
    <row r="2" customFormat="false" ht="24" hidden="false" customHeight="true" outlineLevel="0" collapsed="false">
      <c r="B2" s="11" t="s">
        <v>56</v>
      </c>
      <c r="C2" s="11"/>
    </row>
    <row r="4" customFormat="false" ht="60" hidden="false" customHeight="true" outlineLevel="0" collapsed="false">
      <c r="B4" s="12" t="s">
        <v>6</v>
      </c>
      <c r="C4" s="13" t="s">
        <v>57</v>
      </c>
    </row>
    <row r="5" customFormat="false" ht="60" hidden="false" customHeight="true" outlineLevel="0" collapsed="false">
      <c r="B5" s="12" t="s">
        <v>58</v>
      </c>
      <c r="C5" s="13" t="s">
        <v>59</v>
      </c>
    </row>
    <row r="6" customFormat="false" ht="60" hidden="false" customHeight="true" outlineLevel="0" collapsed="false">
      <c r="B6" s="12" t="s">
        <v>60</v>
      </c>
      <c r="C6" s="13" t="s">
        <v>61</v>
      </c>
    </row>
    <row r="7" customFormat="false" ht="60" hidden="false" customHeight="true" outlineLevel="0" collapsed="false">
      <c r="B7" s="12" t="s">
        <v>62</v>
      </c>
      <c r="C7" s="13" t="s">
        <v>63</v>
      </c>
    </row>
    <row r="8" customFormat="false" ht="60" hidden="false" customHeight="true" outlineLevel="0" collapsed="false">
      <c r="B8" s="12" t="s">
        <v>64</v>
      </c>
      <c r="C8" s="13" t="s">
        <v>65</v>
      </c>
    </row>
    <row r="9" customFormat="false" ht="75" hidden="false" customHeight="true" outlineLevel="0" collapsed="false">
      <c r="B9" s="12" t="s">
        <v>66</v>
      </c>
      <c r="C9" s="13" t="s">
        <v>67</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4"/>
    <col collapsed="false" customWidth="true" hidden="false" outlineLevel="0" max="3" min="3" style="1" width="32"/>
    <col collapsed="false" customWidth="true" hidden="false" outlineLevel="0" max="4" min="4" style="1" width="24"/>
  </cols>
  <sheetData>
    <row r="1" customFormat="false" ht="18" hidden="false" customHeight="true" outlineLevel="0" collapsed="false">
      <c r="A1" s="11" t="s">
        <v>68</v>
      </c>
      <c r="B1" s="11"/>
      <c r="C1" s="11"/>
    </row>
    <row r="2" customFormat="false" ht="15" hidden="false" customHeight="true" outlineLevel="0" collapsed="false">
      <c r="A2" s="14" t="s">
        <v>69</v>
      </c>
      <c r="B2" s="14"/>
      <c r="C2" s="14"/>
      <c r="D2" s="14"/>
      <c r="E2" s="14"/>
      <c r="F2" s="14"/>
    </row>
    <row r="4" customFormat="false" ht="25.5" hidden="false" customHeight="true" outlineLevel="0" collapsed="false">
      <c r="A4" s="15" t="s">
        <v>70</v>
      </c>
      <c r="B4" s="15" t="s">
        <v>71</v>
      </c>
      <c r="C4" s="15" t="s">
        <v>72</v>
      </c>
      <c r="D4" s="15" t="s">
        <v>73</v>
      </c>
    </row>
    <row r="5" customFormat="false" ht="54" hidden="false" customHeight="true" outlineLevel="0" collapsed="false">
      <c r="A5" s="16" t="s">
        <v>74</v>
      </c>
      <c r="B5" s="13" t="s">
        <v>75</v>
      </c>
      <c r="C5" s="13" t="s">
        <v>76</v>
      </c>
      <c r="D5" s="17" t="s">
        <v>77</v>
      </c>
    </row>
    <row r="6" customFormat="false" ht="54" hidden="false" customHeight="true" outlineLevel="0" collapsed="false">
      <c r="A6" s="16" t="s">
        <v>74</v>
      </c>
      <c r="B6" s="13" t="s">
        <v>78</v>
      </c>
      <c r="C6" s="13" t="s">
        <v>79</v>
      </c>
      <c r="D6" s="17" t="s">
        <v>80</v>
      </c>
    </row>
    <row r="7" customFormat="false" ht="54" hidden="false" customHeight="true" outlineLevel="0" collapsed="false">
      <c r="A7" s="16" t="s">
        <v>81</v>
      </c>
      <c r="B7" s="13" t="s">
        <v>82</v>
      </c>
      <c r="C7" s="13" t="s">
        <v>83</v>
      </c>
      <c r="D7" s="17" t="s">
        <v>84</v>
      </c>
    </row>
    <row r="8" customFormat="false" ht="54" hidden="false" customHeight="true" outlineLevel="0" collapsed="false">
      <c r="A8" s="16" t="s">
        <v>81</v>
      </c>
      <c r="B8" s="13" t="s">
        <v>85</v>
      </c>
      <c r="C8" s="13" t="s">
        <v>86</v>
      </c>
      <c r="D8" s="17" t="s">
        <v>87</v>
      </c>
    </row>
    <row r="9" customFormat="false" ht="54" hidden="false" customHeight="true" outlineLevel="0" collapsed="false">
      <c r="A9" s="16" t="s">
        <v>88</v>
      </c>
      <c r="B9" s="13" t="s">
        <v>89</v>
      </c>
      <c r="C9" s="13" t="s">
        <v>90</v>
      </c>
      <c r="D9" s="17" t="s">
        <v>91</v>
      </c>
    </row>
    <row r="10" customFormat="false" ht="54" hidden="false" customHeight="true" outlineLevel="0" collapsed="false">
      <c r="A10" s="16" t="s">
        <v>88</v>
      </c>
      <c r="B10" s="13" t="s">
        <v>92</v>
      </c>
      <c r="C10" s="13" t="s">
        <v>93</v>
      </c>
      <c r="D10" s="17" t="s">
        <v>94</v>
      </c>
    </row>
    <row r="11" customFormat="false" ht="54" hidden="false" customHeight="true" outlineLevel="0" collapsed="false">
      <c r="A11" s="16" t="s">
        <v>95</v>
      </c>
      <c r="B11" s="13" t="s">
        <v>96</v>
      </c>
      <c r="C11" s="13" t="s">
        <v>97</v>
      </c>
      <c r="D11" s="17" t="s">
        <v>98</v>
      </c>
    </row>
    <row r="12" customFormat="false" ht="54" hidden="false" customHeight="true" outlineLevel="0" collapsed="false">
      <c r="A12" s="16" t="s">
        <v>99</v>
      </c>
      <c r="B12" s="13" t="s">
        <v>100</v>
      </c>
      <c r="C12" s="13" t="s">
        <v>101</v>
      </c>
      <c r="D12" s="17" t="s">
        <v>102</v>
      </c>
    </row>
    <row r="13" customFormat="false" ht="54" hidden="false" customHeight="true" outlineLevel="0" collapsed="false">
      <c r="A13" s="16" t="s">
        <v>99</v>
      </c>
      <c r="B13" s="13" t="s">
        <v>103</v>
      </c>
      <c r="C13" s="13" t="s">
        <v>104</v>
      </c>
      <c r="D13" s="17" t="s">
        <v>94</v>
      </c>
    </row>
    <row r="14" customFormat="false" ht="54" hidden="false" customHeight="true" outlineLevel="0" collapsed="false">
      <c r="A14" s="16" t="s">
        <v>105</v>
      </c>
      <c r="B14" s="13" t="s">
        <v>106</v>
      </c>
      <c r="C14" s="13" t="s">
        <v>107</v>
      </c>
      <c r="D14" s="17" t="s">
        <v>108</v>
      </c>
    </row>
  </sheetData>
  <mergeCells count="2">
    <mergeCell ref="A1:C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6"/>
    <col collapsed="false" customWidth="true" hidden="false" outlineLevel="0" max="4" min="4" style="1" width="22"/>
    <col collapsed="false" customWidth="true" hidden="false" outlineLevel="0" max="5" min="5" style="1" width="14"/>
    <col collapsed="false" customWidth="true" hidden="false" outlineLevel="0" max="6" min="6" style="1" width="32"/>
  </cols>
  <sheetData>
    <row r="1" customFormat="false" ht="18" hidden="false" customHeight="true" outlineLevel="0" collapsed="false">
      <c r="A1" s="11" t="s">
        <v>109</v>
      </c>
      <c r="B1" s="11"/>
      <c r="C1" s="11"/>
    </row>
    <row r="2" customFormat="false" ht="15" hidden="false" customHeight="true" outlineLevel="0" collapsed="false">
      <c r="A2" s="14" t="s">
        <v>110</v>
      </c>
      <c r="B2" s="14"/>
      <c r="C2" s="14"/>
      <c r="D2" s="14"/>
      <c r="E2" s="14"/>
      <c r="F2" s="14"/>
      <c r="G2" s="14"/>
    </row>
    <row r="4" customFormat="false" ht="25.5" hidden="false" customHeight="true" outlineLevel="0" collapsed="false">
      <c r="A4" s="15" t="s">
        <v>111</v>
      </c>
      <c r="B4" s="15" t="s">
        <v>112</v>
      </c>
      <c r="C4" s="15" t="s">
        <v>113</v>
      </c>
      <c r="D4" s="15" t="s">
        <v>114</v>
      </c>
      <c r="E4" s="15" t="s">
        <v>115</v>
      </c>
      <c r="F4" s="15" t="s">
        <v>116</v>
      </c>
    </row>
    <row r="5" customFormat="false" ht="30" hidden="false" customHeight="true" outlineLevel="0" collapsed="false">
      <c r="A5" s="18" t="s">
        <v>117</v>
      </c>
      <c r="B5" s="13" t="s">
        <v>118</v>
      </c>
      <c r="C5" s="19" t="s">
        <v>119</v>
      </c>
      <c r="D5" s="19" t="s">
        <v>120</v>
      </c>
      <c r="E5" s="20" t="s">
        <v>121</v>
      </c>
      <c r="F5" s="17" t="s">
        <v>122</v>
      </c>
    </row>
    <row r="6" customFormat="false" ht="30" hidden="false" customHeight="true" outlineLevel="0" collapsed="false">
      <c r="A6" s="18" t="s">
        <v>123</v>
      </c>
      <c r="B6" s="13" t="s">
        <v>118</v>
      </c>
      <c r="C6" s="19" t="s">
        <v>124</v>
      </c>
      <c r="D6" s="19" t="s">
        <v>125</v>
      </c>
      <c r="E6" s="20" t="s">
        <v>121</v>
      </c>
      <c r="F6" s="17" t="s">
        <v>126</v>
      </c>
    </row>
    <row r="7" customFormat="false" ht="30" hidden="false" customHeight="true" outlineLevel="0" collapsed="false">
      <c r="A7" s="18" t="s">
        <v>127</v>
      </c>
      <c r="B7" s="13" t="s">
        <v>128</v>
      </c>
      <c r="C7" s="19" t="s">
        <v>129</v>
      </c>
      <c r="D7" s="19" t="s">
        <v>130</v>
      </c>
      <c r="E7" s="20" t="s">
        <v>121</v>
      </c>
      <c r="F7" s="17" t="s">
        <v>131</v>
      </c>
    </row>
    <row r="8" customFormat="false" ht="30" hidden="false" customHeight="true" outlineLevel="0" collapsed="false">
      <c r="A8" s="18" t="s">
        <v>132</v>
      </c>
      <c r="B8" s="13" t="s">
        <v>128</v>
      </c>
      <c r="C8" s="19" t="s">
        <v>133</v>
      </c>
      <c r="D8" s="19" t="s">
        <v>122</v>
      </c>
      <c r="E8" s="21" t="s">
        <v>134</v>
      </c>
      <c r="F8" s="17" t="s">
        <v>135</v>
      </c>
    </row>
    <row r="9" customFormat="false" ht="30" hidden="false" customHeight="true" outlineLevel="0" collapsed="false">
      <c r="A9" s="18" t="s">
        <v>136</v>
      </c>
      <c r="B9" s="13" t="s">
        <v>74</v>
      </c>
      <c r="C9" s="19" t="s">
        <v>124</v>
      </c>
      <c r="D9" s="19" t="s">
        <v>137</v>
      </c>
      <c r="E9" s="22" t="s">
        <v>138</v>
      </c>
      <c r="F9" s="17" t="s">
        <v>139</v>
      </c>
    </row>
    <row r="10" customFormat="false" ht="30" hidden="false" customHeight="true" outlineLevel="0" collapsed="false">
      <c r="A10" s="18" t="s">
        <v>140</v>
      </c>
      <c r="B10" s="13" t="s">
        <v>141</v>
      </c>
      <c r="C10" s="19" t="s">
        <v>124</v>
      </c>
      <c r="D10" s="19" t="s">
        <v>142</v>
      </c>
      <c r="E10" s="22" t="s">
        <v>138</v>
      </c>
      <c r="F10" s="17" t="s">
        <v>143</v>
      </c>
    </row>
    <row r="11" customFormat="false" ht="30" hidden="false" customHeight="true" outlineLevel="0" collapsed="false">
      <c r="A11" s="18" t="s">
        <v>144</v>
      </c>
      <c r="B11" s="13" t="s">
        <v>81</v>
      </c>
      <c r="C11" s="19" t="s">
        <v>124</v>
      </c>
      <c r="D11" s="19" t="s">
        <v>137</v>
      </c>
      <c r="E11" s="22" t="s">
        <v>138</v>
      </c>
      <c r="F11" s="17" t="s">
        <v>145</v>
      </c>
    </row>
    <row r="12" customFormat="false" ht="30" hidden="false" customHeight="true" outlineLevel="0" collapsed="false">
      <c r="A12" s="18" t="s">
        <v>146</v>
      </c>
      <c r="B12" s="13" t="s">
        <v>81</v>
      </c>
      <c r="C12" s="19" t="s">
        <v>147</v>
      </c>
      <c r="D12" s="19" t="s">
        <v>122</v>
      </c>
      <c r="E12" s="21" t="s">
        <v>134</v>
      </c>
      <c r="F12" s="17" t="s">
        <v>148</v>
      </c>
    </row>
    <row r="13" customFormat="false" ht="30" hidden="false" customHeight="true" outlineLevel="0" collapsed="false">
      <c r="A13" s="18" t="s">
        <v>149</v>
      </c>
      <c r="B13" s="13" t="s">
        <v>150</v>
      </c>
      <c r="C13" s="19" t="s">
        <v>147</v>
      </c>
      <c r="D13" s="19" t="s">
        <v>122</v>
      </c>
      <c r="E13" s="21" t="s">
        <v>134</v>
      </c>
      <c r="F13" s="17" t="s">
        <v>151</v>
      </c>
    </row>
    <row r="14" customFormat="false" ht="30" hidden="false" customHeight="true" outlineLevel="0" collapsed="false">
      <c r="A14" s="18" t="s">
        <v>152</v>
      </c>
      <c r="B14" s="13" t="s">
        <v>81</v>
      </c>
      <c r="C14" s="19" t="s">
        <v>147</v>
      </c>
      <c r="D14" s="19" t="s">
        <v>153</v>
      </c>
      <c r="E14" s="20" t="s">
        <v>121</v>
      </c>
      <c r="F14" s="17" t="s">
        <v>154</v>
      </c>
    </row>
    <row r="15" customFormat="false" ht="30" hidden="false" customHeight="true" outlineLevel="0" collapsed="false">
      <c r="A15" s="18" t="s">
        <v>155</v>
      </c>
      <c r="B15" s="13" t="s">
        <v>88</v>
      </c>
      <c r="C15" s="19" t="s">
        <v>124</v>
      </c>
      <c r="D15" s="19" t="s">
        <v>156</v>
      </c>
      <c r="E15" s="16" t="s">
        <v>157</v>
      </c>
      <c r="F15" s="17" t="s">
        <v>158</v>
      </c>
    </row>
    <row r="16" customFormat="false" ht="30" hidden="false" customHeight="true" outlineLevel="0" collapsed="false">
      <c r="A16" s="18" t="s">
        <v>159</v>
      </c>
      <c r="B16" s="13" t="s">
        <v>88</v>
      </c>
      <c r="C16" s="19" t="s">
        <v>160</v>
      </c>
      <c r="D16" s="19" t="s">
        <v>122</v>
      </c>
      <c r="E16" s="21" t="s">
        <v>134</v>
      </c>
      <c r="F16" s="17" t="s">
        <v>161</v>
      </c>
    </row>
    <row r="17" customFormat="false" ht="30" hidden="false" customHeight="true" outlineLevel="0" collapsed="false">
      <c r="A17" s="18" t="s">
        <v>162</v>
      </c>
      <c r="B17" s="13" t="s">
        <v>88</v>
      </c>
      <c r="C17" s="19" t="s">
        <v>160</v>
      </c>
      <c r="D17" s="19" t="s">
        <v>137</v>
      </c>
      <c r="E17" s="22" t="s">
        <v>138</v>
      </c>
      <c r="F17" s="17" t="s">
        <v>163</v>
      </c>
    </row>
    <row r="18" customFormat="false" ht="30" hidden="false" customHeight="true" outlineLevel="0" collapsed="false">
      <c r="A18" s="18" t="s">
        <v>164</v>
      </c>
      <c r="B18" s="13" t="s">
        <v>165</v>
      </c>
      <c r="C18" s="19" t="s">
        <v>124</v>
      </c>
      <c r="D18" s="19" t="s">
        <v>166</v>
      </c>
      <c r="E18" s="20" t="s">
        <v>121</v>
      </c>
      <c r="F18" s="17" t="s">
        <v>122</v>
      </c>
    </row>
    <row r="19" customFormat="false" ht="30" hidden="false" customHeight="true" outlineLevel="0" collapsed="false">
      <c r="A19" s="18" t="s">
        <v>167</v>
      </c>
      <c r="B19" s="13" t="s">
        <v>165</v>
      </c>
      <c r="C19" s="19" t="s">
        <v>168</v>
      </c>
      <c r="D19" s="19" t="s">
        <v>169</v>
      </c>
      <c r="E19" s="20" t="s">
        <v>121</v>
      </c>
      <c r="F19" s="17" t="s">
        <v>122</v>
      </c>
    </row>
    <row r="20" customFormat="false" ht="30" hidden="false" customHeight="true" outlineLevel="0" collapsed="false">
      <c r="A20" s="18" t="s">
        <v>170</v>
      </c>
      <c r="B20" s="13" t="s">
        <v>171</v>
      </c>
      <c r="C20" s="19" t="s">
        <v>124</v>
      </c>
      <c r="D20" s="19" t="s">
        <v>172</v>
      </c>
      <c r="E20" s="22" t="s">
        <v>138</v>
      </c>
      <c r="F20" s="17" t="s">
        <v>173</v>
      </c>
    </row>
    <row r="21" customFormat="false" ht="30" hidden="false" customHeight="true" outlineLevel="0" collapsed="false">
      <c r="A21" s="18" t="s">
        <v>174</v>
      </c>
      <c r="B21" s="13" t="s">
        <v>175</v>
      </c>
      <c r="C21" s="19" t="s">
        <v>119</v>
      </c>
      <c r="D21" s="19" t="s">
        <v>176</v>
      </c>
      <c r="E21" s="23" t="s">
        <v>177</v>
      </c>
      <c r="F21" s="17" t="s">
        <v>178</v>
      </c>
    </row>
    <row r="23" customFormat="false" ht="51.75" hidden="false" customHeight="true" outlineLevel="0" collapsed="false">
      <c r="A23" s="24" t="s">
        <v>179</v>
      </c>
      <c r="B23" s="24"/>
      <c r="C23" s="24"/>
      <c r="D23" s="24"/>
      <c r="E23" s="24"/>
      <c r="F23" s="24"/>
    </row>
  </sheetData>
  <mergeCells count="3">
    <mergeCell ref="A1:C1"/>
    <mergeCell ref="A2:G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24"/>
    <col collapsed="false" customWidth="true" hidden="false" outlineLevel="0" max="4" min="4" style="1" width="13"/>
    <col collapsed="false" customWidth="true" hidden="false" outlineLevel="0" max="5" min="5" style="1" width="8"/>
    <col collapsed="false" customWidth="true" hidden="false" outlineLevel="0" max="7" min="6" style="1" width="12"/>
    <col collapsed="false" customWidth="true" hidden="false" outlineLevel="0" max="9" min="8" style="1" width="26"/>
    <col collapsed="false" customWidth="true" hidden="false" outlineLevel="0" max="10" min="10" style="1" width="10"/>
  </cols>
  <sheetData>
    <row r="1" customFormat="false" ht="18" hidden="false" customHeight="true" outlineLevel="0" collapsed="false">
      <c r="A1" s="11" t="s">
        <v>180</v>
      </c>
      <c r="B1" s="11"/>
      <c r="C1" s="11"/>
    </row>
    <row r="2" customFormat="false" ht="15" hidden="false" customHeight="true" outlineLevel="0" collapsed="false">
      <c r="A2" s="14" t="s">
        <v>181</v>
      </c>
      <c r="B2" s="14"/>
      <c r="C2" s="14"/>
      <c r="D2" s="14"/>
      <c r="E2" s="14"/>
      <c r="F2" s="14"/>
      <c r="G2" s="14"/>
    </row>
    <row r="4" customFormat="false" ht="25.5" hidden="false" customHeight="true" outlineLevel="0" collapsed="false">
      <c r="A4" s="15" t="s">
        <v>182</v>
      </c>
      <c r="B4" s="15" t="s">
        <v>183</v>
      </c>
      <c r="C4" s="15" t="s">
        <v>184</v>
      </c>
      <c r="D4" s="15" t="s">
        <v>185</v>
      </c>
      <c r="E4" s="15" t="s">
        <v>186</v>
      </c>
      <c r="F4" s="15" t="s">
        <v>187</v>
      </c>
      <c r="G4" s="15" t="s">
        <v>188</v>
      </c>
      <c r="H4" s="15" t="s">
        <v>189</v>
      </c>
      <c r="I4" s="15" t="s">
        <v>190</v>
      </c>
      <c r="J4" s="15" t="s">
        <v>12</v>
      </c>
    </row>
    <row r="5" customFormat="false" ht="33.75" hidden="false" customHeight="true" outlineLevel="0" collapsed="false">
      <c r="A5" s="25" t="s">
        <v>120</v>
      </c>
      <c r="B5" s="18" t="s">
        <v>191</v>
      </c>
      <c r="C5" s="13" t="s">
        <v>192</v>
      </c>
      <c r="D5" s="19" t="s">
        <v>193</v>
      </c>
      <c r="E5" s="19" t="s">
        <v>194</v>
      </c>
      <c r="F5" s="19" t="s">
        <v>195</v>
      </c>
      <c r="G5" s="19" t="s">
        <v>196</v>
      </c>
      <c r="H5" s="13" t="s">
        <v>197</v>
      </c>
      <c r="I5" s="13" t="s">
        <v>198</v>
      </c>
      <c r="J5" s="26" t="s">
        <v>199</v>
      </c>
    </row>
    <row r="6" customFormat="false" ht="33.75" hidden="false" customHeight="true" outlineLevel="0" collapsed="false">
      <c r="A6" s="25" t="s">
        <v>200</v>
      </c>
      <c r="B6" s="18" t="s">
        <v>201</v>
      </c>
      <c r="C6" s="13" t="s">
        <v>133</v>
      </c>
      <c r="D6" s="19" t="s">
        <v>193</v>
      </c>
      <c r="E6" s="19" t="s">
        <v>202</v>
      </c>
      <c r="F6" s="19" t="s">
        <v>195</v>
      </c>
      <c r="G6" s="19" t="s">
        <v>196</v>
      </c>
      <c r="H6" s="13" t="s">
        <v>203</v>
      </c>
      <c r="I6" s="13" t="s">
        <v>204</v>
      </c>
      <c r="J6" s="26" t="s">
        <v>199</v>
      </c>
    </row>
    <row r="7" customFormat="false" ht="33.75" hidden="false" customHeight="true" outlineLevel="0" collapsed="false">
      <c r="A7" s="25" t="s">
        <v>205</v>
      </c>
      <c r="B7" s="18" t="s">
        <v>206</v>
      </c>
      <c r="C7" s="13" t="s">
        <v>207</v>
      </c>
      <c r="D7" s="19" t="s">
        <v>208</v>
      </c>
      <c r="E7" s="19" t="s">
        <v>202</v>
      </c>
      <c r="F7" s="19" t="s">
        <v>195</v>
      </c>
      <c r="G7" s="19" t="s">
        <v>196</v>
      </c>
      <c r="H7" s="13" t="s">
        <v>209</v>
      </c>
      <c r="I7" s="13" t="s">
        <v>210</v>
      </c>
      <c r="J7" s="26" t="s">
        <v>199</v>
      </c>
    </row>
    <row r="8" customFormat="false" ht="33.75" hidden="false" customHeight="true" outlineLevel="0" collapsed="false">
      <c r="A8" s="25" t="s">
        <v>176</v>
      </c>
      <c r="B8" s="18" t="s">
        <v>211</v>
      </c>
      <c r="C8" s="13" t="s">
        <v>212</v>
      </c>
      <c r="D8" s="19" t="s">
        <v>213</v>
      </c>
      <c r="E8" s="19" t="s">
        <v>122</v>
      </c>
      <c r="F8" s="19" t="s">
        <v>195</v>
      </c>
      <c r="G8" s="19" t="s">
        <v>196</v>
      </c>
      <c r="H8" s="13" t="s">
        <v>122</v>
      </c>
      <c r="I8" s="13" t="s">
        <v>214</v>
      </c>
      <c r="J8" s="26" t="s">
        <v>199</v>
      </c>
    </row>
    <row r="9" customFormat="false" ht="33.75" hidden="false" customHeight="true" outlineLevel="0" collapsed="false">
      <c r="A9" s="25" t="s">
        <v>215</v>
      </c>
      <c r="B9" s="18" t="s">
        <v>216</v>
      </c>
      <c r="C9" s="13" t="s">
        <v>217</v>
      </c>
      <c r="D9" s="19" t="s">
        <v>218</v>
      </c>
      <c r="E9" s="19" t="s">
        <v>219</v>
      </c>
      <c r="F9" s="19" t="s">
        <v>195</v>
      </c>
      <c r="G9" s="19" t="s">
        <v>220</v>
      </c>
      <c r="H9" s="13" t="s">
        <v>221</v>
      </c>
      <c r="I9" s="13" t="s">
        <v>222</v>
      </c>
      <c r="J9" s="26" t="s">
        <v>199</v>
      </c>
    </row>
    <row r="10" customFormat="false" ht="33.75" hidden="false" customHeight="true" outlineLevel="0" collapsed="false">
      <c r="A10" s="25" t="s">
        <v>223</v>
      </c>
      <c r="B10" s="18" t="s">
        <v>224</v>
      </c>
      <c r="C10" s="13" t="s">
        <v>225</v>
      </c>
      <c r="D10" s="19" t="s">
        <v>226</v>
      </c>
      <c r="E10" s="19" t="s">
        <v>202</v>
      </c>
      <c r="F10" s="19" t="s">
        <v>227</v>
      </c>
      <c r="G10" s="19" t="s">
        <v>228</v>
      </c>
      <c r="H10" s="13" t="s">
        <v>229</v>
      </c>
      <c r="I10" s="13" t="s">
        <v>230</v>
      </c>
      <c r="J10" s="26" t="s">
        <v>199</v>
      </c>
    </row>
    <row r="11" customFormat="false" ht="33.75" hidden="false" customHeight="true" outlineLevel="0" collapsed="false">
      <c r="A11" s="25" t="s">
        <v>231</v>
      </c>
      <c r="B11" s="18" t="s">
        <v>232</v>
      </c>
      <c r="C11" s="13" t="s">
        <v>233</v>
      </c>
      <c r="D11" s="19" t="s">
        <v>226</v>
      </c>
      <c r="E11" s="19" t="s">
        <v>234</v>
      </c>
      <c r="F11" s="19" t="s">
        <v>227</v>
      </c>
      <c r="G11" s="19" t="s">
        <v>235</v>
      </c>
      <c r="H11" s="13" t="s">
        <v>236</v>
      </c>
      <c r="I11" s="13" t="s">
        <v>237</v>
      </c>
      <c r="J11" s="26" t="s">
        <v>199</v>
      </c>
    </row>
    <row r="12" customFormat="false" ht="33.75" hidden="false" customHeight="true" outlineLevel="0" collapsed="false">
      <c r="A12" s="25" t="s">
        <v>238</v>
      </c>
      <c r="B12" s="18" t="s">
        <v>239</v>
      </c>
      <c r="C12" s="13" t="s">
        <v>240</v>
      </c>
      <c r="D12" s="19" t="s">
        <v>241</v>
      </c>
      <c r="E12" s="19" t="s">
        <v>219</v>
      </c>
      <c r="F12" s="19" t="s">
        <v>195</v>
      </c>
      <c r="G12" s="19" t="s">
        <v>242</v>
      </c>
      <c r="H12" s="13" t="s">
        <v>243</v>
      </c>
      <c r="I12" s="13" t="s">
        <v>244</v>
      </c>
      <c r="J12" s="26" t="s">
        <v>199</v>
      </c>
    </row>
    <row r="13" customFormat="false" ht="33.75" hidden="false" customHeight="true" outlineLevel="0" collapsed="false">
      <c r="A13" s="25" t="s">
        <v>245</v>
      </c>
      <c r="B13" s="18" t="s">
        <v>246</v>
      </c>
      <c r="C13" s="13" t="s">
        <v>240</v>
      </c>
      <c r="D13" s="19" t="s">
        <v>241</v>
      </c>
      <c r="E13" s="19" t="s">
        <v>219</v>
      </c>
      <c r="F13" s="19" t="s">
        <v>195</v>
      </c>
      <c r="G13" s="19" t="s">
        <v>242</v>
      </c>
      <c r="H13" s="13" t="s">
        <v>247</v>
      </c>
      <c r="I13" s="13" t="s">
        <v>248</v>
      </c>
      <c r="J13" s="26" t="s">
        <v>199</v>
      </c>
    </row>
    <row r="14" customFormat="false" ht="33.75" hidden="false" customHeight="true" outlineLevel="0" collapsed="false">
      <c r="A14" s="25" t="s">
        <v>249</v>
      </c>
      <c r="B14" s="18" t="s">
        <v>250</v>
      </c>
      <c r="C14" s="13" t="s">
        <v>240</v>
      </c>
      <c r="D14" s="19" t="s">
        <v>241</v>
      </c>
      <c r="E14" s="19" t="s">
        <v>219</v>
      </c>
      <c r="F14" s="19" t="s">
        <v>195</v>
      </c>
      <c r="G14" s="19" t="s">
        <v>251</v>
      </c>
      <c r="H14" s="13" t="s">
        <v>247</v>
      </c>
      <c r="I14" s="13" t="s">
        <v>248</v>
      </c>
      <c r="J14" s="26" t="s">
        <v>199</v>
      </c>
    </row>
    <row r="15" customFormat="false" ht="33.75" hidden="false" customHeight="true" outlineLevel="0" collapsed="false">
      <c r="A15" s="25" t="s">
        <v>122</v>
      </c>
      <c r="B15" s="18" t="s">
        <v>252</v>
      </c>
      <c r="C15" s="13" t="s">
        <v>253</v>
      </c>
      <c r="D15" s="19" t="s">
        <v>241</v>
      </c>
      <c r="E15" s="19" t="s">
        <v>254</v>
      </c>
      <c r="F15" s="19" t="s">
        <v>195</v>
      </c>
      <c r="G15" s="19" t="s">
        <v>255</v>
      </c>
      <c r="H15" s="13" t="s">
        <v>256</v>
      </c>
      <c r="I15" s="13" t="s">
        <v>257</v>
      </c>
      <c r="J15" s="27" t="s">
        <v>134</v>
      </c>
    </row>
    <row r="17" customFormat="false" ht="43.5" hidden="false" customHeight="true" outlineLevel="0" collapsed="false">
      <c r="A17" s="24" t="s">
        <v>258</v>
      </c>
      <c r="B17" s="24"/>
      <c r="C17" s="24"/>
      <c r="D17" s="24"/>
      <c r="E17" s="24"/>
      <c r="F17" s="24"/>
      <c r="G17" s="24"/>
      <c r="H17" s="24"/>
      <c r="I17" s="24"/>
      <c r="J17" s="24"/>
    </row>
  </sheetData>
  <mergeCells count="3">
    <mergeCell ref="A1:C1"/>
    <mergeCell ref="A2:G2"/>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7"/>
    <col collapsed="false" customWidth="true" hidden="false" outlineLevel="0" max="4" min="4" style="1" width="24"/>
    <col collapsed="false" customWidth="true" hidden="false" outlineLevel="0" max="5" min="5" style="1" width="7"/>
    <col collapsed="false" customWidth="true" hidden="false" outlineLevel="0" max="6" min="6" style="1" width="30"/>
    <col collapsed="false" customWidth="true" hidden="false" outlineLevel="0" max="7" min="7" style="1" width="24"/>
  </cols>
  <sheetData>
    <row r="1" customFormat="false" ht="18" hidden="false" customHeight="true" outlineLevel="0" collapsed="false">
      <c r="A1" s="11" t="s">
        <v>259</v>
      </c>
      <c r="B1" s="11"/>
      <c r="C1" s="11"/>
    </row>
    <row r="2" customFormat="false" ht="15" hidden="false" customHeight="true" outlineLevel="0" collapsed="false">
      <c r="A2" s="14" t="s">
        <v>260</v>
      </c>
      <c r="B2" s="14"/>
      <c r="C2" s="14"/>
      <c r="D2" s="14"/>
      <c r="E2" s="14"/>
      <c r="F2" s="14"/>
      <c r="G2" s="14"/>
    </row>
    <row r="4" customFormat="false" ht="25.5" hidden="false" customHeight="true" outlineLevel="0" collapsed="false">
      <c r="A4" s="15" t="s">
        <v>261</v>
      </c>
      <c r="B4" s="15" t="s">
        <v>262</v>
      </c>
      <c r="C4" s="15" t="s">
        <v>186</v>
      </c>
      <c r="D4" s="15" t="s">
        <v>263</v>
      </c>
      <c r="E4" s="15" t="s">
        <v>186</v>
      </c>
      <c r="F4" s="15" t="s">
        <v>264</v>
      </c>
      <c r="G4" s="15" t="s">
        <v>265</v>
      </c>
    </row>
    <row r="5" customFormat="false" ht="33.75" hidden="false" customHeight="true" outlineLevel="0" collapsed="false">
      <c r="A5" s="18" t="s">
        <v>266</v>
      </c>
      <c r="B5" s="13" t="s">
        <v>267</v>
      </c>
      <c r="C5" s="19" t="s">
        <v>254</v>
      </c>
      <c r="D5" s="13" t="s">
        <v>268</v>
      </c>
      <c r="E5" s="19" t="s">
        <v>234</v>
      </c>
      <c r="F5" s="28" t="s">
        <v>269</v>
      </c>
      <c r="G5" s="13" t="s">
        <v>270</v>
      </c>
    </row>
    <row r="6" customFormat="false" ht="33.75" hidden="false" customHeight="true" outlineLevel="0" collapsed="false">
      <c r="A6" s="18" t="s">
        <v>271</v>
      </c>
      <c r="B6" s="13" t="s">
        <v>146</v>
      </c>
      <c r="C6" s="19" t="s">
        <v>254</v>
      </c>
      <c r="D6" s="13" t="s">
        <v>272</v>
      </c>
      <c r="E6" s="19" t="s">
        <v>234</v>
      </c>
      <c r="F6" s="28" t="s">
        <v>273</v>
      </c>
      <c r="G6" s="13" t="s">
        <v>274</v>
      </c>
    </row>
    <row r="7" customFormat="false" ht="33.75" hidden="false" customHeight="true" outlineLevel="0" collapsed="false">
      <c r="A7" s="18" t="s">
        <v>275</v>
      </c>
      <c r="B7" s="13" t="s">
        <v>276</v>
      </c>
      <c r="C7" s="19" t="s">
        <v>254</v>
      </c>
      <c r="D7" s="13" t="s">
        <v>277</v>
      </c>
      <c r="E7" s="19" t="s">
        <v>234</v>
      </c>
      <c r="F7" s="13" t="s">
        <v>278</v>
      </c>
      <c r="G7" s="13" t="s">
        <v>274</v>
      </c>
    </row>
    <row r="8" customFormat="false" ht="33.75" hidden="false" customHeight="true" outlineLevel="0" collapsed="false">
      <c r="A8" s="18" t="s">
        <v>279</v>
      </c>
      <c r="B8" s="13" t="s">
        <v>132</v>
      </c>
      <c r="C8" s="19" t="s">
        <v>254</v>
      </c>
      <c r="D8" s="13" t="s">
        <v>280</v>
      </c>
      <c r="E8" s="19" t="s">
        <v>234</v>
      </c>
      <c r="F8" s="13" t="s">
        <v>281</v>
      </c>
      <c r="G8" s="13" t="s">
        <v>282</v>
      </c>
    </row>
    <row r="9" customFormat="false" ht="33.75" hidden="false" customHeight="true" outlineLevel="0" collapsed="false">
      <c r="A9" s="18" t="s">
        <v>283</v>
      </c>
      <c r="B9" s="13" t="s">
        <v>284</v>
      </c>
      <c r="C9" s="19" t="s">
        <v>285</v>
      </c>
      <c r="D9" s="13" t="s">
        <v>286</v>
      </c>
      <c r="E9" s="19" t="s">
        <v>234</v>
      </c>
      <c r="F9" s="28" t="s">
        <v>287</v>
      </c>
      <c r="G9" s="13" t="s">
        <v>274</v>
      </c>
    </row>
    <row r="10" customFormat="false" ht="33.75" hidden="false" customHeight="true" outlineLevel="0" collapsed="false">
      <c r="A10" s="18" t="s">
        <v>165</v>
      </c>
      <c r="B10" s="13" t="s">
        <v>288</v>
      </c>
      <c r="C10" s="19" t="s">
        <v>234</v>
      </c>
      <c r="D10" s="13" t="s">
        <v>164</v>
      </c>
      <c r="E10" s="19" t="s">
        <v>202</v>
      </c>
      <c r="F10" s="13" t="s">
        <v>289</v>
      </c>
      <c r="G10" s="13" t="s">
        <v>122</v>
      </c>
    </row>
    <row r="11" customFormat="false" ht="33.75" hidden="false" customHeight="true" outlineLevel="0" collapsed="false">
      <c r="A11" s="18" t="s">
        <v>290</v>
      </c>
      <c r="B11" s="13" t="s">
        <v>291</v>
      </c>
      <c r="C11" s="19" t="s">
        <v>122</v>
      </c>
      <c r="D11" s="13" t="s">
        <v>292</v>
      </c>
      <c r="E11" s="19" t="s">
        <v>234</v>
      </c>
      <c r="F11" s="13" t="s">
        <v>293</v>
      </c>
      <c r="G11" s="13" t="s">
        <v>294</v>
      </c>
    </row>
    <row r="12" customFormat="false" ht="33.75" hidden="false" customHeight="true" outlineLevel="0" collapsed="false">
      <c r="A12" s="18" t="s">
        <v>295</v>
      </c>
      <c r="B12" s="13" t="s">
        <v>296</v>
      </c>
      <c r="C12" s="19" t="s">
        <v>219</v>
      </c>
      <c r="D12" s="13" t="s">
        <v>297</v>
      </c>
      <c r="E12" s="19" t="s">
        <v>254</v>
      </c>
      <c r="F12" s="13" t="s">
        <v>122</v>
      </c>
      <c r="G12" s="13" t="s">
        <v>122</v>
      </c>
    </row>
    <row r="13" customFormat="false" ht="33.75" hidden="false" customHeight="true" outlineLevel="0" collapsed="false">
      <c r="A13" s="18" t="s">
        <v>298</v>
      </c>
      <c r="B13" s="13" t="s">
        <v>299</v>
      </c>
      <c r="C13" s="19" t="s">
        <v>219</v>
      </c>
      <c r="D13" s="13" t="s">
        <v>300</v>
      </c>
      <c r="E13" s="19" t="s">
        <v>254</v>
      </c>
      <c r="F13" s="13" t="s">
        <v>301</v>
      </c>
      <c r="G13" s="13" t="s">
        <v>302</v>
      </c>
    </row>
    <row r="15" customFormat="false" ht="39.75" hidden="false" customHeight="true" outlineLevel="0" collapsed="false">
      <c r="A15" s="24" t="s">
        <v>303</v>
      </c>
      <c r="B15" s="24"/>
      <c r="C15" s="24"/>
      <c r="D15" s="24"/>
      <c r="E15" s="24"/>
      <c r="F15" s="24"/>
      <c r="G15" s="24"/>
    </row>
  </sheetData>
  <mergeCells count="3">
    <mergeCell ref="A1:C1"/>
    <mergeCell ref="A2:G2"/>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70"/>
  </cols>
  <sheetData>
    <row r="1" customFormat="false" ht="18" hidden="false" customHeight="true" outlineLevel="0" collapsed="false">
      <c r="A1" s="11" t="s">
        <v>304</v>
      </c>
      <c r="B1" s="11"/>
      <c r="C1" s="11"/>
    </row>
    <row r="2" customFormat="false" ht="15" hidden="false" customHeight="true" outlineLevel="0" collapsed="false">
      <c r="A2" s="14" t="s">
        <v>305</v>
      </c>
      <c r="B2" s="14"/>
      <c r="C2" s="14"/>
      <c r="D2" s="14"/>
      <c r="E2" s="14"/>
      <c r="F2" s="14"/>
      <c r="G2" s="14"/>
    </row>
    <row r="4" customFormat="false" ht="25.5" hidden="false" customHeight="true" outlineLevel="0" collapsed="false">
      <c r="A4" s="15" t="s">
        <v>306</v>
      </c>
      <c r="B4" s="15" t="s">
        <v>307</v>
      </c>
      <c r="C4" s="15" t="s">
        <v>308</v>
      </c>
    </row>
    <row r="5" customFormat="false" ht="21.75" hidden="false" customHeight="true" outlineLevel="0" collapsed="false">
      <c r="A5" s="16" t="s">
        <v>309</v>
      </c>
      <c r="B5" s="18" t="s">
        <v>310</v>
      </c>
      <c r="C5" s="17" t="s">
        <v>311</v>
      </c>
    </row>
    <row r="6" customFormat="false" ht="21.75" hidden="false" customHeight="true" outlineLevel="0" collapsed="false">
      <c r="A6" s="16" t="s">
        <v>312</v>
      </c>
      <c r="B6" s="18" t="s">
        <v>313</v>
      </c>
      <c r="C6" s="17" t="s">
        <v>314</v>
      </c>
    </row>
    <row r="7" customFormat="false" ht="21.75" hidden="false" customHeight="true" outlineLevel="0" collapsed="false">
      <c r="A7" s="16" t="s">
        <v>315</v>
      </c>
      <c r="B7" s="18" t="s">
        <v>316</v>
      </c>
      <c r="C7" s="17" t="s">
        <v>317</v>
      </c>
    </row>
    <row r="8" customFormat="false" ht="21.75" hidden="false" customHeight="true" outlineLevel="0" collapsed="false">
      <c r="A8" s="16" t="s">
        <v>318</v>
      </c>
      <c r="B8" s="18" t="s">
        <v>319</v>
      </c>
      <c r="C8" s="17" t="s">
        <v>320</v>
      </c>
    </row>
    <row r="9" customFormat="false" ht="21.75" hidden="false" customHeight="true" outlineLevel="0" collapsed="false">
      <c r="A9" s="16" t="s">
        <v>321</v>
      </c>
      <c r="B9" s="18" t="s">
        <v>322</v>
      </c>
      <c r="C9" s="17" t="s">
        <v>323</v>
      </c>
    </row>
    <row r="10" customFormat="false" ht="21.75" hidden="false" customHeight="true" outlineLevel="0" collapsed="false">
      <c r="A10" s="16" t="s">
        <v>324</v>
      </c>
      <c r="B10" s="18" t="s">
        <v>325</v>
      </c>
      <c r="C10" s="17" t="s">
        <v>326</v>
      </c>
    </row>
    <row r="11" customFormat="false" ht="21.75" hidden="false" customHeight="true" outlineLevel="0" collapsed="false">
      <c r="A11" s="16" t="s">
        <v>327</v>
      </c>
      <c r="B11" s="18" t="s">
        <v>328</v>
      </c>
      <c r="C11" s="17" t="s">
        <v>329</v>
      </c>
    </row>
    <row r="12" customFormat="false" ht="21.75" hidden="false" customHeight="true" outlineLevel="0" collapsed="false">
      <c r="A12" s="16" t="s">
        <v>330</v>
      </c>
      <c r="B12" s="18" t="s">
        <v>331</v>
      </c>
      <c r="C12" s="17" t="s">
        <v>332</v>
      </c>
    </row>
    <row r="13" customFormat="false" ht="21.75" hidden="false" customHeight="true" outlineLevel="0" collapsed="false">
      <c r="A13" s="16" t="s">
        <v>333</v>
      </c>
      <c r="B13" s="18" t="s">
        <v>334</v>
      </c>
      <c r="C13" s="17" t="s">
        <v>335</v>
      </c>
    </row>
    <row r="14" customFormat="false" ht="21.75" hidden="false" customHeight="true" outlineLevel="0" collapsed="false">
      <c r="A14" s="16" t="s">
        <v>336</v>
      </c>
      <c r="B14" s="18" t="s">
        <v>337</v>
      </c>
      <c r="C14" s="17" t="s">
        <v>338</v>
      </c>
    </row>
    <row r="15" customFormat="false" ht="21.75" hidden="false" customHeight="true" outlineLevel="0" collapsed="false">
      <c r="A15" s="16" t="s">
        <v>339</v>
      </c>
      <c r="B15" s="18" t="s">
        <v>340</v>
      </c>
      <c r="C15" s="17" t="s">
        <v>341</v>
      </c>
    </row>
    <row r="16" customFormat="false" ht="21.75" hidden="false" customHeight="true" outlineLevel="0" collapsed="false">
      <c r="A16" s="16" t="s">
        <v>342</v>
      </c>
      <c r="B16" s="18" t="s">
        <v>343</v>
      </c>
      <c r="C16" s="17" t="s">
        <v>344</v>
      </c>
    </row>
    <row r="18" customFormat="false" ht="15" hidden="false" customHeight="true" outlineLevel="0" collapsed="false">
      <c r="A18" s="12" t="s">
        <v>345</v>
      </c>
      <c r="B18" s="12"/>
      <c r="C18" s="12"/>
    </row>
    <row r="19" customFormat="false" ht="24" hidden="false" customHeight="true" outlineLevel="0" collapsed="false">
      <c r="A19" s="25" t="s">
        <v>346</v>
      </c>
      <c r="B19" s="18" t="s">
        <v>347</v>
      </c>
      <c r="C19" s="17" t="s">
        <v>348</v>
      </c>
    </row>
    <row r="20" customFormat="false" ht="24" hidden="false" customHeight="true" outlineLevel="0" collapsed="false">
      <c r="A20" s="25" t="s">
        <v>346</v>
      </c>
      <c r="B20" s="18" t="s">
        <v>349</v>
      </c>
      <c r="C20" s="17" t="s">
        <v>350</v>
      </c>
    </row>
    <row r="21" customFormat="false" ht="24" hidden="false" customHeight="true" outlineLevel="0" collapsed="false">
      <c r="A21" s="25" t="s">
        <v>346</v>
      </c>
      <c r="B21" s="18" t="s">
        <v>351</v>
      </c>
      <c r="C21" s="17" t="s">
        <v>352</v>
      </c>
    </row>
    <row r="22" customFormat="false" ht="24" hidden="false" customHeight="true" outlineLevel="0" collapsed="false">
      <c r="A22" s="25" t="s">
        <v>346</v>
      </c>
      <c r="B22" s="18" t="s">
        <v>353</v>
      </c>
      <c r="C22" s="17" t="s">
        <v>354</v>
      </c>
    </row>
    <row r="23" customFormat="false" ht="24" hidden="false" customHeight="true" outlineLevel="0" collapsed="false">
      <c r="A23" s="25" t="s">
        <v>346</v>
      </c>
      <c r="B23" s="18" t="s">
        <v>355</v>
      </c>
      <c r="C23" s="17" t="s">
        <v>356</v>
      </c>
    </row>
    <row r="25" customFormat="false" ht="15" hidden="false" customHeight="true" outlineLevel="0" collapsed="false">
      <c r="A25" s="9" t="s">
        <v>357</v>
      </c>
      <c r="B25" s="9"/>
      <c r="C25" s="9"/>
    </row>
    <row r="26" customFormat="false" ht="31.5" hidden="false" customHeight="true" outlineLevel="0" collapsed="false">
      <c r="A26" s="25" t="s">
        <v>358</v>
      </c>
      <c r="B26" s="18" t="s">
        <v>359</v>
      </c>
      <c r="C26" s="13" t="s">
        <v>360</v>
      </c>
    </row>
    <row r="27" customFormat="false" ht="48" hidden="false" customHeight="true" outlineLevel="0" collapsed="false">
      <c r="A27" s="25" t="s">
        <v>358</v>
      </c>
      <c r="B27" s="18" t="s">
        <v>361</v>
      </c>
      <c r="C27" s="13" t="s">
        <v>362</v>
      </c>
    </row>
    <row r="28" customFormat="false" ht="144" hidden="false" customHeight="true" outlineLevel="0" collapsed="false">
      <c r="A28" s="25" t="s">
        <v>358</v>
      </c>
      <c r="B28" s="18" t="s">
        <v>363</v>
      </c>
      <c r="C28" s="13" t="s">
        <v>364</v>
      </c>
    </row>
    <row r="29" customFormat="false" ht="48" hidden="false" customHeight="true" outlineLevel="0" collapsed="false">
      <c r="A29" s="25" t="s">
        <v>358</v>
      </c>
      <c r="B29" s="18" t="s">
        <v>365</v>
      </c>
      <c r="C29" s="13" t="s">
        <v>366</v>
      </c>
    </row>
    <row r="30" customFormat="false" ht="31.5" hidden="false" customHeight="true" outlineLevel="0" collapsed="false">
      <c r="A30" s="25" t="s">
        <v>358</v>
      </c>
      <c r="B30" s="18" t="s">
        <v>328</v>
      </c>
      <c r="C30" s="13" t="s">
        <v>367</v>
      </c>
    </row>
    <row r="31" customFormat="false" ht="48" hidden="false" customHeight="true" outlineLevel="0" collapsed="false">
      <c r="A31" s="25" t="s">
        <v>358</v>
      </c>
      <c r="B31" s="18" t="s">
        <v>368</v>
      </c>
      <c r="C31" s="13" t="s">
        <v>369</v>
      </c>
    </row>
    <row r="32" customFormat="false" ht="48" hidden="false" customHeight="true" outlineLevel="0" collapsed="false">
      <c r="A32" s="25" t="s">
        <v>358</v>
      </c>
      <c r="B32" s="18" t="s">
        <v>370</v>
      </c>
      <c r="C32" s="13" t="s">
        <v>371</v>
      </c>
    </row>
    <row r="33" customFormat="false" ht="31.5" hidden="false" customHeight="true" outlineLevel="0" collapsed="false">
      <c r="A33" s="25" t="s">
        <v>358</v>
      </c>
      <c r="B33" s="18" t="s">
        <v>343</v>
      </c>
      <c r="C33" s="13" t="s">
        <v>372</v>
      </c>
    </row>
    <row r="34" customFormat="false" ht="63.75" hidden="false" customHeight="true" outlineLevel="0" collapsed="false">
      <c r="A34" s="25" t="s">
        <v>358</v>
      </c>
      <c r="B34" s="18" t="s">
        <v>373</v>
      </c>
      <c r="C34" s="13" t="s">
        <v>374</v>
      </c>
    </row>
  </sheetData>
  <mergeCells count="4">
    <mergeCell ref="A1:C1"/>
    <mergeCell ref="A2:G2"/>
    <mergeCell ref="A18:C18"/>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34"/>
    <col collapsed="false" customWidth="true" hidden="false" outlineLevel="0" max="4" min="4" style="1" width="20"/>
    <col collapsed="false" customWidth="true" hidden="false" outlineLevel="0" max="5" min="5" style="1" width="40"/>
  </cols>
  <sheetData>
    <row r="1" customFormat="false" ht="18" hidden="false" customHeight="true" outlineLevel="0" collapsed="false">
      <c r="A1" s="11" t="s">
        <v>375</v>
      </c>
      <c r="B1" s="11"/>
      <c r="C1" s="11"/>
    </row>
    <row r="2" customFormat="false" ht="15" hidden="false" customHeight="true" outlineLevel="0" collapsed="false">
      <c r="A2" s="14" t="s">
        <v>376</v>
      </c>
      <c r="B2" s="14"/>
      <c r="C2" s="14"/>
      <c r="D2" s="14"/>
      <c r="E2" s="14"/>
      <c r="F2" s="14"/>
      <c r="G2" s="14"/>
    </row>
    <row r="4" customFormat="false" ht="25.5" hidden="false" customHeight="true" outlineLevel="0" collapsed="false">
      <c r="A4" s="15" t="s">
        <v>186</v>
      </c>
      <c r="B4" s="15" t="s">
        <v>183</v>
      </c>
      <c r="C4" s="15" t="s">
        <v>377</v>
      </c>
      <c r="D4" s="15" t="s">
        <v>378</v>
      </c>
      <c r="E4" s="15" t="s">
        <v>379</v>
      </c>
    </row>
    <row r="5" customFormat="false" ht="36" hidden="false" customHeight="true" outlineLevel="0" collapsed="false">
      <c r="A5" s="16" t="s">
        <v>219</v>
      </c>
      <c r="B5" s="18" t="s">
        <v>380</v>
      </c>
      <c r="C5" s="13" t="s">
        <v>381</v>
      </c>
      <c r="D5" s="29" t="s">
        <v>382</v>
      </c>
      <c r="E5" s="17" t="s">
        <v>383</v>
      </c>
    </row>
    <row r="6" customFormat="false" ht="36" hidden="false" customHeight="true" outlineLevel="0" collapsed="false">
      <c r="A6" s="16" t="s">
        <v>254</v>
      </c>
      <c r="B6" s="18" t="s">
        <v>384</v>
      </c>
      <c r="C6" s="13" t="s">
        <v>385</v>
      </c>
      <c r="D6" s="29" t="s">
        <v>386</v>
      </c>
      <c r="E6" s="17" t="s">
        <v>387</v>
      </c>
    </row>
    <row r="7" customFormat="false" ht="36" hidden="false" customHeight="true" outlineLevel="0" collapsed="false">
      <c r="A7" s="16" t="s">
        <v>234</v>
      </c>
      <c r="B7" s="18" t="s">
        <v>388</v>
      </c>
      <c r="C7" s="13" t="s">
        <v>389</v>
      </c>
      <c r="D7" s="29" t="s">
        <v>386</v>
      </c>
      <c r="E7" s="17" t="s">
        <v>390</v>
      </c>
    </row>
    <row r="8" customFormat="false" ht="36" hidden="false" customHeight="true" outlineLevel="0" collapsed="false">
      <c r="A8" s="16" t="s">
        <v>202</v>
      </c>
      <c r="B8" s="18" t="s">
        <v>391</v>
      </c>
      <c r="C8" s="13" t="s">
        <v>392</v>
      </c>
      <c r="D8" s="29" t="s">
        <v>386</v>
      </c>
      <c r="E8" s="17" t="s">
        <v>393</v>
      </c>
    </row>
    <row r="9" customFormat="false" ht="36" hidden="false" customHeight="true" outlineLevel="0" collapsed="false">
      <c r="A9" s="16" t="s">
        <v>194</v>
      </c>
      <c r="B9" s="18" t="s">
        <v>118</v>
      </c>
      <c r="C9" s="13" t="s">
        <v>394</v>
      </c>
      <c r="D9" s="29" t="s">
        <v>395</v>
      </c>
      <c r="E9" s="17" t="s">
        <v>396</v>
      </c>
    </row>
    <row r="11" customFormat="false" ht="79.5" hidden="false" customHeight="true" outlineLevel="0" collapsed="false">
      <c r="A11" s="25" t="s">
        <v>358</v>
      </c>
      <c r="B11" s="18" t="s">
        <v>397</v>
      </c>
      <c r="C11" s="30" t="s">
        <v>398</v>
      </c>
      <c r="D11" s="30"/>
      <c r="E11" s="30"/>
    </row>
    <row r="12" customFormat="false" ht="63.75" hidden="false" customHeight="true" outlineLevel="0" collapsed="false">
      <c r="A12" s="25" t="s">
        <v>358</v>
      </c>
      <c r="B12" s="18" t="s">
        <v>399</v>
      </c>
      <c r="C12" s="30" t="s">
        <v>400</v>
      </c>
      <c r="D12" s="30"/>
      <c r="E12" s="30"/>
    </row>
    <row r="13" customFormat="false" ht="63.75" hidden="false" customHeight="true" outlineLevel="0" collapsed="false">
      <c r="A13" s="25" t="s">
        <v>358</v>
      </c>
      <c r="B13" s="18" t="s">
        <v>401</v>
      </c>
      <c r="C13" s="30" t="s">
        <v>402</v>
      </c>
      <c r="D13" s="30"/>
      <c r="E13" s="30"/>
    </row>
    <row r="14" customFormat="false" ht="79.5" hidden="false" customHeight="true" outlineLevel="0" collapsed="false">
      <c r="A14" s="25" t="s">
        <v>358</v>
      </c>
      <c r="B14" s="18" t="s">
        <v>403</v>
      </c>
      <c r="C14" s="30" t="s">
        <v>404</v>
      </c>
      <c r="D14" s="30"/>
      <c r="E14" s="30"/>
    </row>
    <row r="15" customFormat="false" ht="31.5" hidden="false" customHeight="true" outlineLevel="0" collapsed="false">
      <c r="A15" s="25" t="s">
        <v>358</v>
      </c>
      <c r="B15" s="18" t="s">
        <v>405</v>
      </c>
      <c r="C15" s="30" t="s">
        <v>406</v>
      </c>
      <c r="D15" s="30"/>
      <c r="E15" s="30"/>
    </row>
  </sheetData>
  <mergeCells count="7">
    <mergeCell ref="A1:C1"/>
    <mergeCell ref="A2:G2"/>
    <mergeCell ref="C11:E11"/>
    <mergeCell ref="C12:E12"/>
    <mergeCell ref="C13:E13"/>
    <mergeCell ref="C14:E14"/>
    <mergeCell ref="C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10"/>
    <col collapsed="false" customWidth="true" hidden="false" outlineLevel="0" max="4" min="4" style="1" width="28"/>
    <col collapsed="false" customWidth="true" hidden="false" outlineLevel="0" max="5" min="5" style="1" width="18"/>
    <col collapsed="false" customWidth="true" hidden="false" outlineLevel="0" max="6" min="6" style="1" width="32"/>
    <col collapsed="false" customWidth="true" hidden="false" outlineLevel="0" max="7" min="7" style="1" width="20"/>
  </cols>
  <sheetData>
    <row r="1" customFormat="false" ht="18" hidden="false" customHeight="true" outlineLevel="0" collapsed="false">
      <c r="A1" s="11" t="s">
        <v>407</v>
      </c>
      <c r="B1" s="11"/>
      <c r="C1" s="11"/>
    </row>
    <row r="2" customFormat="false" ht="15" hidden="false" customHeight="true" outlineLevel="0" collapsed="false">
      <c r="A2" s="14" t="s">
        <v>408</v>
      </c>
      <c r="B2" s="14"/>
      <c r="C2" s="14"/>
      <c r="D2" s="14"/>
      <c r="E2" s="14"/>
      <c r="F2" s="14"/>
      <c r="G2" s="14"/>
    </row>
    <row r="4" customFormat="false" ht="25.5" hidden="false" customHeight="true" outlineLevel="0" collapsed="false">
      <c r="A4" s="15" t="s">
        <v>409</v>
      </c>
      <c r="B4" s="15" t="s">
        <v>410</v>
      </c>
      <c r="C4" s="15" t="s">
        <v>411</v>
      </c>
      <c r="D4" s="15" t="s">
        <v>412</v>
      </c>
      <c r="E4" s="15" t="s">
        <v>413</v>
      </c>
      <c r="F4" s="15" t="s">
        <v>414</v>
      </c>
      <c r="G4" s="15" t="s">
        <v>415</v>
      </c>
    </row>
    <row r="5" customFormat="false" ht="61.5" hidden="false" customHeight="true" outlineLevel="0" collapsed="false">
      <c r="A5" s="16" t="s">
        <v>416</v>
      </c>
      <c r="B5" s="13" t="s">
        <v>417</v>
      </c>
      <c r="C5" s="13" t="s">
        <v>418</v>
      </c>
      <c r="D5" s="13" t="s">
        <v>419</v>
      </c>
      <c r="E5" s="13" t="s">
        <v>420</v>
      </c>
      <c r="F5" s="17" t="s">
        <v>421</v>
      </c>
      <c r="G5" s="13" t="s">
        <v>422</v>
      </c>
    </row>
    <row r="6" customFormat="false" ht="61.5" hidden="false" customHeight="true" outlineLevel="0" collapsed="false">
      <c r="A6" s="16" t="s">
        <v>423</v>
      </c>
      <c r="B6" s="13" t="s">
        <v>424</v>
      </c>
      <c r="C6" s="13" t="s">
        <v>124</v>
      </c>
      <c r="D6" s="13" t="s">
        <v>425</v>
      </c>
      <c r="E6" s="13" t="s">
        <v>426</v>
      </c>
      <c r="F6" s="17" t="s">
        <v>427</v>
      </c>
      <c r="G6" s="13" t="s">
        <v>428</v>
      </c>
    </row>
    <row r="7" customFormat="false" ht="61.5" hidden="false" customHeight="true" outlineLevel="0" collapsed="false">
      <c r="A7" s="16" t="s">
        <v>429</v>
      </c>
      <c r="B7" s="13" t="s">
        <v>430</v>
      </c>
      <c r="C7" s="13" t="s">
        <v>431</v>
      </c>
      <c r="D7" s="13" t="s">
        <v>432</v>
      </c>
      <c r="E7" s="13" t="s">
        <v>433</v>
      </c>
      <c r="F7" s="17" t="s">
        <v>434</v>
      </c>
      <c r="G7" s="13" t="s">
        <v>435</v>
      </c>
    </row>
    <row r="8" customFormat="false" ht="61.5" hidden="false" customHeight="true" outlineLevel="0" collapsed="false">
      <c r="A8" s="16" t="s">
        <v>436</v>
      </c>
      <c r="B8" s="13" t="s">
        <v>437</v>
      </c>
      <c r="C8" s="13" t="s">
        <v>438</v>
      </c>
      <c r="D8" s="13" t="s">
        <v>439</v>
      </c>
      <c r="E8" s="13" t="s">
        <v>440</v>
      </c>
      <c r="F8" s="17" t="s">
        <v>441</v>
      </c>
      <c r="G8" s="13" t="s">
        <v>442</v>
      </c>
    </row>
    <row r="9" customFormat="false" ht="61.5" hidden="false" customHeight="true" outlineLevel="0" collapsed="false">
      <c r="A9" s="16" t="s">
        <v>443</v>
      </c>
      <c r="B9" s="13" t="s">
        <v>444</v>
      </c>
      <c r="C9" s="13" t="s">
        <v>438</v>
      </c>
      <c r="D9" s="13" t="s">
        <v>445</v>
      </c>
      <c r="E9" s="13" t="s">
        <v>446</v>
      </c>
      <c r="F9" s="17" t="s">
        <v>447</v>
      </c>
      <c r="G9" s="13" t="s">
        <v>448</v>
      </c>
    </row>
    <row r="10" customFormat="false" ht="61.5" hidden="false" customHeight="true" outlineLevel="0" collapsed="false">
      <c r="A10" s="16" t="s">
        <v>449</v>
      </c>
      <c r="B10" s="13" t="s">
        <v>450</v>
      </c>
      <c r="C10" s="13" t="s">
        <v>124</v>
      </c>
      <c r="D10" s="13" t="s">
        <v>451</v>
      </c>
      <c r="E10" s="13" t="s">
        <v>452</v>
      </c>
      <c r="F10" s="17" t="s">
        <v>453</v>
      </c>
      <c r="G10" s="13" t="s">
        <v>454</v>
      </c>
    </row>
    <row r="11" customFormat="false" ht="61.5" hidden="false" customHeight="true" outlineLevel="0" collapsed="false">
      <c r="A11" s="16" t="s">
        <v>455</v>
      </c>
      <c r="B11" s="13" t="s">
        <v>456</v>
      </c>
      <c r="C11" s="13" t="s">
        <v>124</v>
      </c>
      <c r="D11" s="13" t="s">
        <v>457</v>
      </c>
      <c r="E11" s="13" t="s">
        <v>458</v>
      </c>
      <c r="F11" s="17" t="s">
        <v>459</v>
      </c>
      <c r="G11" s="13" t="s">
        <v>460</v>
      </c>
    </row>
    <row r="12" customFormat="false" ht="61.5" hidden="false" customHeight="true" outlineLevel="0" collapsed="false">
      <c r="A12" s="16" t="s">
        <v>461</v>
      </c>
      <c r="B12" s="13" t="s">
        <v>462</v>
      </c>
      <c r="C12" s="13" t="s">
        <v>463</v>
      </c>
      <c r="D12" s="13" t="s">
        <v>464</v>
      </c>
      <c r="E12" s="13" t="s">
        <v>465</v>
      </c>
      <c r="F12" s="17" t="s">
        <v>466</v>
      </c>
      <c r="G12" s="13" t="s">
        <v>467</v>
      </c>
    </row>
    <row r="13" customFormat="false" ht="61.5" hidden="false" customHeight="true" outlineLevel="0" collapsed="false">
      <c r="A13" s="16" t="s">
        <v>468</v>
      </c>
      <c r="B13" s="13" t="s">
        <v>469</v>
      </c>
      <c r="C13" s="13" t="s">
        <v>470</v>
      </c>
      <c r="D13" s="13" t="s">
        <v>471</v>
      </c>
      <c r="E13" s="13" t="s">
        <v>472</v>
      </c>
      <c r="F13" s="17" t="s">
        <v>473</v>
      </c>
      <c r="G13" s="13" t="s">
        <v>474</v>
      </c>
    </row>
    <row r="14" customFormat="false" ht="61.5" hidden="false" customHeight="true" outlineLevel="0" collapsed="false">
      <c r="A14" s="16" t="s">
        <v>475</v>
      </c>
      <c r="B14" s="13" t="s">
        <v>476</v>
      </c>
      <c r="C14" s="13" t="s">
        <v>477</v>
      </c>
      <c r="D14" s="13" t="s">
        <v>478</v>
      </c>
      <c r="E14" s="13" t="s">
        <v>479</v>
      </c>
      <c r="F14" s="17" t="s">
        <v>480</v>
      </c>
      <c r="G14" s="13" t="s">
        <v>481</v>
      </c>
    </row>
    <row r="15" customFormat="false" ht="61.5" hidden="false" customHeight="true" outlineLevel="0" collapsed="false">
      <c r="A15" s="16" t="s">
        <v>482</v>
      </c>
      <c r="B15" s="13" t="s">
        <v>483</v>
      </c>
      <c r="C15" s="13" t="s">
        <v>477</v>
      </c>
      <c r="D15" s="13" t="s">
        <v>484</v>
      </c>
      <c r="E15" s="13" t="s">
        <v>485</v>
      </c>
      <c r="F15" s="17" t="s">
        <v>486</v>
      </c>
      <c r="G15" s="13" t="s">
        <v>487</v>
      </c>
    </row>
    <row r="16" customFormat="false" ht="61.5" hidden="false" customHeight="true" outlineLevel="0" collapsed="false">
      <c r="A16" s="16" t="s">
        <v>488</v>
      </c>
      <c r="B16" s="13" t="s">
        <v>489</v>
      </c>
      <c r="C16" s="13" t="s">
        <v>477</v>
      </c>
      <c r="D16" s="13" t="s">
        <v>490</v>
      </c>
      <c r="E16" s="13" t="s">
        <v>491</v>
      </c>
      <c r="F16" s="17" t="s">
        <v>492</v>
      </c>
      <c r="G16" s="13" t="s">
        <v>493</v>
      </c>
    </row>
    <row r="17" customFormat="false" ht="61.5" hidden="false" customHeight="true" outlineLevel="0" collapsed="false">
      <c r="A17" s="16" t="s">
        <v>494</v>
      </c>
      <c r="B17" s="13" t="s">
        <v>495</v>
      </c>
      <c r="C17" s="13" t="s">
        <v>124</v>
      </c>
      <c r="D17" s="13" t="s">
        <v>496</v>
      </c>
      <c r="E17" s="13" t="s">
        <v>497</v>
      </c>
      <c r="F17" s="17" t="s">
        <v>498</v>
      </c>
      <c r="G17" s="13" t="s">
        <v>499</v>
      </c>
    </row>
    <row r="18" customFormat="false" ht="61.5" hidden="false" customHeight="true" outlineLevel="0" collapsed="false">
      <c r="A18" s="16" t="s">
        <v>500</v>
      </c>
      <c r="B18" s="13" t="s">
        <v>501</v>
      </c>
      <c r="C18" s="13" t="s">
        <v>124</v>
      </c>
      <c r="D18" s="13" t="s">
        <v>502</v>
      </c>
      <c r="E18" s="13" t="s">
        <v>503</v>
      </c>
      <c r="F18" s="17" t="s">
        <v>504</v>
      </c>
      <c r="G18" s="13" t="s">
        <v>505</v>
      </c>
    </row>
  </sheetData>
  <mergeCells count="2">
    <mergeCell ref="A1:C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6"/>
  </cols>
  <sheetData>
    <row r="1" customFormat="false" ht="18" hidden="false" customHeight="true" outlineLevel="0" collapsed="false">
      <c r="A1" s="11" t="s">
        <v>506</v>
      </c>
      <c r="B1" s="11"/>
      <c r="C1" s="11"/>
    </row>
    <row r="2" customFormat="false" ht="15" hidden="false" customHeight="true" outlineLevel="0" collapsed="false">
      <c r="A2" s="14" t="s">
        <v>507</v>
      </c>
      <c r="B2" s="14"/>
      <c r="C2" s="14"/>
      <c r="D2" s="14"/>
      <c r="E2" s="14"/>
      <c r="F2" s="14"/>
      <c r="G2" s="14"/>
    </row>
    <row r="4" customFormat="false" ht="25.5" hidden="false" customHeight="true" outlineLevel="0" collapsed="false">
      <c r="A4" s="15" t="s">
        <v>508</v>
      </c>
      <c r="B4" s="15" t="s">
        <v>509</v>
      </c>
    </row>
    <row r="5" customFormat="false" ht="118.5" hidden="false" customHeight="true" outlineLevel="0" collapsed="false">
      <c r="A5" s="18" t="s">
        <v>510</v>
      </c>
      <c r="B5" s="13" t="s">
        <v>511</v>
      </c>
    </row>
    <row r="6" customFormat="false" ht="118.5" hidden="false" customHeight="true" outlineLevel="0" collapsed="false">
      <c r="A6" s="18" t="s">
        <v>512</v>
      </c>
      <c r="B6" s="13" t="s">
        <v>513</v>
      </c>
    </row>
    <row r="7" customFormat="false" ht="67.5" hidden="false" customHeight="true" outlineLevel="0" collapsed="false">
      <c r="A7" s="18" t="s">
        <v>514</v>
      </c>
      <c r="B7" s="13" t="s">
        <v>515</v>
      </c>
    </row>
    <row r="8" customFormat="false" ht="135.75" hidden="false" customHeight="true" outlineLevel="0" collapsed="false">
      <c r="A8" s="18" t="s">
        <v>516</v>
      </c>
      <c r="B8" s="13" t="s">
        <v>517</v>
      </c>
    </row>
    <row r="9" customFormat="false" ht="67.5" hidden="false" customHeight="true" outlineLevel="0" collapsed="false">
      <c r="A9" s="18" t="s">
        <v>518</v>
      </c>
      <c r="B9" s="13" t="s">
        <v>519</v>
      </c>
    </row>
  </sheetData>
  <mergeCells count="2">
    <mergeCell ref="A1:C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6"/>
    <col collapsed="false" customWidth="true" hidden="false" outlineLevel="0" max="4" min="4" style="1" width="44"/>
    <col collapsed="false" customWidth="true" hidden="false" outlineLevel="0" max="5" min="5" style="1" width="14"/>
  </cols>
  <sheetData>
    <row r="1" customFormat="false" ht="18" hidden="false" customHeight="true" outlineLevel="0" collapsed="false">
      <c r="A1" s="11" t="s">
        <v>520</v>
      </c>
      <c r="B1" s="11"/>
      <c r="C1" s="11"/>
    </row>
    <row r="2" customFormat="false" ht="15" hidden="false" customHeight="true" outlineLevel="0" collapsed="false">
      <c r="A2" s="14" t="s">
        <v>521</v>
      </c>
      <c r="B2" s="14"/>
      <c r="C2" s="14"/>
      <c r="D2" s="14"/>
      <c r="E2" s="14"/>
      <c r="F2" s="14"/>
      <c r="G2" s="14"/>
    </row>
    <row r="4" customFormat="false" ht="25.5" hidden="false" customHeight="true" outlineLevel="0" collapsed="false">
      <c r="A4" s="15" t="s">
        <v>522</v>
      </c>
      <c r="B4" s="15" t="s">
        <v>523</v>
      </c>
      <c r="C4" s="15" t="s">
        <v>524</v>
      </c>
      <c r="D4" s="15" t="s">
        <v>525</v>
      </c>
      <c r="E4" s="15" t="s">
        <v>526</v>
      </c>
    </row>
    <row r="5" customFormat="false" ht="33.75" hidden="false" customHeight="true" outlineLevel="0" collapsed="false">
      <c r="A5" s="18" t="s">
        <v>527</v>
      </c>
      <c r="B5" s="21" t="s">
        <v>528</v>
      </c>
      <c r="C5" s="21" t="s">
        <v>528</v>
      </c>
      <c r="D5" s="13" t="s">
        <v>529</v>
      </c>
      <c r="E5" s="19" t="s">
        <v>119</v>
      </c>
    </row>
    <row r="6" customFormat="false" ht="33.75" hidden="false" customHeight="true" outlineLevel="0" collapsed="false">
      <c r="A6" s="18" t="s">
        <v>530</v>
      </c>
      <c r="B6" s="22" t="s">
        <v>531</v>
      </c>
      <c r="C6" s="21" t="s">
        <v>528</v>
      </c>
      <c r="D6" s="13" t="s">
        <v>532</v>
      </c>
      <c r="E6" s="19" t="s">
        <v>124</v>
      </c>
    </row>
    <row r="7" customFormat="false" ht="33.75" hidden="false" customHeight="true" outlineLevel="0" collapsed="false">
      <c r="A7" s="18" t="s">
        <v>533</v>
      </c>
      <c r="B7" s="22" t="s">
        <v>531</v>
      </c>
      <c r="C7" s="22" t="s">
        <v>531</v>
      </c>
      <c r="D7" s="13" t="s">
        <v>534</v>
      </c>
      <c r="E7" s="19" t="s">
        <v>535</v>
      </c>
    </row>
    <row r="8" customFormat="false" ht="33.75" hidden="false" customHeight="true" outlineLevel="0" collapsed="false">
      <c r="A8" s="18" t="s">
        <v>536</v>
      </c>
      <c r="B8" s="22" t="s">
        <v>531</v>
      </c>
      <c r="C8" s="22" t="s">
        <v>531</v>
      </c>
      <c r="D8" s="13" t="s">
        <v>537</v>
      </c>
      <c r="E8" s="19" t="s">
        <v>470</v>
      </c>
    </row>
    <row r="9" customFormat="false" ht="33.75" hidden="false" customHeight="true" outlineLevel="0" collapsed="false">
      <c r="A9" s="18" t="s">
        <v>538</v>
      </c>
      <c r="B9" s="22" t="s">
        <v>531</v>
      </c>
      <c r="C9" s="22" t="s">
        <v>531</v>
      </c>
      <c r="D9" s="13" t="s">
        <v>539</v>
      </c>
      <c r="E9" s="19" t="s">
        <v>535</v>
      </c>
    </row>
    <row r="10" customFormat="false" ht="33.75" hidden="false" customHeight="true" outlineLevel="0" collapsed="false">
      <c r="A10" s="18" t="s">
        <v>540</v>
      </c>
      <c r="B10" s="22" t="s">
        <v>531</v>
      </c>
      <c r="C10" s="21" t="s">
        <v>528</v>
      </c>
      <c r="D10" s="13" t="s">
        <v>541</v>
      </c>
      <c r="E10" s="19" t="s">
        <v>124</v>
      </c>
    </row>
    <row r="11" customFormat="false" ht="33.75" hidden="false" customHeight="true" outlineLevel="0" collapsed="false">
      <c r="A11" s="18" t="s">
        <v>542</v>
      </c>
      <c r="B11" s="22" t="s">
        <v>531</v>
      </c>
      <c r="C11" s="21" t="s">
        <v>528</v>
      </c>
      <c r="D11" s="13" t="s">
        <v>543</v>
      </c>
      <c r="E11" s="19" t="s">
        <v>124</v>
      </c>
    </row>
    <row r="12" customFormat="false" ht="33.75" hidden="false" customHeight="true" outlineLevel="0" collapsed="false">
      <c r="A12" s="18" t="s">
        <v>544</v>
      </c>
      <c r="B12" s="22" t="s">
        <v>531</v>
      </c>
      <c r="C12" s="22" t="s">
        <v>531</v>
      </c>
      <c r="D12" s="13" t="s">
        <v>545</v>
      </c>
      <c r="E12" s="19" t="s">
        <v>546</v>
      </c>
    </row>
    <row r="13" customFormat="false" ht="33.75" hidden="false" customHeight="true" outlineLevel="0" collapsed="false">
      <c r="A13" s="18" t="s">
        <v>547</v>
      </c>
      <c r="B13" s="20" t="s">
        <v>523</v>
      </c>
      <c r="C13" s="21" t="s">
        <v>528</v>
      </c>
      <c r="D13" s="13" t="s">
        <v>548</v>
      </c>
      <c r="E13" s="19" t="s">
        <v>124</v>
      </c>
    </row>
    <row r="14" customFormat="false" ht="33.75" hidden="false" customHeight="true" outlineLevel="0" collapsed="false">
      <c r="A14" s="18" t="s">
        <v>549</v>
      </c>
      <c r="B14" s="22" t="s">
        <v>531</v>
      </c>
      <c r="C14" s="21" t="s">
        <v>528</v>
      </c>
      <c r="D14" s="13" t="s">
        <v>550</v>
      </c>
      <c r="E14" s="19" t="s">
        <v>551</v>
      </c>
    </row>
  </sheetData>
  <mergeCells count="2">
    <mergeCell ref="A1:C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8"/>
    <col collapsed="false" customWidth="true" hidden="false" outlineLevel="0" max="3" min="3" style="1" width="34"/>
    <col collapsed="false" customWidth="true" hidden="false" outlineLevel="0" max="4" min="4" style="1" width="12"/>
  </cols>
  <sheetData>
    <row r="1" customFormat="false" ht="18" hidden="false" customHeight="true" outlineLevel="0" collapsed="false">
      <c r="A1" s="11" t="s">
        <v>552</v>
      </c>
      <c r="B1" s="11"/>
      <c r="C1" s="11"/>
    </row>
    <row r="2" customFormat="false" ht="15" hidden="false" customHeight="true" outlineLevel="0" collapsed="false">
      <c r="A2" s="14" t="s">
        <v>553</v>
      </c>
      <c r="B2" s="14"/>
      <c r="C2" s="14"/>
      <c r="D2" s="14"/>
      <c r="E2" s="14"/>
      <c r="F2" s="14"/>
      <c r="G2" s="14"/>
    </row>
    <row r="4" customFormat="false" ht="25.5" hidden="false" customHeight="true" outlineLevel="0" collapsed="false">
      <c r="A4" s="15" t="s">
        <v>554</v>
      </c>
      <c r="B4" s="15" t="s">
        <v>555</v>
      </c>
      <c r="C4" s="15" t="s">
        <v>556</v>
      </c>
      <c r="D4" s="15" t="s">
        <v>12</v>
      </c>
    </row>
    <row r="5" customFormat="false" ht="45.75" hidden="false" customHeight="true" outlineLevel="0" collapsed="false">
      <c r="A5" s="18" t="s">
        <v>535</v>
      </c>
      <c r="B5" s="13" t="s">
        <v>557</v>
      </c>
      <c r="C5" s="13" t="s">
        <v>558</v>
      </c>
      <c r="D5" s="21" t="s">
        <v>559</v>
      </c>
    </row>
    <row r="6" customFormat="false" ht="45.75" hidden="false" customHeight="true" outlineLevel="0" collapsed="false">
      <c r="A6" s="18" t="s">
        <v>560</v>
      </c>
      <c r="B6" s="13" t="s">
        <v>561</v>
      </c>
      <c r="C6" s="13" t="s">
        <v>562</v>
      </c>
      <c r="D6" s="23" t="s">
        <v>563</v>
      </c>
    </row>
    <row r="7" customFormat="false" ht="45.75" hidden="false" customHeight="true" outlineLevel="0" collapsed="false">
      <c r="A7" s="18" t="s">
        <v>165</v>
      </c>
      <c r="B7" s="13" t="s">
        <v>564</v>
      </c>
      <c r="C7" s="13" t="s">
        <v>565</v>
      </c>
      <c r="D7" s="23" t="s">
        <v>563</v>
      </c>
    </row>
    <row r="8" customFormat="false" ht="45.75" hidden="false" customHeight="true" outlineLevel="0" collapsed="false">
      <c r="A8" s="18" t="s">
        <v>566</v>
      </c>
      <c r="B8" s="13" t="s">
        <v>567</v>
      </c>
      <c r="C8" s="13" t="s">
        <v>568</v>
      </c>
      <c r="D8" s="23" t="s">
        <v>563</v>
      </c>
    </row>
    <row r="9" customFormat="false" ht="45.75" hidden="false" customHeight="true" outlineLevel="0" collapsed="false">
      <c r="A9" s="18" t="s">
        <v>175</v>
      </c>
      <c r="B9" s="13" t="s">
        <v>569</v>
      </c>
      <c r="C9" s="13" t="s">
        <v>570</v>
      </c>
      <c r="D9" s="21" t="s">
        <v>559</v>
      </c>
    </row>
    <row r="10" customFormat="false" ht="45.75" hidden="false" customHeight="true" outlineLevel="0" collapsed="false">
      <c r="A10" s="18" t="s">
        <v>571</v>
      </c>
      <c r="B10" s="13" t="s">
        <v>572</v>
      </c>
      <c r="C10" s="13" t="s">
        <v>573</v>
      </c>
      <c r="D10" s="23" t="s">
        <v>563</v>
      </c>
    </row>
    <row r="11" customFormat="false" ht="45.75" hidden="false" customHeight="true" outlineLevel="0" collapsed="false">
      <c r="A11" s="18" t="s">
        <v>574</v>
      </c>
      <c r="B11" s="13" t="s">
        <v>575</v>
      </c>
      <c r="C11" s="13" t="s">
        <v>576</v>
      </c>
      <c r="D11" s="23" t="s">
        <v>563</v>
      </c>
    </row>
  </sheetData>
  <mergeCells count="2">
    <mergeCell ref="A1:C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42"/>
    <col collapsed="false" customWidth="true" hidden="false" outlineLevel="0" max="4" min="4" style="1" width="38"/>
    <col collapsed="false" customWidth="true" hidden="false" outlineLevel="0" max="5" min="5" style="1" width="4"/>
  </cols>
  <sheetData>
    <row r="1" customFormat="false" ht="18" hidden="false" customHeight="true" outlineLevel="0" collapsed="false">
      <c r="A1" s="11" t="s">
        <v>577</v>
      </c>
      <c r="B1" s="11"/>
      <c r="C1" s="11"/>
    </row>
    <row r="2" customFormat="false" ht="15" hidden="false" customHeight="true" outlineLevel="0" collapsed="false">
      <c r="A2" s="14" t="s">
        <v>578</v>
      </c>
      <c r="B2" s="14"/>
      <c r="C2" s="14"/>
      <c r="D2" s="14"/>
      <c r="E2" s="14"/>
      <c r="F2" s="14"/>
      <c r="G2" s="14"/>
    </row>
    <row r="4" customFormat="false" ht="27.75" hidden="false" customHeight="true" outlineLevel="0" collapsed="false">
      <c r="A4" s="18" t="s">
        <v>579</v>
      </c>
      <c r="B4" s="22" t="n">
        <f aca="false">COUNTIF('03 · ORG &amp; HAT MAP'!E5:E21,"ACTING")</f>
        <v>5</v>
      </c>
      <c r="C4" s="18" t="s">
        <v>580</v>
      </c>
      <c r="D4" s="21" t="n">
        <f aca="false">COUNTIF('03 · ORG &amp; HAT MAP'!E5:E21,"VACANT")</f>
        <v>4</v>
      </c>
    </row>
    <row r="5" customFormat="false" ht="27.75" hidden="false" customHeight="true" outlineLevel="0" collapsed="false">
      <c r="A5" s="18" t="s">
        <v>581</v>
      </c>
      <c r="B5" s="21" t="n">
        <f aca="false">COUNTIF('04 · STAFF REGISTER'!J5:J15,"VACANT")</f>
        <v>1</v>
      </c>
      <c r="C5" s="18" t="s">
        <v>582</v>
      </c>
      <c r="D5" s="20" t="n">
        <f aca="false">COUNTIF('03 · ORG &amp; HAT MAP'!E5:E21,"SUBSTANTIVE")</f>
        <v>6</v>
      </c>
    </row>
    <row r="7" customFormat="false" ht="25.5" hidden="false" customHeight="true" outlineLevel="0" collapsed="false">
      <c r="A7" s="15" t="s">
        <v>583</v>
      </c>
      <c r="B7" s="15" t="s">
        <v>584</v>
      </c>
      <c r="C7" s="15" t="s">
        <v>585</v>
      </c>
      <c r="D7" s="15" t="s">
        <v>586</v>
      </c>
      <c r="E7" s="15"/>
    </row>
    <row r="8" customFormat="false" ht="37.5" hidden="false" customHeight="true" outlineLevel="0" collapsed="false">
      <c r="A8" s="16" t="s">
        <v>309</v>
      </c>
      <c r="B8" s="18" t="s">
        <v>587</v>
      </c>
      <c r="C8" s="13" t="s">
        <v>588</v>
      </c>
      <c r="D8" s="17" t="s">
        <v>589</v>
      </c>
    </row>
    <row r="9" customFormat="false" ht="37.5" hidden="false" customHeight="true" outlineLevel="0" collapsed="false">
      <c r="A9" s="16" t="s">
        <v>312</v>
      </c>
      <c r="B9" s="18" t="s">
        <v>590</v>
      </c>
      <c r="C9" s="13" t="s">
        <v>591</v>
      </c>
      <c r="D9" s="17" t="s">
        <v>592</v>
      </c>
    </row>
    <row r="10" customFormat="false" ht="37.5" hidden="false" customHeight="true" outlineLevel="0" collapsed="false">
      <c r="A10" s="16" t="s">
        <v>315</v>
      </c>
      <c r="B10" s="18" t="s">
        <v>593</v>
      </c>
      <c r="C10" s="13" t="s">
        <v>594</v>
      </c>
      <c r="D10" s="17" t="s">
        <v>595</v>
      </c>
    </row>
    <row r="11" customFormat="false" ht="37.5" hidden="false" customHeight="true" outlineLevel="0" collapsed="false">
      <c r="A11" s="16" t="s">
        <v>318</v>
      </c>
      <c r="B11" s="18" t="s">
        <v>596</v>
      </c>
      <c r="C11" s="13" t="s">
        <v>597</v>
      </c>
      <c r="D11" s="17" t="s">
        <v>598</v>
      </c>
    </row>
    <row r="12" customFormat="false" ht="37.5" hidden="false" customHeight="true" outlineLevel="0" collapsed="false">
      <c r="A12" s="16" t="s">
        <v>321</v>
      </c>
      <c r="B12" s="18" t="s">
        <v>599</v>
      </c>
      <c r="C12" s="13" t="s">
        <v>600</v>
      </c>
      <c r="D12" s="17" t="s">
        <v>601</v>
      </c>
    </row>
    <row r="13" customFormat="false" ht="37.5" hidden="false" customHeight="true" outlineLevel="0" collapsed="false">
      <c r="A13" s="16" t="s">
        <v>324</v>
      </c>
      <c r="B13" s="18" t="s">
        <v>602</v>
      </c>
      <c r="C13" s="13" t="s">
        <v>603</v>
      </c>
      <c r="D13" s="17" t="s">
        <v>604</v>
      </c>
    </row>
    <row r="14" customFormat="false" ht="37.5" hidden="false" customHeight="true" outlineLevel="0" collapsed="false">
      <c r="A14" s="16" t="s">
        <v>327</v>
      </c>
      <c r="B14" s="18" t="s">
        <v>605</v>
      </c>
      <c r="C14" s="13" t="s">
        <v>606</v>
      </c>
      <c r="D14" s="17" t="s">
        <v>607</v>
      </c>
    </row>
  </sheetData>
  <mergeCells count="2">
    <mergeCell ref="A1:C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2026-08-04T05:38:46Z</dcterms:created>
  <dc:creator>openpyxl</dc:creator>
  <dc:description/>
  <dc:language>en-US</dc:language>
  <cp:lastModifiedBy/>
  <dcterms:modified xsi:type="dcterms:W3CDTF">2026-08-04T05:43:45Z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