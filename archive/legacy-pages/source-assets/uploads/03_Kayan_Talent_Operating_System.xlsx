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4.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3.xml.rels" ContentType="application/vnd.openxmlformats-package.relationships+xml"/>
  <Override PartName="/xl/worksheets/_rels/sheet60.xml.rels" ContentType="application/vnd.openxmlformats-package.relationships+xml"/>
  <Override PartName="/xl/worksheets/_rels/sheet18.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25.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4.xml.rels" ContentType="application/vnd.openxmlformats-package.relationships+xml"/>
  <Override PartName="/xl/worksheets/_rels/sheet59.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58.xml.rels" ContentType="application/vnd.openxmlformats-package.relationships+xml"/>
  <Override PartName="/xl/worksheets/_rels/sheet21.xml.rels" ContentType="application/vnd.openxmlformats-package.relationships+xml"/>
  <Override PartName="/xl/worksheets/_rels/sheet29.xml.rels" ContentType="application/vnd.openxmlformats-package.relationships+xml"/>
  <Override PartName="/xl/worksheets/_rels/sheet57.xml.rels" ContentType="application/vnd.openxmlformats-package.relationships+xml"/>
  <Override PartName="/xl/worksheets/_rels/sheet20.xml.rels" ContentType="application/vnd.openxmlformats-package.relationships+xml"/>
  <Override PartName="/xl/worksheets/_rels/sheet30.xml.rels" ContentType="application/vnd.openxmlformats-package.relationships+xml"/>
  <Override PartName="/xl/worksheets/_rels/sheet45.xml.rels" ContentType="application/vnd.openxmlformats-package.relationships+xml"/>
  <Override PartName="/xl/worksheets/_rels/sheet46.xml.rels" ContentType="application/vnd.openxmlformats-package.relationships+xml"/>
  <Override PartName="/xl/worksheets/_rels/sheet50.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40.xml.rels" ContentType="application/vnd.openxmlformats-package.relationships+xml"/>
  <Override PartName="/xl/worksheets/_rels/sheet38.xml.rels" ContentType="application/vnd.openxmlformats-package.relationships+xml"/>
  <Override PartName="/xl/worksheets/_rels/sheet52.xml.rels" ContentType="application/vnd.openxmlformats-package.relationships+xml"/>
  <Override PartName="/xl/worksheets/_rels/sheet41.xml.rels" ContentType="application/vnd.openxmlformats-package.relationships+xml"/>
  <Override PartName="/xl/worksheets/_rels/sheet39.xml.rels" ContentType="application/vnd.openxmlformats-package.relationships+xml"/>
  <Override PartName="/xl/worksheets/_rels/sheet53.xml.rels" ContentType="application/vnd.openxmlformats-package.relationships+xml"/>
  <Override PartName="/xl/worksheets/_rels/sheet42.xml.rels" ContentType="application/vnd.openxmlformats-package.relationships+xml"/>
  <Override PartName="/xl/worksheets/_rels/sheet54.xml.rels" ContentType="application/vnd.openxmlformats-package.relationships+xml"/>
  <Override PartName="/xl/worksheets/_rels/sheet43.xml.rels" ContentType="application/vnd.openxmlformats-package.relationships+xml"/>
  <Override PartName="/xl/worksheets/_rels/sheet55.xml.rels" ContentType="application/vnd.openxmlformats-package.relationships+xml"/>
  <Override PartName="/xl/worksheets/_rels/sheet44.xml.rels" ContentType="application/vnd.openxmlformats-package.relationships+xml"/>
  <Override PartName="/xl/worksheets/_rels/sheet56.xml.rels" ContentType="application/vnd.openxmlformats-package.relationships+xml"/>
  <Override PartName="/xl/worksheets/_rels/sheet37.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0.xml.rels" ContentType="application/vnd.openxmlformats-package.relationships+xml"/>
  <Override PartName="/xl/worksheets/_rels/sheet47.xml.rels" ContentType="application/vnd.openxmlformats-package.relationships+xml"/>
  <Override PartName="/xl/worksheets/_rels/sheet31.xml.rels" ContentType="application/vnd.openxmlformats-package.relationships+xml"/>
  <Override PartName="/xl/worksheets/_rels/sheet28.xml.rels" ContentType="application/vnd.openxmlformats-package.relationships+xml"/>
  <Override PartName="/xl/worksheets/sheet56.xml" ContentType="application/vnd.openxmlformats-officedocument.spreadsheetml.worksheet+xml"/>
  <Override PartName="/xl/worksheets/sheet30.xml" ContentType="application/vnd.openxmlformats-officedocument.spreadsheetml.worksheet+xml"/>
  <Override PartName="/xl/worksheets/sheet13.xml" ContentType="application/vnd.openxmlformats-officedocument.spreadsheetml.worksheet+xml"/>
  <Override PartName="/xl/worksheets/sheet31.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6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58.xml" ContentType="application/vnd.openxmlformats-officedocument.spreadsheetml.worksheet+xml"/>
  <Override PartName="/xl/worksheets/sheet57.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59.xml" ContentType="application/vnd.openxmlformats-officedocument.drawing+xml"/>
  <Override PartName="/xl/drawings/drawing21.xml" ContentType="application/vnd.openxmlformats-officedocument.drawing+xml"/>
  <Override PartName="/xl/drawings/drawing58.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5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51.xml" ContentType="application/vnd.openxmlformats-officedocument.drawing+xml"/>
  <Override PartName="/xl/drawings/drawing56.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57.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50.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1 START HERE" sheetId="1" state="visible" r:id="rId3"/>
    <sheet name="00.2 DOC CONTROL" sheetId="2" state="visible" r:id="rId4"/>
    <sheet name="00.3 POSITION CODES" sheetId="3" state="visible" r:id="rId5"/>
    <sheet name="00.4 PLACEHOLDERS" sheetId="4" state="visible" r:id="rId6"/>
    <sheet name="00.5 GLOSSARY" sheetId="5" state="visible" r:id="rId7"/>
    <sheet name="01.1 TRUST LADDER" sheetId="6" state="visible" r:id="rId8"/>
    <sheet name="01.2 FIVE AXES" sheetId="7" state="visible" r:id="rId9"/>
    <sheet name="01.3 PERMISSIONS" sheetId="8" state="visible" r:id="rId10"/>
    <sheet name="01.4 PROGRESSION" sheetId="9" state="visible" r:id="rId11"/>
    <sheet name="01.5 SANCTIONS" sheetId="10" state="visible" r:id="rId12"/>
    <sheet name="02.1 DOMAINS" sheetId="11" state="visible" r:id="rId13"/>
    <sheet name="02.2 SPECIALISATIONS" sheetId="12" state="visible" r:id="rId14"/>
    <sheet name="02.3 ASSESSMENT MAP" sheetId="13" state="visible" r:id="rId15"/>
    <sheet name="03.1 SCREEN MAP" sheetId="14" state="visible" r:id="rId16"/>
    <sheet name="03.2 FIELD SPECIFICATION" sheetId="15" state="visible" r:id="rId17"/>
    <sheet name="03.3 MICROCOPY" sheetId="16" state="visible" r:id="rId18"/>
    <sheet name="03.4 VALIDATION" sheetId="17" state="visible" r:id="rId19"/>
    <sheet name="03.5 CONSENTS" sheetId="18" state="visible" r:id="rId20"/>
    <sheet name="04.1 JOURNEY" sheetId="19" state="visible" r:id="rId21"/>
    <sheet name="04.2 AUTOMATIONS" sheetId="20" state="visible" r:id="rId22"/>
    <sheet name="04.3 NOTIFICATIONS" sheetId="21" state="visible" r:id="rId23"/>
    <sheet name="04.4 MESSAGING FLOWS" sheetId="22" state="visible" r:id="rId24"/>
    <sheet name="04.5 SERVICE LEVELS" sheetId="23" state="visible" r:id="rId25"/>
    <sheet name="05.1 VERIFICATION SOP" sheetId="24" state="visible" r:id="rId26"/>
    <sheet name="05.2 EVIDENCE STANDARD" sheetId="25" state="visible" r:id="rId27"/>
    <sheet name="05.3 IMAGE STANDARDS" sheetId="26" state="visible" r:id="rId28"/>
    <sheet name="05.4 RUBRIC" sheetId="27" state="visible" r:id="rId29"/>
    <sheet name="05.5 INTERVIEW" sheetId="28" state="visible" r:id="rId30"/>
    <sheet name="05.6 REFERENCES" sheetId="29" state="visible" r:id="rId31"/>
    <sheet name="06.1 POD RULES" sheetId="30" state="visible" r:id="rId32"/>
    <sheet name="06.2 POD ROLES" sheetId="31" state="visible" r:id="rId33"/>
    <sheet name="06.3 POD ASSEMBLY" sheetId="32" state="visible" r:id="rId34"/>
    <sheet name="06.4 POD SCORECARD" sheetId="33" state="visible" r:id="rId35"/>
    <sheet name="07.1 VOLUNTEER TRACK" sheetId="34" state="visible" r:id="rId36"/>
    <sheet name="07.2 POINTS ENGINE" sheetId="35" state="visible" r:id="rId37"/>
    <sheet name="08.1 CARD TYPES" sheetId="36" state="visible" r:id="rId38"/>
    <sheet name="08.2 CARD STATES" sheetId="37" state="visible" r:id="rId39"/>
    <sheet name="08.3 CARD ISSUANCE" sheetId="38" state="visible" r:id="rId40"/>
    <sheet name="09.1 STACK" sheetId="39" state="visible" r:id="rId41"/>
    <sheet name="09.2 ENTITIES" sheetId="40" state="visible" r:id="rId42"/>
    <sheet name="09.3 API" sheetId="41" state="visible" r:id="rId43"/>
    <sheet name="09.4 EVENTS" sheetId="42" state="visible" r:id="rId44"/>
    <sheet name="09.5 ACCESS CONTROL" sheetId="43" state="visible" r:id="rId45"/>
    <sheet name="09.6 DATA PROTECTION" sheetId="44" state="visible" r:id="rId46"/>
    <sheet name="10.1 TALENT REGISTER" sheetId="45" state="visible" r:id="rId47"/>
    <sheet name="10.2 VERIFICATION LOG" sheetId="46" state="visible" r:id="rId48"/>
    <sheet name="10.3 ASSESSMENT LOG" sheetId="47" state="visible" r:id="rId49"/>
    <sheet name="10.4 POD REGISTER" sheetId="48" state="visible" r:id="rId50"/>
    <sheet name="10.5 POINTS LEDGER" sheetId="49" state="visible" r:id="rId51"/>
    <sheet name="10.6 CARD REGISTER" sheetId="50" state="visible" r:id="rId52"/>
    <sheet name="11.1 KPI DASHBOARD" sheetId="51" state="visible" r:id="rId53"/>
    <sheet name="11.2 FUNNEL" sheetId="52" state="visible" r:id="rId54"/>
    <sheet name="11.3 ALERTS" sheetId="53" state="visible" r:id="rId55"/>
    <sheet name="11.4 CAPACITY" sheetId="54" state="visible" r:id="rId56"/>
    <sheet name="12.1 BUILD PHASES" sheetId="55" state="visible" r:id="rId57"/>
    <sheet name="12.2 MONTH PLAN" sheetId="56" state="visible" r:id="rId58"/>
    <sheet name="12.3 ACCOUNTABILITY" sheetId="57" state="visible" r:id="rId59"/>
    <sheet name="12.4 RISK REGISTER" sheetId="58" state="visible" r:id="rId60"/>
    <sheet name="12.5 KPI DEFINITIONS" sheetId="59" state="visible" r:id="rId61"/>
    <sheet name="12.6 OPEN FORKS" sheetId="60" state="visible" r:id="rId62"/>
  </sheets>
  <definedNames>
    <definedName function="false" hidden="true" localSheetId="0" name="_xlnm._FilterDatabase" vbProcedure="false">'00.1 START HERE'!$A$5:$C$14</definedName>
    <definedName function="false" hidden="true" localSheetId="1" name="_xlnm._FilterDatabase" vbProcedure="false">'00.2 DOC CONTROL'!$A$18:$C$28</definedName>
    <definedName function="false" hidden="true" localSheetId="2" name="_xlnm._FilterDatabase" vbProcedure="false">'00.3 POSITION CODES'!$A$5:$F$25</definedName>
    <definedName function="false" hidden="true" localSheetId="3" name="_xlnm._FilterDatabase" vbProcedure="false">'00.4 PLACEHOLDERS'!$A$5:$E$47</definedName>
    <definedName function="false" hidden="true" localSheetId="4" name="_xlnm._FilterDatabase" vbProcedure="false">'00.5 GLOSSARY'!$A$5:$D$17</definedName>
    <definedName function="false" hidden="true" localSheetId="5" name="_xlnm._FilterDatabase" vbProcedure="false">'01.1 TRUST LADDER'!$A$5:$H$10</definedName>
    <definedName function="false" hidden="true" localSheetId="6" name="_xlnm._FilterDatabase" vbProcedure="false">'01.2 FIVE AXES'!$A$5:$G$10</definedName>
    <definedName function="false" hidden="true" localSheetId="7" name="_xlnm._FilterDatabase" vbProcedure="false">'01.3 PERMISSIONS'!$A$5:$F$21</definedName>
    <definedName function="false" hidden="true" localSheetId="8" name="_xlnm._FilterDatabase" vbProcedure="false">'01.4 PROGRESSION'!$A$5:$E$15</definedName>
    <definedName function="false" hidden="true" localSheetId="9" name="_xlnm._FilterDatabase" vbProcedure="false">'01.5 SANCTIONS'!$A$5:$G$15</definedName>
    <definedName function="false" hidden="true" localSheetId="10" name="_xlnm._FilterDatabase" vbProcedure="false">'02.1 DOMAINS'!$A$5:$E$19</definedName>
    <definedName function="false" hidden="true" localSheetId="11" name="_xlnm._FilterDatabase" vbProcedure="false">'02.2 SPECIALISATIONS'!$A$5:$F$50</definedName>
    <definedName function="false" hidden="true" localSheetId="12" name="_xlnm._FilterDatabase" vbProcedure="false">'02.3 ASSESSMENT MAP'!$A$5:$F$50</definedName>
    <definedName function="false" hidden="true" localSheetId="13" name="_xlnm._FilterDatabase" vbProcedure="false">'03.1 SCREEN MAP'!$A$5:$F$23</definedName>
    <definedName function="false" hidden="true" localSheetId="14" name="_xlnm._FilterDatabase" vbProcedure="false">'03.2 FIELD SPECIFICATION'!$A$5:$K$131</definedName>
    <definedName function="false" hidden="true" localSheetId="15" name="_xlnm._FilterDatabase" vbProcedure="false">'03.3 MICROCOPY'!$A$5:$D$17</definedName>
    <definedName function="false" hidden="true" localSheetId="16" name="_xlnm._FilterDatabase" vbProcedure="false">'03.4 VALIDATION'!$A$5:$F$17</definedName>
    <definedName function="false" hidden="true" localSheetId="17" name="_xlnm._FilterDatabase" vbProcedure="false">'03.5 CONSENTS'!$A$5:$F$16</definedName>
    <definedName function="false" hidden="true" localSheetId="18" name="_xlnm._FilterDatabase" vbProcedure="false">'04.1 JOURNEY'!$A$5:$J$25</definedName>
    <definedName function="false" hidden="true" localSheetId="19" name="_xlnm._FilterDatabase" vbProcedure="false">'04.2 AUTOMATIONS'!$A$5:$G$33</definedName>
    <definedName function="false" hidden="true" localSheetId="20" name="_xlnm._FilterDatabase" vbProcedure="false">'04.3 NOTIFICATIONS'!$A$5:$G$21</definedName>
    <definedName function="false" hidden="true" localSheetId="21" name="_xlnm._FilterDatabase" vbProcedure="false">'04.4 MESSAGING FLOWS'!$A$5:$G$13</definedName>
    <definedName function="false" hidden="true" localSheetId="22" name="_xlnm._FilterDatabase" vbProcedure="false">'04.5 SERVICE LEVELS'!$A$5:$F$17</definedName>
    <definedName function="false" hidden="true" localSheetId="23" name="_xlnm._FilterDatabase" vbProcedure="false">'05.1 VERIFICATION SOP'!$A$5:$G$15</definedName>
    <definedName function="false" hidden="true" localSheetId="24" name="_xlnm._FilterDatabase" vbProcedure="false">'05.2 EVIDENCE STANDARD'!$A$5:$F$10</definedName>
    <definedName function="false" hidden="true" localSheetId="25" name="_xlnm._FilterDatabase" vbProcedure="false">'05.3 IMAGE STANDARDS'!$A$20:$E$30</definedName>
    <definedName function="false" hidden="true" localSheetId="26" name="_xlnm._FilterDatabase" vbProcedure="false">'05.4 RUBRIC'!$A$16:$C$24</definedName>
    <definedName function="false" hidden="true" localSheetId="27" name="_xlnm._FilterDatabase" vbProcedure="false">'05.5 INTERVIEW'!$A$5:$E$10</definedName>
    <definedName function="false" hidden="true" localSheetId="28" name="_xlnm._FilterDatabase" vbProcedure="false">'05.6 REFERENCES'!$A$5:$E$13</definedName>
    <definedName function="false" hidden="true" localSheetId="29" name="_xlnm._FilterDatabase" vbProcedure="false">'06.1 POD RULES'!$A$5:$E$17</definedName>
    <definedName function="false" hidden="true" localSheetId="30" name="_xlnm._FilterDatabase" vbProcedure="false">'06.2 POD ROLES'!$A$5:$F$11</definedName>
    <definedName function="false" hidden="true" localSheetId="31" name="_xlnm._FilterDatabase" vbProcedure="false">'06.3 POD ASSEMBLY'!$A$5:$F$15</definedName>
    <definedName function="false" hidden="true" localSheetId="32" name="_xlnm._FilterDatabase" vbProcedure="false">'06.4 POD SCORECARD'!$A$5:$F$14</definedName>
    <definedName function="false" hidden="true" localSheetId="33" name="_xlnm._FilterDatabase" vbProcedure="false">'07.1 VOLUNTEER TRACK'!$A$5:$F$15</definedName>
    <definedName function="false" hidden="true" localSheetId="34" name="_xlnm._FilterDatabase" vbProcedure="false">'07.2 POINTS ENGINE'!$A$25:$B$32</definedName>
    <definedName function="false" hidden="true" localSheetId="35" name="_xlnm._FilterDatabase" vbProcedure="false">'08.1 CARD TYPES'!$A$5:$G$9</definedName>
    <definedName function="false" hidden="true" localSheetId="36" name="_xlnm._FilterDatabase" vbProcedure="false">'08.2 CARD STATES'!$A$5:$E$17</definedName>
    <definedName function="false" hidden="true" localSheetId="37" name="_xlnm._FilterDatabase" vbProcedure="false">'08.3 CARD ISSUANCE'!$A$5:$E$17</definedName>
    <definedName function="false" hidden="true" localSheetId="38" name="_xlnm._FilterDatabase" vbProcedure="false">'09.1 STACK'!$A$5:$D$21</definedName>
    <definedName function="false" hidden="true" localSheetId="39" name="_xlnm._FilterDatabase" vbProcedure="false">'09.2 ENTITIES'!$A$5:$E$41</definedName>
    <definedName function="false" hidden="true" localSheetId="40" name="_xlnm._FilterDatabase" vbProcedure="false">'09.3 API'!$A$5:$F$57</definedName>
    <definedName function="false" hidden="true" localSheetId="41" name="_xlnm._FilterDatabase" vbProcedure="false">'09.4 EVENTS'!$A$5:$E$35</definedName>
    <definedName function="false" hidden="true" localSheetId="42" name="_xlnm._FilterDatabase" vbProcedure="false">'09.5 ACCESS CONTROL'!$A$5:$F$21</definedName>
    <definedName function="false" hidden="true" localSheetId="43" name="_xlnm._FilterDatabase" vbProcedure="false">'09.6 DATA PROTECTION'!$A$5:$E$17</definedName>
    <definedName function="false" hidden="true" localSheetId="44" name="_xlnm._FilterDatabase" vbProcedure="false">'10.1 TALENT REGISTER'!$A$5:$T$85</definedName>
    <definedName function="false" hidden="true" localSheetId="45" name="_xlnm._FilterDatabase" vbProcedure="false">'10.2 VERIFICATION LOG'!$A$5:$I$55</definedName>
    <definedName function="false" hidden="true" localSheetId="46" name="_xlnm._FilterDatabase" vbProcedure="false">'10.3 ASSESSMENT LOG'!$A$5:$J$65</definedName>
    <definedName function="false" hidden="true" localSheetId="47" name="_xlnm._FilterDatabase" vbProcedure="false">'10.4 POD REGISTER'!$A$5:$K$35</definedName>
    <definedName function="false" hidden="true" localSheetId="48" name="_xlnm._FilterDatabase" vbProcedure="false">'10.5 POINTS LEDGER'!$A$5:$H$65</definedName>
    <definedName function="false" hidden="true" localSheetId="49" name="_xlnm._FilterDatabase" vbProcedure="false">'10.6 CARD REGISTER'!$A$5:$H$55</definedName>
    <definedName function="false" hidden="true" localSheetId="51" name="_xlnm._FilterDatabase" vbProcedure="false">'11.2 FUNNEL'!$A$5:$F$15</definedName>
    <definedName function="false" hidden="true" localSheetId="52" name="_xlnm._FilterDatabase" vbProcedure="false">'11.3 ALERTS'!$A$23:$F$28</definedName>
    <definedName function="false" hidden="true" localSheetId="53" name="_xlnm._FilterDatabase" vbProcedure="false">'11.4 CAPACITY'!$A$17:$B$23</definedName>
    <definedName function="false" hidden="true" localSheetId="54" name="_xlnm._FilterDatabase" vbProcedure="false">'12.1 BUILD PHASES'!$A$5:$G$14</definedName>
    <definedName function="false" hidden="true" localSheetId="55" name="_xlnm._FilterDatabase" vbProcedure="false">'12.2 MONTH PLAN'!$A$5:$F$14</definedName>
    <definedName function="false" hidden="true" localSheetId="56" name="_xlnm._FilterDatabase" vbProcedure="false">'12.3 ACCOUNTABILITY'!$A$5:$F$29</definedName>
    <definedName function="false" hidden="true" localSheetId="57" name="_xlnm._FilterDatabase" vbProcedure="false">'12.4 RISK REGISTER'!$A$5:$G$19</definedName>
    <definedName function="false" hidden="true" localSheetId="58" name="_xlnm._FilterDatabase" vbProcedure="false">'12.5 KPI DEFINITIONS'!$A$5:$F$30</definedName>
    <definedName function="false" hidden="true" localSheetId="59" name="_xlnm._FilterDatabase" vbProcedure="false">'12.6 OPEN FORKS'!$A$5:$E$10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<sst xmlns="http://schemas.openxmlformats.org/spreadsheetml/2006/main" count="8950" uniqueCount="4506">
  <si>
    <t xml:space="preserve">KAYAN  ·  KAY-TOS-001  ·  CONTROL</t>
  </si>
  <si>
    <t xml:space="preserve">KAYAN TALENT OPERATING SYSTEM</t>
  </si>
  <si>
    <t xml:space="preserve">Registration, Verification, Pods, Volunteering and the Talent Portal — end to end   ·   Version 1.0   ·   29 July 2026</t>
  </si>
  <si>
    <t xml:space="preserve">Item</t>
  </si>
  <si>
    <t xml:space="preserve">Statement</t>
  </si>
  <si>
    <t xml:space="preserve">Status</t>
  </si>
  <si>
    <t xml:space="preserve">What this workbook is</t>
  </si>
  <si>
    <t xml:space="preserve">The complete operating system for how a person becomes verified Kayan talent, how they are placed into a pod, how they are paid, how they volunteer, and how they hold a Kayan credential. It is the specification for the portal, the procedure for the people who run it, and the register that records it.</t>
  </si>
  <si>
    <t xml:space="preserve">—</t>
  </si>
  <si>
    <t xml:space="preserve">Who it is for</t>
  </si>
  <si>
    <t xml:space="preserve">Three readers at once. The platform team building the portal. The talent team running verification. The chief executive holding the whole thing to account.</t>
  </si>
  <si>
    <t xml:space="preserve">How the tabs are grouped</t>
  </si>
  <si>
    <t xml:space="preserve">Thirteen colour-coded families. Read the tab colour before the tab name. Control, Model, Taxonomy, Forms, Journey, Verification, Pods, Civic, Card, Data, Registers, Dashboard, Plan.</t>
  </si>
  <si>
    <t xml:space="preserve">What is decided</t>
  </si>
  <si>
    <t xml:space="preserve">Structure, sequence, logic, permissions, roles, obligations, data and process. Everything a person or a system must do, and in what order.</t>
  </si>
  <si>
    <t xml:space="preserve">Decided</t>
  </si>
  <si>
    <t xml:space="preserve">What is not decided</t>
  </si>
  <si>
    <t xml:space="preserve">Every amount, rate, fee, threshold, service level and target. These appear as bracketed placeholder tokens and are resolved in one session, once, against real Aden conditions.</t>
  </si>
  <si>
    <t xml:space="preserve">Placeholder</t>
  </si>
  <si>
    <t xml:space="preserve">How to read a placeholder</t>
  </si>
  <si>
    <t xml:space="preserve">A token in double brackets is a deliberate gap, not an omission. Tab 00.4 lists every one, what it governs, and who resolves it.</t>
  </si>
  <si>
    <t xml:space="preserve">Names</t>
  </si>
  <si>
    <t xml:space="preserve">No personal names appear anywhere in this workbook. Every accountability is a position code. Tab 00.3 is the register of position codes.</t>
  </si>
  <si>
    <t xml:space="preserve">Rule</t>
  </si>
  <si>
    <t xml:space="preserve">Live tabs</t>
  </si>
  <si>
    <t xml:space="preserve">The register tabs carry illustrative rows so the dashboard computes. They are marked and are replaced by real data at go-live. Never publish the illustrative rows.</t>
  </si>
  <si>
    <t xml:space="preserve">Language</t>
  </si>
  <si>
    <t xml:space="preserve">English throughout. The Arabic edition is authored natively as a separate instrument, not translated from this one.</t>
  </si>
  <si>
    <t xml:space="preserve">Kayan Innovation, Entrepreneurship and Work Environments LLC  ·  Khormaksar, Corniche Street, Aden  ·  kayanwork.com  ·  Behind every success, a KAYAN</t>
  </si>
  <si>
    <t xml:space="preserve">Document control</t>
  </si>
  <si>
    <t xml:space="preserve">Identity, ownership, review cycle and the instruments this system depends on.</t>
  </si>
  <si>
    <t xml:space="preserve">Field</t>
  </si>
  <si>
    <t xml:space="preserve">Value</t>
  </si>
  <si>
    <t xml:space="preserve">Document identifier</t>
  </si>
  <si>
    <t xml:space="preserve">KAY-TOS-001</t>
  </si>
  <si>
    <t xml:space="preserve">Title</t>
  </si>
  <si>
    <t xml:space="preserve">Version</t>
  </si>
  <si>
    <t xml:space="preserve">1.0</t>
  </si>
  <si>
    <t xml:space="preserve">Dated</t>
  </si>
  <si>
    <t xml:space="preserve">29 July 2026</t>
  </si>
  <si>
    <t xml:space="preserve">Owner</t>
  </si>
  <si>
    <t xml:space="preserve">POS-TAL-LEAD</t>
  </si>
  <si>
    <t xml:space="preserve">Approver</t>
  </si>
  <si>
    <t xml:space="preserve">POS-CEO</t>
  </si>
  <si>
    <t xml:space="preserve">Build owner</t>
  </si>
  <si>
    <t xml:space="preserve">POS-TECH-LEAD</t>
  </si>
  <si>
    <t xml:space="preserve">Review cycle</t>
  </si>
  <si>
    <t xml:space="preserve">Quarterly, and on any change to the Trust Ladder</t>
  </si>
  <si>
    <t xml:space="preserve">Classification</t>
  </si>
  <si>
    <t xml:space="preserve">Internal. The public extracts are drawn from it, never the whole.</t>
  </si>
  <si>
    <t xml:space="preserve">Language of record</t>
  </si>
  <si>
    <t xml:space="preserve">English. The Arabic edition is a separate native instrument.</t>
  </si>
  <si>
    <t xml:space="preserve">Instruments this system depends on</t>
  </si>
  <si>
    <t xml:space="preserve">Instrument</t>
  </si>
  <si>
    <t xml:space="preserve">What it governs here</t>
  </si>
  <si>
    <t xml:space="preserve">Dependency</t>
  </si>
  <si>
    <t xml:space="preserve">Code of Conduct</t>
  </si>
  <si>
    <t xml:space="preserve">The behavioural floor accepted at S10 before anything else proceeds.</t>
  </si>
  <si>
    <t xml:space="preserve">Blocking</t>
  </si>
  <si>
    <t xml:space="preserve">Talent Engagement Terms</t>
  </si>
  <si>
    <t xml:space="preserve">The independent relationship, obligations and payment terms accepted at S10.</t>
  </si>
  <si>
    <t xml:space="preserve">Privacy Notice</t>
  </si>
  <si>
    <t xml:space="preserve">What is collected, why, for how long, and how erasure is exercised.</t>
  </si>
  <si>
    <t xml:space="preserve">Safeguarding standard</t>
  </si>
  <si>
    <t xml:space="preserve">Volunteer orientation, unsupervised contact rules and the reporting route.</t>
  </si>
  <si>
    <t xml:space="preserve">Data protection standard</t>
  </si>
  <si>
    <t xml:space="preserve">Restricted bucket, access logging, purge schedule and subject rights.</t>
  </si>
  <si>
    <t xml:space="preserve">Managed Delivery gates</t>
  </si>
  <si>
    <t xml:space="preserve">Where a pod forms and where a milestone is accepted.</t>
  </si>
  <si>
    <t xml:space="preserve">Interface</t>
  </si>
  <si>
    <t xml:space="preserve">Finance payout controls</t>
  </si>
  <si>
    <t xml:space="preserve">Two-signature release, own-name rule and approved routes.</t>
  </si>
  <si>
    <t xml:space="preserve">Forge cohort records</t>
  </si>
  <si>
    <t xml:space="preserve">Graduate evidence and the skill axis uplift.</t>
  </si>
  <si>
    <t xml:space="preserve">Kayan for Yemen civic plan</t>
  </si>
  <si>
    <t xml:space="preserve">Volunteer activity areas and the civic ledger.</t>
  </si>
  <si>
    <t xml:space="preserve">Card production specification</t>
  </si>
  <si>
    <t xml:space="preserve">Substrate, security features and the verification page.</t>
  </si>
  <si>
    <t xml:space="preserve">Position codes</t>
  </si>
  <si>
    <t xml:space="preserve">Every accountability in this system belongs to a position, never to a person. Roles marked assistant level are filled at assistant grade and upgraded to Lead only when the revenue trigger is met.</t>
  </si>
  <si>
    <t xml:space="preserve">Code</t>
  </si>
  <si>
    <t xml:space="preserve">Position</t>
  </si>
  <si>
    <t xml:space="preserve">Function</t>
  </si>
  <si>
    <t xml:space="preserve">Accountability in this system</t>
  </si>
  <si>
    <t xml:space="preserve">Grade</t>
  </si>
  <si>
    <t xml:space="preserve">Progression</t>
  </si>
  <si>
    <t xml:space="preserve">Chief Executive</t>
  </si>
  <si>
    <t xml:space="preserve">Executive</t>
  </si>
  <si>
    <t xml:space="preserve">Final authority on tier T4 award, revocation, appeals of last instance.</t>
  </si>
  <si>
    <t xml:space="preserve">Held</t>
  </si>
  <si>
    <t xml:space="preserve">Permanent</t>
  </si>
  <si>
    <t xml:space="preserve">POS-FIN</t>
  </si>
  <si>
    <t xml:space="preserve">Finance Lead</t>
  </si>
  <si>
    <t xml:space="preserve">Payout release authority, second signature on all talent disbursements.</t>
  </si>
  <si>
    <t xml:space="preserve">Talent and Verification Lead</t>
  </si>
  <si>
    <t xml:space="preserve">Talent</t>
  </si>
  <si>
    <t xml:space="preserve">Owns the Trust Ladder, the registry and every tier decision below T4.</t>
  </si>
  <si>
    <t xml:space="preserve">Assistant level</t>
  </si>
  <si>
    <t xml:space="preserve">Upgrade on revenue trigger</t>
  </si>
  <si>
    <t xml:space="preserve">POS-TAL-VER</t>
  </si>
  <si>
    <t xml:space="preserve">Verification Officer</t>
  </si>
  <si>
    <t xml:space="preserve">Runs identity, document and reference verification. Opens and closes cases.</t>
  </si>
  <si>
    <t xml:space="preserve">Intern</t>
  </si>
  <si>
    <t xml:space="preserve">Internship to hire</t>
  </si>
  <si>
    <t xml:space="preserve">POS-TAL-ASM</t>
  </si>
  <si>
    <t xml:space="preserve">Assessment Officer</t>
  </si>
  <si>
    <t xml:space="preserve">Administers and scores practical assessments against published rubrics.</t>
  </si>
  <si>
    <t xml:space="preserve">POS-TAL-SUP</t>
  </si>
  <si>
    <t xml:space="preserve">Talent Support Officer</t>
  </si>
  <si>
    <t xml:space="preserve">First response on the talent channel; guides applicants through the funnel.</t>
  </si>
  <si>
    <t xml:space="preserve">POS-MD-LEAD</t>
  </si>
  <si>
    <t xml:space="preserve">Managed Delivery Lead</t>
  </si>
  <si>
    <t xml:space="preserve">Delivery</t>
  </si>
  <si>
    <t xml:space="preserve">Owns client scope, pod specification and delivery acceptance.</t>
  </si>
  <si>
    <t xml:space="preserve">POS-MD-CO</t>
  </si>
  <si>
    <t xml:space="preserve">Delivery Coordinator</t>
  </si>
  <si>
    <t xml:space="preserve">Runs the gate calendar, pod briefs and milestone tracking.</t>
  </si>
  <si>
    <t xml:space="preserve">POS-MD-QA</t>
  </si>
  <si>
    <t xml:space="preserve">Quality Reviewer</t>
  </si>
  <si>
    <t xml:space="preserve">Runs the quality gate before client review. Cannot review own pod.</t>
  </si>
  <si>
    <t xml:space="preserve">POS-HUB-LEAD</t>
  </si>
  <si>
    <t xml:space="preserve">Hub Lead</t>
  </si>
  <si>
    <t xml:space="preserve">Hub</t>
  </si>
  <si>
    <t xml:space="preserve">Owns the physical space, access control and member experience.</t>
  </si>
  <si>
    <t xml:space="preserve">POS-HUB-EXP</t>
  </si>
  <si>
    <t xml:space="preserve">Hub Experience Assistant</t>
  </si>
  <si>
    <t xml:space="preserve">Reception, card scanning, day-pass issuance, volunteer shift logging.</t>
  </si>
  <si>
    <t xml:space="preserve">POS-FRG-LEAD</t>
  </si>
  <si>
    <t xml:space="preserve">Forge Lead</t>
  </si>
  <si>
    <t xml:space="preserve">Forge</t>
  </si>
  <si>
    <t xml:space="preserve">Owns cohorts, curriculum and the graduate-to-talent pathway.</t>
  </si>
  <si>
    <t xml:space="preserve">POS-K4Y-CO</t>
  </si>
  <si>
    <t xml:space="preserve">Kayan for Yemen Coordinator</t>
  </si>
  <si>
    <t xml:space="preserve">Civic</t>
  </si>
  <si>
    <t xml:space="preserve">Owns volunteer recruitment, safeguarding orientation and hour validation.</t>
  </si>
  <si>
    <t xml:space="preserve">POS-BRD-LEAD</t>
  </si>
  <si>
    <t xml:space="preserve">Brand Lead</t>
  </si>
  <si>
    <t xml:space="preserve">Brand</t>
  </si>
  <si>
    <t xml:space="preserve">Owns portal copy, card production and every public-facing surface.</t>
  </si>
  <si>
    <t xml:space="preserve">Platform Lead</t>
  </si>
  <si>
    <t xml:space="preserve">Technology</t>
  </si>
  <si>
    <t xml:space="preserve">Owns the portal build, data model and release calendar.</t>
  </si>
  <si>
    <t xml:space="preserve">POS-TECH-DEV</t>
  </si>
  <si>
    <t xml:space="preserve">Platform Developer</t>
  </si>
  <si>
    <t xml:space="preserve">Implements the portal, the workflow engine and the integrations.</t>
  </si>
  <si>
    <t xml:space="preserve">POS-EA-CEO</t>
  </si>
  <si>
    <t xml:space="preserve">Executive Assistant to the Chief Executive</t>
  </si>
  <si>
    <t xml:space="preserve">Diary, correspondence, document handling, external meeting preparation.</t>
  </si>
  <si>
    <t xml:space="preserve">POS-ADM</t>
  </si>
  <si>
    <t xml:space="preserve">Administration and Supply Assistant</t>
  </si>
  <si>
    <t xml:space="preserve">Operations</t>
  </si>
  <si>
    <t xml:space="preserve">Procurement support, records, supplies, card stock custody.</t>
  </si>
  <si>
    <t xml:space="preserve">VACANT</t>
  </si>
  <si>
    <t xml:space="preserve">To recruit</t>
  </si>
  <si>
    <t xml:space="preserve">POS-SEC</t>
  </si>
  <si>
    <t xml:space="preserve">Security Officer</t>
  </si>
  <si>
    <t xml:space="preserve">Site security and after-hours access verification.</t>
  </si>
  <si>
    <t xml:space="preserve">Shift</t>
  </si>
  <si>
    <t xml:space="preserve">POS-COUNSEL</t>
  </si>
  <si>
    <t xml:space="preserve">External Counsel</t>
  </si>
  <si>
    <t xml:space="preserve">External</t>
  </si>
  <si>
    <t xml:space="preserve">Legal opinion on sanctions hits, safeguarding escalations and disputes.</t>
  </si>
  <si>
    <t xml:space="preserve">Retained</t>
  </si>
  <si>
    <t xml:space="preserve">Retainer</t>
  </si>
  <si>
    <t xml:space="preserve">Placeholder register</t>
  </si>
  <si>
    <t xml:space="preserve">Every contested value in this system, quarantined. Structure is decided; numbers are not. These resolve in one dedicated session against real Aden conditions, and then only once.</t>
  </si>
  <si>
    <t xml:space="preserve">Token</t>
  </si>
  <si>
    <t xml:space="preserve">What it governs</t>
  </si>
  <si>
    <t xml:space="preserve">Domain</t>
  </si>
  <si>
    <t xml:space="preserve">Resolved by</t>
  </si>
  <si>
    <t xml:space="preserve">Note</t>
  </si>
  <si>
    <t xml:space="preserve">[[PH-SCORE-T1]]</t>
  </si>
  <si>
    <t xml:space="preserve">Assessment pass mark for T1</t>
  </si>
  <si>
    <t xml:space="preserve">Verification</t>
  </si>
  <si>
    <t xml:space="preserve">Set after the first calibration cohort, not before</t>
  </si>
  <si>
    <t xml:space="preserve">[[PH-SCORE-T2]]</t>
  </si>
  <si>
    <t xml:space="preserve">Portfolio rubric average for T2</t>
  </si>
  <si>
    <t xml:space="preserve">Must sit above the T1 mark by a defensible margin</t>
  </si>
  <si>
    <t xml:space="preserve">[[PH-REF-T2]]</t>
  </si>
  <si>
    <t xml:space="preserve">Reference rating floor for T2</t>
  </si>
  <si>
    <t xml:space="preserve">[[PH-PODS-T3]] / [[PH-PODS-T4]]</t>
  </si>
  <si>
    <t xml:space="preserve">Accepted deliveries required at T3 and T4</t>
  </si>
  <si>
    <t xml:space="preserve">Model</t>
  </si>
  <si>
    <t xml:space="preserve">Governs how quickly the top of the ladder can exist at all</t>
  </si>
  <si>
    <t xml:space="preserve">[[PH-RATE-T3]] / [[PH-RATE-T4]]</t>
  </si>
  <si>
    <t xml:space="preserve">Sustained acceptance rating floors</t>
  </si>
  <si>
    <t xml:space="preserve">[[PH-CLEAN-T3]] / [[PH-CLEAN-T4]]</t>
  </si>
  <si>
    <t xml:space="preserve">Clean-record windows</t>
  </si>
  <si>
    <t xml:space="preserve">[[PH-SLA-T1]] to [[PH-SLA-T4]]</t>
  </si>
  <si>
    <t xml:space="preserve">Indicative time between tiers</t>
  </si>
  <si>
    <t xml:space="preserve">Published to applicants, so it must be honest</t>
  </si>
  <si>
    <t xml:space="preserve">[[PH-BAND-T1]] to [[PH-BAND-T4]]</t>
  </si>
  <si>
    <t xml:space="preserve">Rate bands by tier</t>
  </si>
  <si>
    <t xml:space="preserve">Pricing</t>
  </si>
  <si>
    <t xml:space="preserve">POS-CEO with POS-FIN</t>
  </si>
  <si>
    <t xml:space="preserve">Rebuild against the Aden market, not inherited assumptions</t>
  </si>
  <si>
    <t xml:space="preserve">[[PH-HUB-T1]] to [[PH-HUB-T4]]</t>
  </si>
  <si>
    <t xml:space="preserve">Hub entitlement by tier</t>
  </si>
  <si>
    <t xml:space="preserve">Depends on the Hub pricing rebuild</t>
  </si>
  <si>
    <t xml:space="preserve">[[PH-SHARE-LEAD]] to [[PH-SHARE-QA]]</t>
  </si>
  <si>
    <t xml:space="preserve">Pod share basis by role</t>
  </si>
  <si>
    <t xml:space="preserve">Shares of the talent pool, not of client value</t>
  </si>
  <si>
    <t xml:space="preserve">[[PH-POD-LEAD-THRESHOLD]]</t>
  </si>
  <si>
    <t xml:space="preserve">Engagement size requiring a pod lead</t>
  </si>
  <si>
    <t xml:space="preserve">[[PH-MAX-PODS]]</t>
  </si>
  <si>
    <t xml:space="preserve">Maximum concurrent pods per talent</t>
  </si>
  <si>
    <t xml:space="preserve">[[PH-HOLDBACK]]</t>
  </si>
  <si>
    <t xml:space="preserve">Holdback period after acceptance</t>
  </si>
  <si>
    <t xml:space="preserve">Finance</t>
  </si>
  <si>
    <t xml:space="preserve">Structural logic decided; duration is not</t>
  </si>
  <si>
    <t xml:space="preserve">[[PH-SLA-IDV]] / [[PH-SLA-ASM]] / [[PH-SLA-INT]] / [[PH-SLA-REF]]</t>
  </si>
  <si>
    <t xml:space="preserve">Service levels on each queue</t>
  </si>
  <si>
    <t xml:space="preserve">Service</t>
  </si>
  <si>
    <t xml:space="preserve">Set to what two interns can actually hold</t>
  </si>
  <si>
    <t xml:space="preserve">[[PH-SLA-SUPPORT]] / [[PH-SLA-WA]]</t>
  </si>
  <si>
    <t xml:space="preserve">Support response levels</t>
  </si>
  <si>
    <t xml:space="preserve">[[PH-SLA-SCREEN]]</t>
  </si>
  <si>
    <t xml:space="preserve">Counsel decision level on a screening hit</t>
  </si>
  <si>
    <t xml:space="preserve">Compliance</t>
  </si>
  <si>
    <t xml:space="preserve">[[PH-OTP-TTL]] / [[PH-OTP-TRIES]]</t>
  </si>
  <si>
    <t xml:space="preserve">One-time code life and attempts</t>
  </si>
  <si>
    <t xml:space="preserve">Security</t>
  </si>
  <si>
    <t xml:space="preserve">[[PH-FACE-AUTO]]</t>
  </si>
  <si>
    <t xml:space="preserve">Face match auto-pass threshold</t>
  </si>
  <si>
    <t xml:space="preserve">A machine may pass. Only a person may fail.</t>
  </si>
  <si>
    <t xml:space="preserve">[[PH-LIVENESS-TRIES]]</t>
  </si>
  <si>
    <t xml:space="preserve">Liveness retries permitted</t>
  </si>
  <si>
    <t xml:space="preserve">[[PH-DOC-RETENTION]]</t>
  </si>
  <si>
    <t xml:space="preserve">Retention of document images after case close</t>
  </si>
  <si>
    <t xml:space="preserve">Data protection</t>
  </si>
  <si>
    <t xml:space="preserve">Legal minimum, then purge</t>
  </si>
  <si>
    <t xml:space="preserve">[[PH-ERASURE]]</t>
  </si>
  <si>
    <t xml:space="preserve">Erasure execution window</t>
  </si>
  <si>
    <t xml:space="preserve">[[PH-VERIFY-LOG-RETENTION]]</t>
  </si>
  <si>
    <t xml:space="preserve">Retention of card verification logs</t>
  </si>
  <si>
    <t xml:space="preserve">[[PH-PHOTO-MB]] / [[PH-PHOTO-MIN-KB]] / [[PH-PHOTO-ROT]] / [[PH-PHOTO-AGE]]</t>
  </si>
  <si>
    <t xml:space="preserve">Photograph standard values</t>
  </si>
  <si>
    <t xml:space="preserve">Standards</t>
  </si>
  <si>
    <t xml:space="preserve">[[PH-ARTEFACT-MB]]</t>
  </si>
  <si>
    <t xml:space="preserve">Maximum size per work sample</t>
  </si>
  <si>
    <t xml:space="preserve">[[PH-AUTOSAVE]] / [[PH-DRAFT-TTL]]</t>
  </si>
  <si>
    <t xml:space="preserve">Auto-save interval and draft life</t>
  </si>
  <si>
    <t xml:space="preserve">Set for intermittent connectivity, not for ideal conditions</t>
  </si>
  <si>
    <t xml:space="preserve">[[PH-RETAKE-WAIT]] / [[PH-RETAKE-WINDOW]]</t>
  </si>
  <si>
    <t xml:space="preserve">Retake wait and window</t>
  </si>
  <si>
    <t xml:space="preserve">[[PH-INT-MINUTES]] / [[PH-INT-NOTICE]] / [[PH-INT-RESCHED]] / [[PH-INT-GAP]] / [[PH-INT-REMIND]]</t>
  </si>
  <si>
    <t xml:space="preserve">Interview parameters</t>
  </si>
  <si>
    <t xml:space="preserve">[[PH-REF-CHASE]]</t>
  </si>
  <si>
    <t xml:space="preserve">Referee chase sequence</t>
  </si>
  <si>
    <t xml:space="preserve">[[PH-INVITE-TTL]]</t>
  </si>
  <si>
    <t xml:space="preserve">Pod invitation expiry</t>
  </si>
  <si>
    <t xml:space="preserve">[[PH-DORMANT]] / [[PH-ABANDON]] / [[PH-COOL-SA06]] / [[PH-PROB-SA02]]</t>
  </si>
  <si>
    <t xml:space="preserve">Sanction and dormancy windows</t>
  </si>
  <si>
    <t xml:space="preserve">[[PH-WINDOW-BH]]</t>
  </si>
  <si>
    <t xml:space="preserve">Conduct axis rolling window</t>
  </si>
  <si>
    <t xml:space="preserve">[[PH-MIN-AGE]]</t>
  </si>
  <si>
    <t xml:space="preserve">Minimum registration age</t>
  </si>
  <si>
    <t xml:space="preserve">[[PH-VOL-FASTTRACK]]</t>
  </si>
  <si>
    <t xml:space="preserve">Volunteer hours triggering the fast-track offer</t>
  </si>
  <si>
    <t xml:space="preserve">[[PH-PT-HOUR]] to [[PH-PT-TEACH]]</t>
  </si>
  <si>
    <t xml:space="preserve">Points award values</t>
  </si>
  <si>
    <t xml:space="preserve">Must not create an incentive to inflate hours</t>
  </si>
  <si>
    <t xml:space="preserve">[[PH-RD-HUBDAY]] to [[PH-RD-GIFT]]</t>
  </si>
  <si>
    <t xml:space="preserve">Points redemption costs</t>
  </si>
  <si>
    <t xml:space="preserve">POS-K4Y-CO with POS-FIN</t>
  </si>
  <si>
    <t xml:space="preserve">Carries a real cost, so it is a finance decision too</t>
  </si>
  <si>
    <t xml:space="preserve">[[PH-CARD-VALID-T]] / [[PH-CARD-VALID-V]] / [[PH-CARD-VALID-F]]</t>
  </si>
  <si>
    <t xml:space="preserve">Card validity periods</t>
  </si>
  <si>
    <t xml:space="preserve">Card</t>
  </si>
  <si>
    <t xml:space="preserve">[[PH-CARD-NOTICE]] / [[PH-CARD-REPLACE]]</t>
  </si>
  <si>
    <t xml:space="preserve">Renewal notice and replacement cost</t>
  </si>
  <si>
    <t xml:space="preserve">[[PH-W-R01]] to [[PH-W-R08]]</t>
  </si>
  <si>
    <t xml:space="preserve">Rubric line weights</t>
  </si>
  <si>
    <t xml:space="preserve">Must total one hundred</t>
  </si>
  <si>
    <t xml:space="preserve">[[PH-T-T0]] to [[PH-T-VERIFY]]</t>
  </si>
  <si>
    <t xml:space="preserve">Every KPI target</t>
  </si>
  <si>
    <t xml:space="preserve">Performance</t>
  </si>
  <si>
    <t xml:space="preserve">Set once the first quarter of real data exists</t>
  </si>
  <si>
    <t xml:space="preserve">[[PH-P0-WEEKS]] to [[PH-P8-WEEKS]]</t>
  </si>
  <si>
    <t xml:space="preserve">Build phase durations</t>
  </si>
  <si>
    <t xml:space="preserve">Build</t>
  </si>
  <si>
    <t xml:space="preserve">[[PH-RL-REGISTER]] to [[PH-RL-VERIFY]]</t>
  </si>
  <si>
    <t xml:space="preserve">API rate limits</t>
  </si>
  <si>
    <t xml:space="preserve">[[PH-FORM-MINUTES]] / [[PH-ORI-DWELL]] / [[PH-RESUME-TTL]] / [[PH-ABANDON-1]] / [[PH-ABANDON-2]]</t>
  </si>
  <si>
    <t xml:space="preserve">Applicant-facing timing values</t>
  </si>
  <si>
    <t xml:space="preserve">Experience</t>
  </si>
  <si>
    <t xml:space="preserve">Glossary</t>
  </si>
  <si>
    <t xml:space="preserve">Internal terms and their public equivalents. The left column never appears on a public surface. The right column is what a client, an applicant or a partner actually reads.</t>
  </si>
  <si>
    <t xml:space="preserve">Internal term</t>
  </si>
  <si>
    <t xml:space="preserve">What it means</t>
  </si>
  <si>
    <t xml:space="preserve">Public equivalent</t>
  </si>
  <si>
    <t xml:space="preserve">Trust Ladder</t>
  </si>
  <si>
    <t xml:space="preserve">The five-step permission system from T0 to T4.</t>
  </si>
  <si>
    <t xml:space="preserve">How verification works</t>
  </si>
  <si>
    <t xml:space="preserve">Tiers may be shown publicly by name. The mechanics may not.</t>
  </si>
  <si>
    <t xml:space="preserve">Tier / T0 to T4</t>
  </si>
  <si>
    <t xml:space="preserve">A permission level, not a rank of worth.</t>
  </si>
  <si>
    <t xml:space="preserve">Verified, Proven, Trusted</t>
  </si>
  <si>
    <t xml:space="preserve">Never presented as a score or a league table.</t>
  </si>
  <si>
    <t xml:space="preserve">Axis</t>
  </si>
  <si>
    <t xml:space="preserve">One of the five evidence dimensions.</t>
  </si>
  <si>
    <t xml:space="preserve">What we check</t>
  </si>
  <si>
    <t xml:space="preserve">Axis levels are shown to the talent, never to a client at numeric granularity.</t>
  </si>
  <si>
    <t xml:space="preserve">Pod</t>
  </si>
  <si>
    <t xml:space="preserve">A temporary delivery team of two to seven.</t>
  </si>
  <si>
    <t xml:space="preserve">Your team</t>
  </si>
  <si>
    <t xml:space="preserve">Never described to a client as a marketplace or a gig team.</t>
  </si>
  <si>
    <t xml:space="preserve">Holdback</t>
  </si>
  <si>
    <t xml:space="preserve">The portion retained after acceptance against reversal.</t>
  </si>
  <si>
    <t xml:space="preserve">We hold a small part until you are settled</t>
  </si>
  <si>
    <t xml:space="preserve">Never called retention or a penalty.</t>
  </si>
  <si>
    <t xml:space="preserve">Escrow</t>
  </si>
  <si>
    <t xml:space="preserve">Funds held as a liability until earned.</t>
  </si>
  <si>
    <t xml:space="preserve">Your payment is protected until you have the work and you are satisfied</t>
  </si>
  <si>
    <t xml:space="preserve">The internal word never appears externally.</t>
  </si>
  <si>
    <t xml:space="preserve">Gate</t>
  </si>
  <si>
    <t xml:space="preserve">A control point in delivery where work stops until a condition is met.</t>
  </si>
  <si>
    <t xml:space="preserve">Checkpoint</t>
  </si>
  <si>
    <t xml:space="preserve">Internal only.</t>
  </si>
  <si>
    <t xml:space="preserve">Sanction</t>
  </si>
  <si>
    <t xml:space="preserve">A recorded consequence under the conduct rules.</t>
  </si>
  <si>
    <t xml:space="preserve">Outcome of a review</t>
  </si>
  <si>
    <t xml:space="preserve">Never called a penalty or a punishment.</t>
  </si>
  <si>
    <t xml:space="preserve">Registry</t>
  </si>
  <si>
    <t xml:space="preserve">The store of verified talent records.</t>
  </si>
  <si>
    <t xml:space="preserve">The Verified Talent Map</t>
  </si>
  <si>
    <t xml:space="preserve">The public name is the Verified Talent Map.</t>
  </si>
  <si>
    <t xml:space="preserve">Fast-track</t>
  </si>
  <si>
    <t xml:space="preserve">Volunteer hours converting into T1 eligibility.</t>
  </si>
  <si>
    <t xml:space="preserve">Your hours count toward becoming Kayan talent</t>
  </si>
  <si>
    <t xml:space="preserve">Always framed as an offer, never as automatic.</t>
  </si>
  <si>
    <t xml:space="preserve">Marketplace</t>
  </si>
  <si>
    <t xml:space="preserve">Not a word Kayan uses about itself.</t>
  </si>
  <si>
    <t xml:space="preserve">Prohibited in every external surface without exception.</t>
  </si>
  <si>
    <t xml:space="preserve">Gig</t>
  </si>
  <si>
    <t xml:space="preserve">KAYAN  ·  KAY-TOS-001  ·  MODEL</t>
  </si>
  <si>
    <t xml:space="preserve">The Trust Ladder</t>
  </si>
  <si>
    <t xml:space="preserve">Verification is a permission system, not a badge. Each tier grants what a person may do, and each is earned against evidence a client would accept.</t>
  </si>
  <si>
    <t xml:space="preserve">Tier</t>
  </si>
  <si>
    <t xml:space="preserve">Name</t>
  </si>
  <si>
    <t xml:space="preserve">What it requires</t>
  </si>
  <si>
    <t xml:space="preserve">What it grants</t>
  </si>
  <si>
    <t xml:space="preserve">Indicative time</t>
  </si>
  <si>
    <t xml:space="preserve">Card band</t>
  </si>
  <si>
    <t xml:space="preserve">Decided by</t>
  </si>
  <si>
    <t xml:space="preserve">T0</t>
  </si>
  <si>
    <t xml:space="preserve">Registered</t>
  </si>
  <si>
    <t xml:space="preserve">The applicant exists in the registry and has accepted the rules. Nothing has been checked.</t>
  </si>
  <si>
    <t xml:space="preserve">Registration form completed; profile photograph uploaded; contact channel confirmed; Code of Conduct accepted; Privacy Notice accepted.</t>
  </si>
  <si>
    <t xml:space="preserve">Visible to Kayan only. May apply to Forge cohorts. May volunteer. Cannot join a pod. Cannot receive paid work.</t>
  </si>
  <si>
    <t xml:space="preserve">Immediate on submission</t>
  </si>
  <si>
    <t xml:space="preserve">None</t>
  </si>
  <si>
    <t xml:space="preserve">Automatic</t>
  </si>
  <si>
    <t xml:space="preserve">T1</t>
  </si>
  <si>
    <t xml:space="preserve">Identified</t>
  </si>
  <si>
    <t xml:space="preserve">Kayan knows who this person is and has seen evidence of what they can do.</t>
  </si>
  <si>
    <t xml:space="preserve">Government identity document verified; face match to the profile photograph confirmed; liveness challenge passed; declared specialisations mapped to the taxonomy; minimum three portfolio artefacts submitted with provenance; practical assessment passed at or above [[PH-SCORE-T1]].</t>
  </si>
  <si>
    <t xml:space="preserve">Listed in the searchable talent pool. May join a pod as a contributing member. May receive supervised work. Card issued.</t>
  </si>
  <si>
    <t xml:space="preserve">[[PH-SLA-T1]] from T0</t>
  </si>
  <si>
    <t xml:space="preserve">Grey band</t>
  </si>
  <si>
    <t xml:space="preserve">T2</t>
  </si>
  <si>
    <t xml:space="preserve">Verified</t>
  </si>
  <si>
    <t xml:space="preserve">An assessor has examined the work against a published rubric and a second human has spoken to the person.</t>
  </si>
  <si>
    <t xml:space="preserve">Portfolio scored against the domain rubric at or above [[PH-SCORE-T2]]; structured verification interview completed and scored by two interviewers; two reference checks returned at or above [[PH-REF-T2]]; at least one completed Kayan delivery accepted by the client; no open sanction.</t>
  </si>
  <si>
    <t xml:space="preserve">Full portal access. May take the primary contributor role on a pod. Eligible for the published rate band. Featured in matching.</t>
  </si>
  <si>
    <t xml:space="preserve">[[PH-SLA-T2]] from T1</t>
  </si>
  <si>
    <t xml:space="preserve">Silver band</t>
  </si>
  <si>
    <t xml:space="preserve">T3</t>
  </si>
  <si>
    <t xml:space="preserve">Proven</t>
  </si>
  <si>
    <t xml:space="preserve">The record, not the claim, now carries the person. Delivery history is the evidence.</t>
  </si>
  <si>
    <t xml:space="preserve">[[PH-PODS-T3]] accepted deliveries; rolling acceptance rating at or above [[PH-RATE-T3]]; zero sanctions in the preceding [[PH-CLEAN-T3]]; peer endorsement from two talents at T3 or above; documented mentoring of at least one talent at T0 or T1.</t>
  </si>
  <si>
    <t xml:space="preserve">May lead a pod. May serve as quality reviewer on pods they are not part of. Eligible for retainer engagements. Eligible to instruct at the Forge.</t>
  </si>
  <si>
    <t xml:space="preserve">[[PH-SLA-T3]] from T2</t>
  </si>
  <si>
    <t xml:space="preserve">Gold band</t>
  </si>
  <si>
    <t xml:space="preserve">POS-TAL-LEAD with POS-CEO countersignature</t>
  </si>
  <si>
    <t xml:space="preserve">T4</t>
  </si>
  <si>
    <t xml:space="preserve">Trusted</t>
  </si>
  <si>
    <t xml:space="preserve">Kayan will put this person in front of a client, a partner or a government body without supervision.</t>
  </si>
  <si>
    <t xml:space="preserve">[[PH-PODS-T4]] accepted deliveries at sustained quality; rolling acceptance rating at or above [[PH-RATE-T4]]; active contribution to the Kayan community; panel review passed; clean record for [[PH-CLEAN-T4]]; annual renewal, never permanent.</t>
  </si>
  <si>
    <t xml:space="preserve">May represent Kayan externally. Client-facing without supervision. May assemble pods. May conduct verification interviews. Advisory input on talent decisions.</t>
  </si>
  <si>
    <t xml:space="preserve">[[PH-SLA-T4]] from T3</t>
  </si>
  <si>
    <t xml:space="preserve">Platinum band</t>
  </si>
  <si>
    <t xml:space="preserve">Panel: POS-CEO, POS-TAL-LEAD, POS-MD-LEAD</t>
  </si>
  <si>
    <t xml:space="preserve">A tier is never awarded by a machine alone. A machine may pass a person on identity. Only a named position may fail one, or raise one.</t>
  </si>
  <si>
    <t xml:space="preserve">The five evidence axes</t>
  </si>
  <si>
    <t xml:space="preserve">Every tier is a statement about five separate things. A person is never a single score. Identity gates all four others.</t>
  </si>
  <si>
    <t xml:space="preserve">The question it answers</t>
  </si>
  <si>
    <t xml:space="preserve">Evidence used</t>
  </si>
  <si>
    <t xml:space="preserve">Level required</t>
  </si>
  <si>
    <t xml:space="preserve">AX-ID</t>
  </si>
  <si>
    <t xml:space="preserve">Identity</t>
  </si>
  <si>
    <t xml:space="preserve">Is this person who they say they are.</t>
  </si>
  <si>
    <t xml:space="preserve">Government identity document; face match to profile photograph; liveness challenge; where no current document exists, a documented alternative attestation route.</t>
  </si>
  <si>
    <t xml:space="preserve">Gates every other axis. No axis is scored while Identity sits below L1.</t>
  </si>
  <si>
    <t xml:space="preserve">L1 at T1; L2 at T2; L3 at T3; L4 at T4</t>
  </si>
  <si>
    <t xml:space="preserve">AX-SK</t>
  </si>
  <si>
    <t xml:space="preserve">Skill</t>
  </si>
  <si>
    <t xml:space="preserve">Can this person do what they claim.</t>
  </si>
  <si>
    <t xml:space="preserve">Portfolio artefacts with provenance notes; practical task assessment calibrated per specialisation; structured interview scored by two people against a published rubric.</t>
  </si>
  <si>
    <t xml:space="preserve">Forge graduates receive an uplift on the specialisation they trained in, evidenced by the capstone.</t>
  </si>
  <si>
    <t xml:space="preserve">AX-TR</t>
  </si>
  <si>
    <t xml:space="preserve">Track record</t>
  </si>
  <si>
    <t xml:space="preserve">What has actually been delivered.</t>
  </si>
  <si>
    <t xml:space="preserve">Acceptance rate; on-time rate; revision count per deliverable; rehire rate; dispute outcomes. Populated only from completed Kayan deliveries.</t>
  </si>
  <si>
    <t xml:space="preserve">Starts at L1 for new talent and grows. A Forge capstone counts as evidence toward the L1 to L2 gate only.</t>
  </si>
  <si>
    <t xml:space="preserve">AX-BH</t>
  </si>
  <si>
    <t xml:space="preserve">Conduct</t>
  </si>
  <si>
    <t xml:space="preserve">Is this person reliable to work with.</t>
  </si>
  <si>
    <t xml:space="preserve">Response time to assignment offers; missed deadline rate; professionalism ratings from clients and pod leads; safeguarding record.</t>
  </si>
  <si>
    <t xml:space="preserve">Rolling [[PH-WINDOW-BH]] window. Two consecutive cycles below the tier threshold triggers automatic review.</t>
  </si>
  <si>
    <t xml:space="preserve">AX-CP</t>
  </si>
  <si>
    <t xml:space="preserve">Capacity</t>
  </si>
  <si>
    <t xml:space="preserve">Does this person actually have the time they claim.</t>
  </si>
  <si>
    <t xml:space="preserve">Declared weekly availability; committed hours across live pods; double-booking detection; utilisation against declaration.</t>
  </si>
  <si>
    <t xml:space="preserve">Prevents over-assignment. A capacity breach is a conduct signal, not only a scheduling problem.</t>
  </si>
  <si>
    <t xml:space="preserve">Declared at T0; validated from T1</t>
  </si>
  <si>
    <t xml:space="preserve">Permission matrix</t>
  </si>
  <si>
    <t xml:space="preserve">What each tier may actually do. This matrix is the contract between the ladder and the platform: if it is not permitted here, the system must not allow it.</t>
  </si>
  <si>
    <t xml:space="preserve">Capability</t>
  </si>
  <si>
    <t xml:space="preserve">Appears in the internal registry</t>
  </si>
  <si>
    <t xml:space="preserve">Yes</t>
  </si>
  <si>
    <t xml:space="preserve">Appears in the searchable talent pool</t>
  </si>
  <si>
    <t xml:space="preserve">No</t>
  </si>
  <si>
    <t xml:space="preserve">Holds a Kayan card</t>
  </si>
  <si>
    <t xml:space="preserve">May enrol in a Forge cohort</t>
  </si>
  <si>
    <t xml:space="preserve">May register as a volunteer</t>
  </si>
  <si>
    <t xml:space="preserve">May observe a pod without pay</t>
  </si>
  <si>
    <t xml:space="preserve">May join a pod as a contributor</t>
  </si>
  <si>
    <t xml:space="preserve">May take the primary contributor role</t>
  </si>
  <si>
    <t xml:space="preserve">May lead a pod</t>
  </si>
  <si>
    <t xml:space="preserve">May act as quality reviewer</t>
  </si>
  <si>
    <t xml:space="preserve">May speak to a client unsupervised</t>
  </si>
  <si>
    <t xml:space="preserve">May conduct verification interviews</t>
  </si>
  <si>
    <t xml:space="preserve">Eligible for retainer engagements</t>
  </si>
  <si>
    <t xml:space="preserve">Eligible to instruct at the Forge</t>
  </si>
  <si>
    <t xml:space="preserve">Hub benefit entitlement</t>
  </si>
  <si>
    <t xml:space="preserve">[[PH-HUB-T1]]</t>
  </si>
  <si>
    <t xml:space="preserve">[[PH-HUB-T2]]</t>
  </si>
  <si>
    <t xml:space="preserve">[[PH-HUB-T3]]</t>
  </si>
  <si>
    <t xml:space="preserve">[[PH-HUB-T4]]</t>
  </si>
  <si>
    <t xml:space="preserve">Rate band</t>
  </si>
  <si>
    <t xml:space="preserve">[[PH-BAND-T1]]</t>
  </si>
  <si>
    <t xml:space="preserve">[[PH-BAND-T2]]</t>
  </si>
  <si>
    <t xml:space="preserve">[[PH-BAND-T3]]</t>
  </si>
  <si>
    <t xml:space="preserve">[[PH-BAND-T4]]</t>
  </si>
  <si>
    <t xml:space="preserve">Progression and review</t>
  </si>
  <si>
    <t xml:space="preserve">How a person moves up, how a person moves down, and who decides. Nothing changes silently and nobody learns of a change from a third party.</t>
  </si>
  <si>
    <t xml:space="preserve">How it works</t>
  </si>
  <si>
    <t xml:space="preserve">Trigger</t>
  </si>
  <si>
    <t xml:space="preserve">Talent is told</t>
  </si>
  <si>
    <t xml:space="preserve">Eligibility is computed nightly</t>
  </si>
  <si>
    <t xml:space="preserve">Every axis is recomputed from the ledgers. Crossing a threshold flags eligibility. It does not award anything.</t>
  </si>
  <si>
    <t xml:space="preserve">Scheduled job</t>
  </si>
  <si>
    <t xml:space="preserve">System flags only</t>
  </si>
  <si>
    <t xml:space="preserve">No, not at flag stage</t>
  </si>
  <si>
    <t xml:space="preserve">Promotion is a human decision</t>
  </si>
  <si>
    <t xml:space="preserve">A named position reviews the axis snapshot and the evidence, and records a reason in writing.</t>
  </si>
  <si>
    <t xml:space="preserve">Eligibility flag</t>
  </si>
  <si>
    <t xml:space="preserve">POS-TAL-LEAD, and POS-CEO countersigns at T3</t>
  </si>
  <si>
    <t xml:space="preserve">Yes, on award, with what the next tier needs</t>
  </si>
  <si>
    <t xml:space="preserve">T4 is a panel decision</t>
  </si>
  <si>
    <t xml:space="preserve">Three positions sit as a panel. The decision is minuted.</t>
  </si>
  <si>
    <t xml:space="preserve">Nomination</t>
  </si>
  <si>
    <t xml:space="preserve">POS-CEO, POS-TAL-LEAD, POS-MD-LEAD</t>
  </si>
  <si>
    <t xml:space="preserve">Yes, with the panel note</t>
  </si>
  <si>
    <t xml:space="preserve">T4 renews annually</t>
  </si>
  <si>
    <t xml:space="preserve">T4 is never permanent. It lapses without renewal.</t>
  </si>
  <si>
    <t xml:space="preserve">Anniversary</t>
  </si>
  <si>
    <t xml:space="preserve">Panel</t>
  </si>
  <si>
    <t xml:space="preserve">Yes, at [[PH-CARD-NOTICE]] before</t>
  </si>
  <si>
    <t xml:space="preserve">Reduction requires two cycles</t>
  </si>
  <si>
    <t xml:space="preserve">One bad cycle is life. Two consecutive cycles below the threshold opens a review.</t>
  </si>
  <si>
    <t xml:space="preserve">Two consecutive cycles</t>
  </si>
  <si>
    <t xml:space="preserve">Yes, before any change, with the evidence</t>
  </si>
  <si>
    <t xml:space="preserve">Reduction is one step at a time</t>
  </si>
  <si>
    <t xml:space="preserve">Except where a sanction specifies otherwise, a person falls one tier, never several.</t>
  </si>
  <si>
    <t xml:space="preserve">Review outcome</t>
  </si>
  <si>
    <t xml:space="preserve">Dormancy reduces, it does not remove</t>
  </si>
  <si>
    <t xml:space="preserve">Dormancy costs a tier and is fully reversible on re-verification. Nobody is deleted for being quiet.</t>
  </si>
  <si>
    <t xml:space="preserve">[[PH-DORMANT]]</t>
  </si>
  <si>
    <t xml:space="preserve">System, reviewed monthly</t>
  </si>
  <si>
    <t xml:space="preserve">Yes, with a re-engagement offer first</t>
  </si>
  <si>
    <t xml:space="preserve">Every decision carries an appeal</t>
  </si>
  <si>
    <t xml:space="preserve">Except safeguarding and proven identity misrepresentation, every outcome may be appealed once.</t>
  </si>
  <si>
    <t xml:space="preserve">Notice of decision</t>
  </si>
  <si>
    <t xml:space="preserve">POS-CEO at final instance</t>
  </si>
  <si>
    <t xml:space="preserve">Yes, the route is in the notice itself</t>
  </si>
  <si>
    <t xml:space="preserve">Appeals are decided by someone else</t>
  </si>
  <si>
    <t xml:space="preserve">The position that decided does not hear the appeal.</t>
  </si>
  <si>
    <t xml:space="preserve">Appeal lodged</t>
  </si>
  <si>
    <t xml:space="preserve">One level above</t>
  </si>
  <si>
    <t xml:space="preserve">Evidence outlives the decision</t>
  </si>
  <si>
    <t xml:space="preserve">The axis snapshot at the moment of decision is retained permanently, so any decision can be re-examined years later.</t>
  </si>
  <si>
    <t xml:space="preserve">Every decision</t>
  </si>
  <si>
    <t xml:space="preserve">System</t>
  </si>
  <si>
    <t xml:space="preserve">On request</t>
  </si>
  <si>
    <t xml:space="preserve">Conduct and sanctions</t>
  </si>
  <si>
    <t xml:space="preserve">What breaks the relationship, what happens, who decides and whether it can be appealed. Published to every applicant at orientation, not hidden until it is needed.</t>
  </si>
  <si>
    <t xml:space="preserve">Consequence</t>
  </si>
  <si>
    <t xml:space="preserve">Authority</t>
  </si>
  <si>
    <t xml:space="preserve">Appeal</t>
  </si>
  <si>
    <t xml:space="preserve">Axis affected</t>
  </si>
  <si>
    <t xml:space="preserve">SA-01</t>
  </si>
  <si>
    <t xml:space="preserve">Late without notice</t>
  </si>
  <si>
    <t xml:space="preserve">A milestone date passes with no prior notice to the pod lead.</t>
  </si>
  <si>
    <t xml:space="preserve">Recorded warning. Second occurrence in [[PH-WINDOW-BH]]: one tier reduction.</t>
  </si>
  <si>
    <t xml:space="preserve">Yes, to POS-TAL-LEAD</t>
  </si>
  <si>
    <t xml:space="preserve">SA-02</t>
  </si>
  <si>
    <t xml:space="preserve">Quality gate failed twice</t>
  </si>
  <si>
    <t xml:space="preserve">Two consecutive quality-gate failures on the same deliverable.</t>
  </si>
  <si>
    <t xml:space="preserve">Removal from the pod and [[PH-PROB-SA02]] probation.</t>
  </si>
  <si>
    <t xml:space="preserve">Yes, to POS-CEO</t>
  </si>
  <si>
    <t xml:space="preserve">SA-03</t>
  </si>
  <si>
    <t xml:space="preserve">Substantiated client complaint</t>
  </si>
  <si>
    <t xml:space="preserve">A client complaint about conduct or quality is investigated and upheld.</t>
  </si>
  <si>
    <t xml:space="preserve">Warning or one tier reduction depending on finding.</t>
  </si>
  <si>
    <t xml:space="preserve">POS-TAL-LEAD with POS-MD-LEAD</t>
  </si>
  <si>
    <t xml:space="preserve">SA-04</t>
  </si>
  <si>
    <t xml:space="preserve">Undisclosed reuse or generation</t>
  </si>
  <si>
    <t xml:space="preserve">Work submitted as original is found to be copied, or machine-generated without the disclosure the terms require.</t>
  </si>
  <si>
    <t xml:space="preserve">Immediate suspension. Reduction to T0. Re-verification required to return.</t>
  </si>
  <si>
    <t xml:space="preserve">SA-05</t>
  </si>
  <si>
    <t xml:space="preserve">Safeguarding breach</t>
  </si>
  <si>
    <t xml:space="preserve">Any breach of the safeguarding standard, including harassment or exploitation.</t>
  </si>
  <si>
    <t xml:space="preserve">Immediate suspension and permanent removal from the registry.</t>
  </si>
  <si>
    <t xml:space="preserve">SA-06</t>
  </si>
  <si>
    <t xml:space="preserve">Abandonment</t>
  </si>
  <si>
    <t xml:space="preserve">An accepted assignment is abandoned with no contact for [[PH-ABANDON]].</t>
  </si>
  <si>
    <t xml:space="preserve">Removal from the pod, one tier reduction, [[PH-COOL-SA06]] cooling period.</t>
  </si>
  <si>
    <t xml:space="preserve">POS-MD-LEAD escalating to POS-TAL-LEAD</t>
  </si>
  <si>
    <t xml:space="preserve">SA-07</t>
  </si>
  <si>
    <t xml:space="preserve">Confidentiality breach</t>
  </si>
  <si>
    <t xml:space="preserve">Client material or Kayan internal material shared without authorisation.</t>
  </si>
  <si>
    <t xml:space="preserve">Immediate suspension pending investigation, with counsel engaged.</t>
  </si>
  <si>
    <t xml:space="preserve">POS-CEO with POS-COUNSEL</t>
  </si>
  <si>
    <t xml:space="preserve">SA-08</t>
  </si>
  <si>
    <t xml:space="preserve">Dormancy</t>
  </si>
  <si>
    <t xml:space="preserve">No pod participation and no portal activity for [[PH-DORMANT]].</t>
  </si>
  <si>
    <t xml:space="preserve">Automatic one tier reduction. Re-verification required to restore.</t>
  </si>
  <si>
    <t xml:space="preserve">System, scheduled</t>
  </si>
  <si>
    <t xml:space="preserve">Reapply</t>
  </si>
  <si>
    <t xml:space="preserve">SA-09</t>
  </si>
  <si>
    <t xml:space="preserve">Capacity misdeclaration</t>
  </si>
  <si>
    <t xml:space="preserve">Declared availability is contradicted by accepted commitments on two occasions.</t>
  </si>
  <si>
    <t xml:space="preserve">Recorded warning and capacity re-declaration required before further assignment.</t>
  </si>
  <si>
    <t xml:space="preserve">SA-10</t>
  </si>
  <si>
    <t xml:space="preserve">Identity misrepresentation</t>
  </si>
  <si>
    <t xml:space="preserve">Evidence submitted at verification is found to be false.</t>
  </si>
  <si>
    <t xml:space="preserve">Immediate revocation. Entry in the do-not-engage register. Counsel notified.</t>
  </si>
  <si>
    <t xml:space="preserve">KAYAN  ·  KAY-TOS-001  ·  TAXONOMY</t>
  </si>
  <si>
    <t xml:space="preserve">Domains</t>
  </si>
  <si>
    <t xml:space="preserve">The top of the matching tree. Fourteen domains, twelve live and two staged for the second phase. A domain is chosen once; specialisations do the real work.</t>
  </si>
  <si>
    <t xml:space="preserve">What sits here</t>
  </si>
  <si>
    <t xml:space="preserve">Expected demand</t>
  </si>
  <si>
    <t xml:space="preserve">D01</t>
  </si>
  <si>
    <t xml:space="preserve">Web and Software Development</t>
  </si>
  <si>
    <t xml:space="preserve">Build, integrate and maintain digital products.</t>
  </si>
  <si>
    <t xml:space="preserve">High</t>
  </si>
  <si>
    <t xml:space="preserve">Live</t>
  </si>
  <si>
    <t xml:space="preserve">D02</t>
  </si>
  <si>
    <t xml:space="preserve">Design</t>
  </si>
  <si>
    <t xml:space="preserve">Visual identity, interface and print.</t>
  </si>
  <si>
    <t xml:space="preserve">D03</t>
  </si>
  <si>
    <t xml:space="preserve">Content and Writing</t>
  </si>
  <si>
    <t xml:space="preserve">Editorial, technical and commercial writing.</t>
  </si>
  <si>
    <t xml:space="preserve">D04</t>
  </si>
  <si>
    <t xml:space="preserve">Translation and Localisation</t>
  </si>
  <si>
    <t xml:space="preserve">Language transfer and cultural adaptation.</t>
  </si>
  <si>
    <t xml:space="preserve">D05</t>
  </si>
  <si>
    <t xml:space="preserve">Digital Marketing</t>
  </si>
  <si>
    <t xml:space="preserve">Reach, acquisition and channel management.</t>
  </si>
  <si>
    <t xml:space="preserve">Medium</t>
  </si>
  <si>
    <t xml:space="preserve">D06</t>
  </si>
  <si>
    <t xml:space="preserve">Video and Audio</t>
  </si>
  <si>
    <t xml:space="preserve">Capture, edit and produce moving image and sound.</t>
  </si>
  <si>
    <t xml:space="preserve">D07</t>
  </si>
  <si>
    <t xml:space="preserve">Research and Data</t>
  </si>
  <si>
    <t xml:space="preserve">Evidence gathering, analysis and measurement.</t>
  </si>
  <si>
    <t xml:space="preserve">D08</t>
  </si>
  <si>
    <t xml:space="preserve">Finance and Accounting</t>
  </si>
  <si>
    <t xml:space="preserve">Bookkeeping, reporting and modelling.</t>
  </si>
  <si>
    <t xml:space="preserve">D09</t>
  </si>
  <si>
    <t xml:space="preserve">Administration and Support</t>
  </si>
  <si>
    <t xml:space="preserve">Coordination, service and back-office work.</t>
  </si>
  <si>
    <t xml:space="preserve">D10</t>
  </si>
  <si>
    <t xml:space="preserve">Training and Development</t>
  </si>
  <si>
    <t xml:space="preserve">Curriculum, facilitation and capability building.</t>
  </si>
  <si>
    <t xml:space="preserve">D11</t>
  </si>
  <si>
    <t xml:space="preserve">Proposals and Institutional Writing</t>
  </si>
  <si>
    <t xml:space="preserve">Funding applications, tenders and reporting to institutions.</t>
  </si>
  <si>
    <t xml:space="preserve">D12</t>
  </si>
  <si>
    <t xml:space="preserve">Events, Workshops and Facilitation</t>
  </si>
  <si>
    <t xml:space="preserve">Design and delivery of convenings.</t>
  </si>
  <si>
    <t xml:space="preserve">D13</t>
  </si>
  <si>
    <t xml:space="preserve">Engineering and Technical Services</t>
  </si>
  <si>
    <t xml:space="preserve">Applied technical work outside software.</t>
  </si>
  <si>
    <t xml:space="preserve">Phase 2</t>
  </si>
  <si>
    <t xml:space="preserve">D14</t>
  </si>
  <si>
    <t xml:space="preserve">Legal and Compliance Support</t>
  </si>
  <si>
    <t xml:space="preserve">Document preparation and compliance research under supervision.</t>
  </si>
  <si>
    <t xml:space="preserve">Low</t>
  </si>
  <si>
    <t xml:space="preserve">Specialisations</t>
  </si>
  <si>
    <t xml:space="preserve">Forty-five specialisations. The primary specialisation decides which practical task a person sits, so it must be precise enough to assess and broad enough to match.</t>
  </si>
  <si>
    <t xml:space="preserve">Specialisation</t>
  </si>
  <si>
    <t xml:space="preserve">Scope</t>
  </si>
  <si>
    <t xml:space="preserve">Assessment method</t>
  </si>
  <si>
    <t xml:space="preserve">Minimum tier to be matched</t>
  </si>
  <si>
    <t xml:space="preserve">D01-S01</t>
  </si>
  <si>
    <t xml:space="preserve">Frontend Development</t>
  </si>
  <si>
    <t xml:space="preserve">Interface implementation in a modern framework.</t>
  </si>
  <si>
    <t xml:space="preserve">Portfolio and practical task</t>
  </si>
  <si>
    <t xml:space="preserve">D01-S02</t>
  </si>
  <si>
    <t xml:space="preserve">Backend Development</t>
  </si>
  <si>
    <t xml:space="preserve">Service, database and API implementation.</t>
  </si>
  <si>
    <t xml:space="preserve">D01-S03</t>
  </si>
  <si>
    <t xml:space="preserve">Full-Stack Development</t>
  </si>
  <si>
    <t xml:space="preserve">End-to-end product implementation.</t>
  </si>
  <si>
    <t xml:space="preserve">D01-S04</t>
  </si>
  <si>
    <t xml:space="preserve">Content Management and Commerce</t>
  </si>
  <si>
    <t xml:space="preserve">Platform-based sites and storefronts.</t>
  </si>
  <si>
    <t xml:space="preserve">D01-S05</t>
  </si>
  <si>
    <t xml:space="preserve">Mobile and Progressive Web</t>
  </si>
  <si>
    <t xml:space="preserve">Applications for handheld devices.</t>
  </si>
  <si>
    <t xml:space="preserve">D01-S06</t>
  </si>
  <si>
    <t xml:space="preserve">Infrastructure and Deployment</t>
  </si>
  <si>
    <t xml:space="preserve">Hosting, pipelines, monitoring and recovery.</t>
  </si>
  <si>
    <t xml:space="preserve">Portfolio and scenario interview</t>
  </si>
  <si>
    <t xml:space="preserve">D02-S01</t>
  </si>
  <si>
    <t xml:space="preserve">Brand Identity</t>
  </si>
  <si>
    <t xml:space="preserve">Marks, systems and identity guidelines.</t>
  </si>
  <si>
    <t xml:space="preserve">Portfolio scored on rubric</t>
  </si>
  <si>
    <t xml:space="preserve">D02-S02</t>
  </si>
  <si>
    <t xml:space="preserve">Interface Design</t>
  </si>
  <si>
    <t xml:space="preserve">Screen design and design systems.</t>
  </si>
  <si>
    <t xml:space="preserve">D02-S03</t>
  </si>
  <si>
    <t xml:space="preserve">Experience Design</t>
  </si>
  <si>
    <t xml:space="preserve">Research, flows, testing and information architecture.</t>
  </si>
  <si>
    <t xml:space="preserve">Portfolio and structured interview</t>
  </si>
  <si>
    <t xml:space="preserve">D02-S04</t>
  </si>
  <si>
    <t xml:space="preserve">Print and Publication</t>
  </si>
  <si>
    <t xml:space="preserve">Layout for print production.</t>
  </si>
  <si>
    <t xml:space="preserve">Portfolio with print specification</t>
  </si>
  <si>
    <t xml:space="preserve">D02-S05</t>
  </si>
  <si>
    <t xml:space="preserve">Social and Campaign Design</t>
  </si>
  <si>
    <t xml:space="preserve">Channel-native visual assets.</t>
  </si>
  <si>
    <t xml:space="preserve">D02-S06</t>
  </si>
  <si>
    <t xml:space="preserve">Motion and Animation</t>
  </si>
  <si>
    <t xml:space="preserve">Moving graphics and animated explanation.</t>
  </si>
  <si>
    <t xml:space="preserve">D03-S01</t>
  </si>
  <si>
    <t xml:space="preserve">Editorial and Long Form</t>
  </si>
  <si>
    <t xml:space="preserve">Articles, features and thought pieces.</t>
  </si>
  <si>
    <t xml:space="preserve">Writing sample and timed task</t>
  </si>
  <si>
    <t xml:space="preserve">D03-S02</t>
  </si>
  <si>
    <t xml:space="preserve">Technical Writing</t>
  </si>
  <si>
    <t xml:space="preserve">Documentation, manuals and specifications.</t>
  </si>
  <si>
    <t xml:space="preserve">D03-S03</t>
  </si>
  <si>
    <t xml:space="preserve">Commercial Copy</t>
  </si>
  <si>
    <t xml:space="preserve">Persuasive and conversion writing.</t>
  </si>
  <si>
    <t xml:space="preserve">D03-S04</t>
  </si>
  <si>
    <t xml:space="preserve">Script and Narrative</t>
  </si>
  <si>
    <t xml:space="preserve">Scripts, storyboards and narration.</t>
  </si>
  <si>
    <t xml:space="preserve">Writing sample</t>
  </si>
  <si>
    <t xml:space="preserve">D04-S01</t>
  </si>
  <si>
    <t xml:space="preserve">General Translation</t>
  </si>
  <si>
    <t xml:space="preserve">Everyday and commercial material.</t>
  </si>
  <si>
    <t xml:space="preserve">Timed translation task</t>
  </si>
  <si>
    <t xml:space="preserve">D04-S02</t>
  </si>
  <si>
    <t xml:space="preserve">Specialised Translation</t>
  </si>
  <si>
    <t xml:space="preserve">Legal, medical, technical or financial material.</t>
  </si>
  <si>
    <t xml:space="preserve">Timed translation task and domain interview</t>
  </si>
  <si>
    <t xml:space="preserve">D04-S03</t>
  </si>
  <si>
    <t xml:space="preserve">Localisation</t>
  </si>
  <si>
    <t xml:space="preserve">Adaptation of product and interface language.</t>
  </si>
  <si>
    <t xml:space="preserve">Practical task</t>
  </si>
  <si>
    <t xml:space="preserve">D05-S01</t>
  </si>
  <si>
    <t xml:space="preserve">Channel Management</t>
  </si>
  <si>
    <t xml:space="preserve">Day-to-day management of owned channels.</t>
  </si>
  <si>
    <t xml:space="preserve">Portfolio and plan task</t>
  </si>
  <si>
    <t xml:space="preserve">D05-S02</t>
  </si>
  <si>
    <t xml:space="preserve">Paid Acquisition</t>
  </si>
  <si>
    <t xml:space="preserve">Managed advertising across platforms.</t>
  </si>
  <si>
    <t xml:space="preserve">Account evidence and scenario task</t>
  </si>
  <si>
    <t xml:space="preserve">D05-S03</t>
  </si>
  <si>
    <t xml:space="preserve">Search Visibility</t>
  </si>
  <si>
    <t xml:space="preserve">Technical and content search performance.</t>
  </si>
  <si>
    <t xml:space="preserve">Audit task</t>
  </si>
  <si>
    <t xml:space="preserve">D05-S04</t>
  </si>
  <si>
    <t xml:space="preserve">Content Marketing</t>
  </si>
  <si>
    <t xml:space="preserve">Editorial planning tied to acquisition.</t>
  </si>
  <si>
    <t xml:space="preserve">D06-S01</t>
  </si>
  <si>
    <t xml:space="preserve">Video Editing</t>
  </si>
  <si>
    <t xml:space="preserve">Assembly, grading and delivery.</t>
  </si>
  <si>
    <t xml:space="preserve">Showreel and practical task</t>
  </si>
  <si>
    <t xml:space="preserve">D06-S02</t>
  </si>
  <si>
    <t xml:space="preserve">Photography and Videography</t>
  </si>
  <si>
    <t xml:space="preserve">Capture on location and in studio.</t>
  </si>
  <si>
    <t xml:space="preserve">Portfolio and brief shoot</t>
  </si>
  <si>
    <t xml:space="preserve">D06-S03</t>
  </si>
  <si>
    <t xml:space="preserve">Voice and Audio</t>
  </si>
  <si>
    <t xml:space="preserve">Recording, narration and sound treatment.</t>
  </si>
  <si>
    <t xml:space="preserve">Audio sample</t>
  </si>
  <si>
    <t xml:space="preserve">D07-S01</t>
  </si>
  <si>
    <t xml:space="preserve">Market and Sector Research</t>
  </si>
  <si>
    <t xml:space="preserve">Structured desk and field research.</t>
  </si>
  <si>
    <t xml:space="preserve">Sample report and method interview</t>
  </si>
  <si>
    <t xml:space="preserve">D07-S02</t>
  </si>
  <si>
    <t xml:space="preserve">Data Analysis</t>
  </si>
  <si>
    <t xml:space="preserve">Cleaning, analysis and visualisation.</t>
  </si>
  <si>
    <t xml:space="preserve">Practical dataset task</t>
  </si>
  <si>
    <t xml:space="preserve">D07-S03</t>
  </si>
  <si>
    <t xml:space="preserve">Monitoring and Evaluation</t>
  </si>
  <si>
    <t xml:space="preserve">Indicator design, collection and reporting.</t>
  </si>
  <si>
    <t xml:space="preserve">Framework task and interview</t>
  </si>
  <si>
    <t xml:space="preserve">D08-S01</t>
  </si>
  <si>
    <t xml:space="preserve">Bookkeeping and Accounts</t>
  </si>
  <si>
    <t xml:space="preserve">Ledgers, reconciliation and statements.</t>
  </si>
  <si>
    <t xml:space="preserve">Practical task and standards interview</t>
  </si>
  <si>
    <t xml:space="preserve">D08-S02</t>
  </si>
  <si>
    <t xml:space="preserve">Financial Modelling</t>
  </si>
  <si>
    <t xml:space="preserve">Forecasts, budgets and scenario models.</t>
  </si>
  <si>
    <t xml:space="preserve">Model build task</t>
  </si>
  <si>
    <t xml:space="preserve">D09-S01</t>
  </si>
  <si>
    <t xml:space="preserve">Remote Administration</t>
  </si>
  <si>
    <t xml:space="preserve">Scheduling, correspondence and records.</t>
  </si>
  <si>
    <t xml:space="preserve">D09-S02</t>
  </si>
  <si>
    <t xml:space="preserve">Customer Service</t>
  </si>
  <si>
    <t xml:space="preserve">Enquiry handling and resolution.</t>
  </si>
  <si>
    <t xml:space="preserve">Roleplay assessment</t>
  </si>
  <si>
    <t xml:space="preserve">D10-S01</t>
  </si>
  <si>
    <t xml:space="preserve">Curriculum Design</t>
  </si>
  <si>
    <t xml:space="preserve">Learning outcomes, sequence and materials.</t>
  </si>
  <si>
    <t xml:space="preserve">Portfolio and design task</t>
  </si>
  <si>
    <t xml:space="preserve">D10-S02</t>
  </si>
  <si>
    <t xml:space="preserve">Facilitation and Training</t>
  </si>
  <si>
    <t xml:space="preserve">Live delivery to groups.</t>
  </si>
  <si>
    <t xml:space="preserve">Recorded delivery and observed session</t>
  </si>
  <si>
    <t xml:space="preserve">D11-S01</t>
  </si>
  <si>
    <t xml:space="preserve">Proposal and Bid Writing</t>
  </si>
  <si>
    <t xml:space="preserve">Institutional funding applications and tenders.</t>
  </si>
  <si>
    <t xml:space="preserve">Sample proposal and timed task</t>
  </si>
  <si>
    <t xml:space="preserve">D11-S02</t>
  </si>
  <si>
    <t xml:space="preserve">Donor and Institutional Reporting</t>
  </si>
  <si>
    <t xml:space="preserve">Narrative and results reporting to funders.</t>
  </si>
  <si>
    <t xml:space="preserve">Sample report and timed task</t>
  </si>
  <si>
    <t xml:space="preserve">D11-S03</t>
  </si>
  <si>
    <t xml:space="preserve">Concept Note and Case Development</t>
  </si>
  <si>
    <t xml:space="preserve">Short-form persuasion for funding.</t>
  </si>
  <si>
    <t xml:space="preserve">Timed task</t>
  </si>
  <si>
    <t xml:space="preserve">D12-S01</t>
  </si>
  <si>
    <t xml:space="preserve">Event Design and Production</t>
  </si>
  <si>
    <t xml:space="preserve">Concept, run of show and delivery.</t>
  </si>
  <si>
    <t xml:space="preserve">D12-S02</t>
  </si>
  <si>
    <t xml:space="preserve">Workshop Design and Delivery</t>
  </si>
  <si>
    <t xml:space="preserve">Participatory sessions with defined outputs.</t>
  </si>
  <si>
    <t xml:space="preserve">Design task and observed session</t>
  </si>
  <si>
    <t xml:space="preserve">D12-S03</t>
  </si>
  <si>
    <t xml:space="preserve">Logistics and Coordination</t>
  </si>
  <si>
    <t xml:space="preserve">Venue, participants, materials and travel.</t>
  </si>
  <si>
    <t xml:space="preserve">Scenario task</t>
  </si>
  <si>
    <t xml:space="preserve">D13-S01</t>
  </si>
  <si>
    <t xml:space="preserve">Surveying and Assessment</t>
  </si>
  <si>
    <t xml:space="preserve">Site and condition assessment.</t>
  </si>
  <si>
    <t xml:space="preserve">Portfolio and method interview</t>
  </si>
  <si>
    <t xml:space="preserve">D13-S02</t>
  </si>
  <si>
    <t xml:space="preserve">Technical Drawing</t>
  </si>
  <si>
    <t xml:space="preserve">Drawings and schedules to standard.</t>
  </si>
  <si>
    <t xml:space="preserve">D14-S01</t>
  </si>
  <si>
    <t xml:space="preserve">Document Preparation</t>
  </si>
  <si>
    <t xml:space="preserve">Contracts and forms prepared under supervision.</t>
  </si>
  <si>
    <t xml:space="preserve">Practical task under supervision</t>
  </si>
  <si>
    <t xml:space="preserve">D14-S02</t>
  </si>
  <si>
    <t xml:space="preserve">Compliance Research</t>
  </si>
  <si>
    <t xml:space="preserve">Regulatory and policy research.</t>
  </si>
  <si>
    <t xml:space="preserve">Research task</t>
  </si>
  <si>
    <t xml:space="preserve">Assessment bank requirements</t>
  </si>
  <si>
    <t xml:space="preserve">What must exist in the task bank before a specialisation may be opened for registration. A specialisation with no assessable task is not opened.</t>
  </si>
  <si>
    <t xml:space="preserve">Method</t>
  </si>
  <si>
    <t xml:space="preserve">Bank requirement</t>
  </si>
  <si>
    <t xml:space="preserve">Author</t>
  </si>
  <si>
    <t xml:space="preserve">Opening rule</t>
  </si>
  <si>
    <t xml:space="preserve">[[PH-TASKS-PER-SPEC]] tasks minimum</t>
  </si>
  <si>
    <t xml:space="preserve">Closed until the bank is populated</t>
  </si>
  <si>
    <t xml:space="preserve">KAYAN  ·  KAY-TOS-001  ·  FORMS</t>
  </si>
  <si>
    <t xml:space="preserve">Portal screen map</t>
  </si>
  <si>
    <t xml:space="preserve">Eighteen screens from first click to permanent membership. Each names the table it writes to and the position accountable for its content.</t>
  </si>
  <si>
    <t xml:space="preserve">Screen</t>
  </si>
  <si>
    <t xml:space="preserve">Access</t>
  </si>
  <si>
    <t xml:space="preserve">Purpose</t>
  </si>
  <si>
    <t xml:space="preserve">Writes to</t>
  </si>
  <si>
    <t xml:space="preserve">Content owner</t>
  </si>
  <si>
    <t xml:space="preserve">S00</t>
  </si>
  <si>
    <t xml:space="preserve">Gateway</t>
  </si>
  <si>
    <t xml:space="preserve">Public</t>
  </si>
  <si>
    <t xml:space="preserve">The first eight seconds. Explain the offer and remove the fear of a long form.</t>
  </si>
  <si>
    <t xml:space="preserve">None. Read only.</t>
  </si>
  <si>
    <t xml:space="preserve">S01</t>
  </si>
  <si>
    <t xml:space="preserve">Create account</t>
  </si>
  <si>
    <t xml:space="preserve">Establish an account before any personal data is requested.</t>
  </si>
  <si>
    <t xml:space="preserve">account</t>
  </si>
  <si>
    <t xml:space="preserve">S02</t>
  </si>
  <si>
    <t xml:space="preserve">Confirm channel</t>
  </si>
  <si>
    <t xml:space="preserve">Prove the person controls the contact channel they gave.</t>
  </si>
  <si>
    <t xml:space="preserve">account_channel</t>
  </si>
  <si>
    <t xml:space="preserve">S03</t>
  </si>
  <si>
    <t xml:space="preserve">Orientation</t>
  </si>
  <si>
    <t xml:space="preserve">Gated</t>
  </si>
  <si>
    <t xml:space="preserve">Teach the model before asking for anything. Six cards, each acknowledged.</t>
  </si>
  <si>
    <t xml:space="preserve">orientation_ack</t>
  </si>
  <si>
    <t xml:space="preserve">S04</t>
  </si>
  <si>
    <t xml:space="preserve">About you</t>
  </si>
  <si>
    <t xml:space="preserve">Collect the identity core that everything else attaches to.</t>
  </si>
  <si>
    <t xml:space="preserve">talent_profile</t>
  </si>
  <si>
    <t xml:space="preserve">S05</t>
  </si>
  <si>
    <t xml:space="preserve">What you do</t>
  </si>
  <si>
    <t xml:space="preserve">Map declared capability onto the taxonomy so matching can work.</t>
  </si>
  <si>
    <t xml:space="preserve">talent_specialisation</t>
  </si>
  <si>
    <t xml:space="preserve">S06</t>
  </si>
  <si>
    <t xml:space="preserve">Your work</t>
  </si>
  <si>
    <t xml:space="preserve">Gather evidence, not claims.</t>
  </si>
  <si>
    <t xml:space="preserve">talent_artefact</t>
  </si>
  <si>
    <t xml:space="preserve">S07</t>
  </si>
  <si>
    <t xml:space="preserve">Your time</t>
  </si>
  <si>
    <t xml:space="preserve">Establish honest capacity before any assignment is possible.</t>
  </si>
  <si>
    <t xml:space="preserve">talent_capacity</t>
  </si>
  <si>
    <t xml:space="preserve">S08</t>
  </si>
  <si>
    <t xml:space="preserve">Getting paid</t>
  </si>
  <si>
    <t xml:space="preserve">Set the payment route in the applicant's own name.</t>
  </si>
  <si>
    <t xml:space="preserve">talent_payment_route</t>
  </si>
  <si>
    <t xml:space="preserve">S09</t>
  </si>
  <si>
    <t xml:space="preserve">Prove it is you</t>
  </si>
  <si>
    <t xml:space="preserve">Identity verification: document, face match, liveness.</t>
  </si>
  <si>
    <t xml:space="preserve">verification_case</t>
  </si>
  <si>
    <t xml:space="preserve">S10</t>
  </si>
  <si>
    <t xml:space="preserve">The rules</t>
  </si>
  <si>
    <t xml:space="preserve">Explicit, itemised, separately recorded consent.</t>
  </si>
  <si>
    <t xml:space="preserve">consent_record</t>
  </si>
  <si>
    <t xml:space="preserve">S11</t>
  </si>
  <si>
    <t xml:space="preserve">Show us</t>
  </si>
  <si>
    <t xml:space="preserve">The practical assessment. The single most important screen.</t>
  </si>
  <si>
    <t xml:space="preserve">assessment_attempt</t>
  </si>
  <si>
    <t xml:space="preserve">S12</t>
  </si>
  <si>
    <t xml:space="preserve">Talk to us</t>
  </si>
  <si>
    <t xml:space="preserve">Book and hold the verification interview.</t>
  </si>
  <si>
    <t xml:space="preserve">interview_booking</t>
  </si>
  <si>
    <t xml:space="preserve">S13</t>
  </si>
  <si>
    <t xml:space="preserve">People who know your work</t>
  </si>
  <si>
    <t xml:space="preserve">Reference collection, requested by Kayan not the applicant.</t>
  </si>
  <si>
    <t xml:space="preserve">reference_request</t>
  </si>
  <si>
    <t xml:space="preserve">S14</t>
  </si>
  <si>
    <t xml:space="preserve">Where you stand</t>
  </si>
  <si>
    <t xml:space="preserve">A live, honest status tracker. No silent queues.</t>
  </si>
  <si>
    <t xml:space="preserve">application_status</t>
  </si>
  <si>
    <t xml:space="preserve">S15</t>
  </si>
  <si>
    <t xml:space="preserve">Your space</t>
  </si>
  <si>
    <t xml:space="preserve">Member</t>
  </si>
  <si>
    <t xml:space="preserve">The permanent home. Where the relationship continues.</t>
  </si>
  <si>
    <t xml:space="preserve">talent_space</t>
  </si>
  <si>
    <t xml:space="preserve">S16</t>
  </si>
  <si>
    <t xml:space="preserve">Give back</t>
  </si>
  <si>
    <t xml:space="preserve">The volunteer track, opened as a choice not a default.</t>
  </si>
  <si>
    <t xml:space="preserve">volunteer_profile</t>
  </si>
  <si>
    <t xml:space="preserve">S17</t>
  </si>
  <si>
    <t xml:space="preserve">Your card</t>
  </si>
  <si>
    <t xml:space="preserve">Digital credential, physical card request, verification link.</t>
  </si>
  <si>
    <t xml:space="preserve">card</t>
  </si>
  <si>
    <t xml:space="preserve">Field specification</t>
  </si>
  <si>
    <t xml:space="preserve">Every field on every screen: label, input type, options, whether it is required, how it validates, why it is asked, the words shown to the applicant, and where it lands. This is the build contract.</t>
  </si>
  <si>
    <t xml:space="preserve">Seq</t>
  </si>
  <si>
    <t xml:space="preserve">Label shown</t>
  </si>
  <si>
    <t xml:space="preserve">Input type</t>
  </si>
  <si>
    <t xml:space="preserve">Options or source</t>
  </si>
  <si>
    <t xml:space="preserve">Required</t>
  </si>
  <si>
    <t xml:space="preserve">Validation</t>
  </si>
  <si>
    <t xml:space="preserve">Why it is asked</t>
  </si>
  <si>
    <t xml:space="preserve">Helper text shown to the applicant</t>
  </si>
  <si>
    <t xml:space="preserve">ACC-01</t>
  </si>
  <si>
    <t xml:space="preserve">Full name as you want to be known</t>
  </si>
  <si>
    <t xml:space="preserve">Short text</t>
  </si>
  <si>
    <t xml:space="preserve">Free text, 2 to 80 characters</t>
  </si>
  <si>
    <t xml:space="preserve">Two words minimum. Letters, spaces, hyphens and apostrophes only. No digits.</t>
  </si>
  <si>
    <t xml:space="preserve">It is the name we will use when we speak to you. The legal name comes later and can differ.</t>
  </si>
  <si>
    <t xml:space="preserve">This is how we will greet you. Your legal name is collected separately at verification.</t>
  </si>
  <si>
    <t xml:space="preserve">account.display_name</t>
  </si>
  <si>
    <t xml:space="preserve">ACC-02</t>
  </si>
  <si>
    <t xml:space="preserve">Mobile number</t>
  </si>
  <si>
    <t xml:space="preserve">Phone</t>
  </si>
  <si>
    <t xml:space="preserve">Country selector plus national number</t>
  </si>
  <si>
    <t xml:space="preserve">Valid for the selected country. Stored in international format. Must be unique in the registry.</t>
  </si>
  <si>
    <t xml:space="preserve">One person, one account. The number is the account key and the channel we will actually use.</t>
  </si>
  <si>
    <t xml:space="preserve">Use the number that has your messaging app on it. We will send a code to it in the next step.</t>
  </si>
  <si>
    <t xml:space="preserve">account.msisdn</t>
  </si>
  <si>
    <t xml:space="preserve">ACC-03</t>
  </si>
  <si>
    <t xml:space="preserve">Email address</t>
  </si>
  <si>
    <t xml:space="preserve">Email</t>
  </si>
  <si>
    <t xml:space="preserve">Free text</t>
  </si>
  <si>
    <t xml:space="preserve">Standard address validation. Must be unique. Disposable-domain list rejected with a plain explanation.</t>
  </si>
  <si>
    <t xml:space="preserve">Formal records, contracts and payment advices go to email. Messaging is for speed, email is for record.</t>
  </si>
  <si>
    <t xml:space="preserve">We send contracts and payment advices here. Use an address you will still have in two years.</t>
  </si>
  <si>
    <t xml:space="preserve">account.email</t>
  </si>
  <si>
    <t xml:space="preserve">ACC-04</t>
  </si>
  <si>
    <t xml:space="preserve">Preferred contact channel</t>
  </si>
  <si>
    <t xml:space="preserve">Single select</t>
  </si>
  <si>
    <t xml:space="preserve">Messaging app, Email, Voice call</t>
  </si>
  <si>
    <t xml:space="preserve">One value required.</t>
  </si>
  <si>
    <t xml:space="preserve">We route notifications on the channel the applicant actually reads.</t>
  </si>
  <si>
    <t xml:space="preserve">Pick the one you check most. You can change it at any time in your space.</t>
  </si>
  <si>
    <t xml:space="preserve">account.preferred_channel</t>
  </si>
  <si>
    <t xml:space="preserve">ACC-05</t>
  </si>
  <si>
    <t xml:space="preserve">How you heard about Kayan</t>
  </si>
  <si>
    <t xml:space="preserve">Someone told me, Social media, Kayan Hub, A Forge cohort, An employer or client, A community organisation, Search, Other</t>
  </si>
  <si>
    <t xml:space="preserve">One value. Free text field appears when Other is chosen.</t>
  </si>
  <si>
    <t xml:space="preserve">Attribution for the acquisition model, and it tells us which channels actually carry trust.</t>
  </si>
  <si>
    <t xml:space="preserve">This helps us know which of our efforts reach real people.</t>
  </si>
  <si>
    <t xml:space="preserve">account.source</t>
  </si>
  <si>
    <t xml:space="preserve">ACC-06</t>
  </si>
  <si>
    <t xml:space="preserve">Referral code</t>
  </si>
  <si>
    <t xml:space="preserve">Free text, optional</t>
  </si>
  <si>
    <t xml:space="preserve">If present, must resolve to an active talent, volunteer or partner code.</t>
  </si>
  <si>
    <t xml:space="preserve">Referral is the strongest quality signal we have. It also credits the referrer.</t>
  </si>
  <si>
    <t xml:space="preserve">If a Kayan talent, volunteer or partner sent you, put their code here so they get the credit.</t>
  </si>
  <si>
    <t xml:space="preserve">account.referrer_code</t>
  </si>
  <si>
    <t xml:space="preserve">ACC-07</t>
  </si>
  <si>
    <t xml:space="preserve">Password</t>
  </si>
  <si>
    <t xml:space="preserve">Masked with strength meter and reveal toggle</t>
  </si>
  <si>
    <t xml:space="preserve">Minimum 10 characters. Checked against a breached-password list. No composition rules beyond length.</t>
  </si>
  <si>
    <t xml:space="preserve">Account security without the theatre of forced symbols that push people to reuse passwords.</t>
  </si>
  <si>
    <t xml:space="preserve">Length beats symbols. A short phrase you will remember is stronger than a scrambled word.</t>
  </si>
  <si>
    <t xml:space="preserve">account.password_hash</t>
  </si>
  <si>
    <t xml:space="preserve">ACC-08</t>
  </si>
  <si>
    <t xml:space="preserve">Interface language</t>
  </si>
  <si>
    <t xml:space="preserve">Arabic, English</t>
  </si>
  <si>
    <t xml:space="preserve">Defaults to the browser language. Changeable at any time.</t>
  </si>
  <si>
    <t xml:space="preserve">The whole portal must be usable in the applicant's working language.</t>
  </si>
  <si>
    <t xml:space="preserve">You can switch at any time. Nothing you have entered is lost when you switch.</t>
  </si>
  <si>
    <t xml:space="preserve">account.locale</t>
  </si>
  <si>
    <t xml:space="preserve">CHN-01</t>
  </si>
  <si>
    <t xml:space="preserve">Verification code</t>
  </si>
  <si>
    <t xml:space="preserve">Numeric code</t>
  </si>
  <si>
    <t xml:space="preserve">Six digits, one field per digit, paste supported</t>
  </si>
  <si>
    <t xml:space="preserve">Expires in [[PH-OTP-TTL]]. Maximum [[PH-OTP-TRIES]] attempts, then a cool-down.</t>
  </si>
  <si>
    <t xml:space="preserve">Proves the applicant controls the number. Blocks the most common form of duplicate registration.</t>
  </si>
  <si>
    <t xml:space="preserve">We sent a six digit code. It expires shortly. Tap resend if it does not arrive.</t>
  </si>
  <si>
    <t xml:space="preserve">account_channel.verified_at</t>
  </si>
  <si>
    <t xml:space="preserve">CHN-02</t>
  </si>
  <si>
    <t xml:space="preserve">Resend on a different channel</t>
  </si>
  <si>
    <t xml:space="preserve">Action</t>
  </si>
  <si>
    <t xml:space="preserve">Send by messaging app, Send by SMS, Call me with the code</t>
  </si>
  <si>
    <t xml:space="preserve">Rate limited. Voice fallback available after two failed sends.</t>
  </si>
  <si>
    <t xml:space="preserve">Network conditions in Yemen are not uniform. A single delivery route excludes people.</t>
  </si>
  <si>
    <t xml:space="preserve">If the message does not arrive we can call you and read the code aloud.</t>
  </si>
  <si>
    <t xml:space="preserve">account_channel.delivery_attempts</t>
  </si>
  <si>
    <t xml:space="preserve">ORI-01</t>
  </si>
  <si>
    <t xml:space="preserve">What Kayan is</t>
  </si>
  <si>
    <t xml:space="preserve">Acknowledgement card</t>
  </si>
  <si>
    <t xml:space="preserve">Read and continue</t>
  </si>
  <si>
    <t xml:space="preserve">Continue disabled until the card has been on screen for [[PH-ORI-DWELL]].</t>
  </si>
  <si>
    <t xml:space="preserve">People who understand the model complete verification. People who do not, abandon it.</t>
  </si>
  <si>
    <t xml:space="preserve">Kayan is not a job board and not a marketplace. We take the work, we stand behind it, and we build the team that delivers it.</t>
  </si>
  <si>
    <t xml:space="preserve">orientation_ack.card_01</t>
  </si>
  <si>
    <t xml:space="preserve">ORI-02</t>
  </si>
  <si>
    <t xml:space="preserve">How you get work</t>
  </si>
  <si>
    <t xml:space="preserve">As above.</t>
  </si>
  <si>
    <t xml:space="preserve">Sets the expectation that work arrives through pods, not through bidding.</t>
  </si>
  <si>
    <t xml:space="preserve">You do not bid against other people. When a project matches what you can do, we invite you to a pod.</t>
  </si>
  <si>
    <t xml:space="preserve">orientation_ack.card_02</t>
  </si>
  <si>
    <t xml:space="preserve">ORI-03</t>
  </si>
  <si>
    <t xml:space="preserve">How you get paid</t>
  </si>
  <si>
    <t xml:space="preserve">Payment anxiety is the single largest reason freelancers disengage. Address it before the form, not after.</t>
  </si>
  <si>
    <t xml:space="preserve">The client pays before the work starts. The money is held, not spent. You are paid against accepted milestones, into your own bank account.</t>
  </si>
  <si>
    <t xml:space="preserve">orientation_ack.card_03</t>
  </si>
  <si>
    <t xml:space="preserve">ORI-04</t>
  </si>
  <si>
    <t xml:space="preserve">What verification is</t>
  </si>
  <si>
    <t xml:space="preserve">Frames verification as a permission system rather than a judgement of worth.</t>
  </si>
  <si>
    <t xml:space="preserve">Verification is not a test of whether you are good enough. It is how we earn the right to promise a client that you are real, able and reliable.</t>
  </si>
  <si>
    <t xml:space="preserve">orientation_ack.card_04</t>
  </si>
  <si>
    <t xml:space="preserve">ORI-05</t>
  </si>
  <si>
    <t xml:space="preserve">What we expect</t>
  </si>
  <si>
    <t xml:space="preserve">States the obligations before consent, so consent means something.</t>
  </si>
  <si>
    <t xml:space="preserve">Answer when we contact you. Tell us early if something slips. Never send work that is not yours. That is most of it.</t>
  </si>
  <si>
    <t xml:space="preserve">orientation_ack.card_05</t>
  </si>
  <si>
    <t xml:space="preserve">ORI-06</t>
  </si>
  <si>
    <t xml:space="preserve">What this will take</t>
  </si>
  <si>
    <t xml:space="preserve">Honest time estimate reduces abandonment more than any progress bar.</t>
  </si>
  <si>
    <t xml:space="preserve">About [[PH-FORM-MINUTES]] minutes now, plus a practical task and a short conversation. You can stop and return at any point.</t>
  </si>
  <si>
    <t xml:space="preserve">orientation_ack.card_06</t>
  </si>
  <si>
    <t xml:space="preserve">ORI-07</t>
  </si>
  <si>
    <t xml:space="preserve">Comprehension check</t>
  </si>
  <si>
    <t xml:space="preserve">Multiple choice, three items</t>
  </si>
  <si>
    <t xml:space="preserve">Three single-select questions drawn from the six cards</t>
  </si>
  <si>
    <t xml:space="preserve">All three must be answered. Wrong answers reveal the correct card again rather than blocking.</t>
  </si>
  <si>
    <t xml:space="preserve">Confirms the model landed. Also gives us a measurable orientation completion signal.</t>
  </si>
  <si>
    <t xml:space="preserve">Three quick questions. There is no penalty for a wrong answer, we will just show you that part again.</t>
  </si>
  <si>
    <t xml:space="preserve">orientation_ack.check_score</t>
  </si>
  <si>
    <t xml:space="preserve">PRF-01</t>
  </si>
  <si>
    <t xml:space="preserve">Full legal name</t>
  </si>
  <si>
    <t xml:space="preserve">Free text, as written on the identity document</t>
  </si>
  <si>
    <t xml:space="preserve">Must match the identity document at verification within an accepted variance for transliteration.</t>
  </si>
  <si>
    <t xml:space="preserve">Contracts and payment instructions carry the legal name. A mismatch stops a payment.</t>
  </si>
  <si>
    <t xml:space="preserve">Exactly as it appears on your identity document, even if you never use that form of your name.</t>
  </si>
  <si>
    <t xml:space="preserve">talent_profile.legal_name</t>
  </si>
  <si>
    <t xml:space="preserve">PRF-02</t>
  </si>
  <si>
    <t xml:space="preserve">Date of birth</t>
  </si>
  <si>
    <t xml:space="preserve">Date</t>
  </si>
  <si>
    <t xml:space="preserve">Date picker, calendar-aware</t>
  </si>
  <si>
    <t xml:space="preserve">Must be [[PH-MIN-AGE]] or above. Future dates rejected.</t>
  </si>
  <si>
    <t xml:space="preserve">Age eligibility and safeguarding.</t>
  </si>
  <si>
    <t xml:space="preserve">We register adults only. If you are under age there is a separate Forge route open to you.</t>
  </si>
  <si>
    <t xml:space="preserve">talent_profile.dob</t>
  </si>
  <si>
    <t xml:space="preserve">PRF-03</t>
  </si>
  <si>
    <t xml:space="preserve">Gender</t>
  </si>
  <si>
    <t xml:space="preserve">Woman, Man, Prefer not to say</t>
  </si>
  <si>
    <t xml:space="preserve">Optional. Never used in matching.</t>
  </si>
  <si>
    <t xml:space="preserve">Only for inclusion reporting in aggregate. It is never a matching input and never shown to clients.</t>
  </si>
  <si>
    <t xml:space="preserve">We report participation in aggregate to our partners. It plays no part in whether you get work.</t>
  </si>
  <si>
    <t xml:space="preserve">talent_profile.gender</t>
  </si>
  <si>
    <t xml:space="preserve">PRF-04</t>
  </si>
  <si>
    <t xml:space="preserve">Nationality</t>
  </si>
  <si>
    <t xml:space="preserve">Country list</t>
  </si>
  <si>
    <t xml:space="preserve">One value.</t>
  </si>
  <si>
    <t xml:space="preserve">Sanctions screening and payment routing depend on it.</t>
  </si>
  <si>
    <t xml:space="preserve">talent_profile.nationality</t>
  </si>
  <si>
    <t xml:space="preserve">PRF-05</t>
  </si>
  <si>
    <t xml:space="preserve">Country of residence</t>
  </si>
  <si>
    <t xml:space="preserve">Country list, Yemen first</t>
  </si>
  <si>
    <t xml:space="preserve">One value. Drives the payment route options at S08.</t>
  </si>
  <si>
    <t xml:space="preserve">Determines payment route, timezone handling and whether Hub benefits apply.</t>
  </si>
  <si>
    <t xml:space="preserve">Where you actually live now, which may not be where you are from.</t>
  </si>
  <si>
    <t xml:space="preserve">talent_profile.country</t>
  </si>
  <si>
    <t xml:space="preserve">PRF-06</t>
  </si>
  <si>
    <t xml:space="preserve">Governorate or region</t>
  </si>
  <si>
    <t xml:space="preserve">Governorate list when Yemen is selected, otherwise free text</t>
  </si>
  <si>
    <t xml:space="preserve">Conditional on country.</t>
  </si>
  <si>
    <t xml:space="preserve">Enables the Aden-presence rule on pods and local convening.</t>
  </si>
  <si>
    <t xml:space="preserve">talent_profile.region</t>
  </si>
  <si>
    <t xml:space="preserve">PRF-07</t>
  </si>
  <si>
    <t xml:space="preserve">City</t>
  </si>
  <si>
    <t xml:space="preserve">Free text with suggestion list</t>
  </si>
  <si>
    <t xml:space="preserve">2 to 60 characters.</t>
  </si>
  <si>
    <t xml:space="preserve">talent_profile.city</t>
  </si>
  <si>
    <t xml:space="preserve">PRF-08</t>
  </si>
  <si>
    <t xml:space="preserve">Are you a Yemeni living outside Yemen</t>
  </si>
  <si>
    <t xml:space="preserve">Yes, No</t>
  </si>
  <si>
    <t xml:space="preserve">One value. When Yes, reveals PRF-09.</t>
  </si>
  <si>
    <t xml:space="preserve">Opens the diaspora track: different payment routes, different products, different time zones.</t>
  </si>
  <si>
    <t xml:space="preserve">talent_profile.diaspora_flag</t>
  </si>
  <si>
    <t xml:space="preserve">PRF-09</t>
  </si>
  <si>
    <t xml:space="preserve">Time zone</t>
  </si>
  <si>
    <t xml:space="preserve">Time zone list, defaults from device</t>
  </si>
  <si>
    <t xml:space="preserve">Conditional. Shown when residence is outside Yemen.</t>
  </si>
  <si>
    <t xml:space="preserve">Overlap hours are a hard scheduling constraint for pods.</t>
  </si>
  <si>
    <t xml:space="preserve">We will show you the overlap with Aden hours so you can judge what suits you.</t>
  </si>
  <si>
    <t xml:space="preserve">talent_profile.timezone</t>
  </si>
  <si>
    <t xml:space="preserve">PRF-10</t>
  </si>
  <si>
    <t xml:space="preserve">Working languages and level</t>
  </si>
  <si>
    <t xml:space="preserve">Repeating group</t>
  </si>
  <si>
    <t xml:space="preserve">Language plus level: Native, Professional, Working, Basic</t>
  </si>
  <si>
    <t xml:space="preserve">At least one at Professional or above.</t>
  </si>
  <si>
    <t xml:space="preserve">Language is a matching field and a quality risk if overstated.</t>
  </si>
  <si>
    <t xml:space="preserve">Be honest about level. We will test the languages you claim to work in.</t>
  </si>
  <si>
    <t xml:space="preserve">talent_profile_language</t>
  </si>
  <si>
    <t xml:space="preserve">PRF-11</t>
  </si>
  <si>
    <t xml:space="preserve">Highest completed education</t>
  </si>
  <si>
    <t xml:space="preserve">No formal qualification, Secondary, Diploma, Bachelor, Master, Doctorate</t>
  </si>
  <si>
    <t xml:space="preserve">Context, not a filter. Self-taught practitioners pass at the same rate.</t>
  </si>
  <si>
    <t xml:space="preserve">We record it. We do not weight it. The practical task decides.</t>
  </si>
  <si>
    <t xml:space="preserve">talent_profile.education_level</t>
  </si>
  <si>
    <t xml:space="preserve">PRF-12</t>
  </si>
  <si>
    <t xml:space="preserve">Field of study</t>
  </si>
  <si>
    <t xml:space="preserve">0 to 80 characters.</t>
  </si>
  <si>
    <t xml:space="preserve">Leave blank if it is not relevant to the work you do.</t>
  </si>
  <si>
    <t xml:space="preserve">talent_profile.education_field</t>
  </si>
  <si>
    <t xml:space="preserve">PRF-13</t>
  </si>
  <si>
    <t xml:space="preserve">Current situation</t>
  </si>
  <si>
    <t xml:space="preserve">Working full time, Working part time, Freelancing, Studying, Not currently working, Other</t>
  </si>
  <si>
    <t xml:space="preserve">Capacity realism and programme targeting.</t>
  </si>
  <si>
    <t xml:space="preserve">talent_profile.employment_status</t>
  </si>
  <si>
    <t xml:space="preserve">PRF-14</t>
  </si>
  <si>
    <t xml:space="preserve">Profile photograph</t>
  </si>
  <si>
    <t xml:space="preserve">File upload</t>
  </si>
  <si>
    <t xml:space="preserve">Single image</t>
  </si>
  <si>
    <t xml:space="preserve">JPEG or PNG. 600 by 600 pixels minimum. Maximum [[PH-PHOTO-MB]] MB. Face detected, single face, eyes open, unobstructed.</t>
  </si>
  <si>
    <t xml:space="preserve">It appears on the card and on the public verification page. A verifier compares it to the person in front of them.</t>
  </si>
  <si>
    <t xml:space="preserve">Face the camera, plain background, good light, no filter, no sunglasses. Tap the guide if you want the full standard.</t>
  </si>
  <si>
    <t xml:space="preserve">talent_profile.photo_ref</t>
  </si>
  <si>
    <t xml:space="preserve">PRF-15</t>
  </si>
  <si>
    <t xml:space="preserve">Photograph guide</t>
  </si>
  <si>
    <t xml:space="preserve">Download link</t>
  </si>
  <si>
    <t xml:space="preserve">Downloadable one page guide plus in-browser camera with live framing overlay</t>
  </si>
  <si>
    <t xml:space="preserve">Guide available in both languages.</t>
  </si>
  <si>
    <t xml:space="preserve">Removes the most common cause of rework in the whole funnel.</t>
  </si>
  <si>
    <t xml:space="preserve">We will tell you before you submit if the photo will not pass, so you never wait days to find out.</t>
  </si>
  <si>
    <t xml:space="preserve">static.photo_guide</t>
  </si>
  <si>
    <t xml:space="preserve">PRF-16</t>
  </si>
  <si>
    <t xml:space="preserve">Short professional summary</t>
  </si>
  <si>
    <t xml:space="preserve">Long text</t>
  </si>
  <si>
    <t xml:space="preserve">Free text, 200 to 600 characters, live counter</t>
  </si>
  <si>
    <t xml:space="preserve">Minimum 200 characters. Machine-generated text detector runs as a soft flag, never an automatic rejection.</t>
  </si>
  <si>
    <t xml:space="preserve">It is the first thing a delivery lead reads when assembling a pod.</t>
  </si>
  <si>
    <t xml:space="preserve">Write it as you would say it. What you do, who you have done it for, what you are good at.</t>
  </si>
  <si>
    <t xml:space="preserve">talent_profile.summary</t>
  </si>
  <si>
    <t xml:space="preserve">SPC-01</t>
  </si>
  <si>
    <t xml:space="preserve">Primary domain</t>
  </si>
  <si>
    <t xml:space="preserve">Domain list from the taxonomy, with a one line description each</t>
  </si>
  <si>
    <t xml:space="preserve">The top of the matching tree.</t>
  </si>
  <si>
    <t xml:space="preserve">Choose where most of your work sits. You can add others below.</t>
  </si>
  <si>
    <t xml:space="preserve">talent_specialisation.primary_domain</t>
  </si>
  <si>
    <t xml:space="preserve">SPC-02</t>
  </si>
  <si>
    <t xml:space="preserve">Primary specialisation</t>
  </si>
  <si>
    <t xml:space="preserve">Specialisations filtered by the chosen domain</t>
  </si>
  <si>
    <t xml:space="preserve">One value. Determines which assessment you will sit.</t>
  </si>
  <si>
    <t xml:space="preserve">This decides the practical task at S11, so it must be precise.</t>
  </si>
  <si>
    <t xml:space="preserve">This is the one we will assess you on first.</t>
  </si>
  <si>
    <t xml:space="preserve">talent_specialisation.primary_spec</t>
  </si>
  <si>
    <t xml:space="preserve">SPC-03</t>
  </si>
  <si>
    <t xml:space="preserve">Additional specialisations</t>
  </si>
  <si>
    <t xml:space="preserve">Multi select</t>
  </si>
  <si>
    <t xml:space="preserve">Up to three further specialisations from any domain</t>
  </si>
  <si>
    <t xml:space="preserve">Maximum three. Each may be assessed later.</t>
  </si>
  <si>
    <t xml:space="preserve">Cross-domain talent is what makes small pods work.</t>
  </si>
  <si>
    <t xml:space="preserve">Only pick what you would be comfortable being tested on.</t>
  </si>
  <si>
    <t xml:space="preserve">talent_specialisation.secondary_specs</t>
  </si>
  <si>
    <t xml:space="preserve">SPC-04</t>
  </si>
  <si>
    <t xml:space="preserve">Self-assessed level per specialisation</t>
  </si>
  <si>
    <t xml:space="preserve">Matrix</t>
  </si>
  <si>
    <t xml:space="preserve">Per specialisation: Learning, Working, Proficient, Expert with a written definition of each</t>
  </si>
  <si>
    <t xml:space="preserve">One value per selected specialisation.</t>
  </si>
  <si>
    <t xml:space="preserve">We compare the declaration to the assessed result. A large gap is itself a signal.</t>
  </si>
  <si>
    <t xml:space="preserve">There is no advantage in overstating. We compare what you say to what you show.</t>
  </si>
  <si>
    <t xml:space="preserve">talent_specialisation.self_level</t>
  </si>
  <si>
    <t xml:space="preserve">SPC-05</t>
  </si>
  <si>
    <t xml:space="preserve">Tools and technologies</t>
  </si>
  <si>
    <t xml:space="preserve">Multi select with search</t>
  </si>
  <si>
    <t xml:space="preserve">Tool library filtered by specialisation, free entry permitted</t>
  </si>
  <si>
    <t xml:space="preserve">At least three.</t>
  </si>
  <si>
    <t xml:space="preserve">Practical matching. Clients ask for tools, not for abstractions.</t>
  </si>
  <si>
    <t xml:space="preserve">Add anything missing and we will consider it for the library.</t>
  </si>
  <si>
    <t xml:space="preserve">talent_specialisation.tools</t>
  </si>
  <si>
    <t xml:space="preserve">SPC-06</t>
  </si>
  <si>
    <t xml:space="preserve">Years working in the primary specialisation</t>
  </si>
  <si>
    <t xml:space="preserve">Under 1, 1 to 2, 3 to 5, 6 to 10, Over 10</t>
  </si>
  <si>
    <t xml:space="preserve">Rate band context and pod role fit.</t>
  </si>
  <si>
    <t xml:space="preserve">talent_specialisation.years</t>
  </si>
  <si>
    <t xml:space="preserve">SPC-07</t>
  </si>
  <si>
    <t xml:space="preserve">Sectors you have worked in</t>
  </si>
  <si>
    <t xml:space="preserve">Humanitarian and development, Government, Education, Health, Commerce and retail, Financial services, Technology, Media, Agriculture and fisheries, Energy, Construction, Other</t>
  </si>
  <si>
    <t xml:space="preserve">Up to five.</t>
  </si>
  <si>
    <t xml:space="preserve">Sector familiarity materially changes the quality of institutional work.</t>
  </si>
  <si>
    <t xml:space="preserve">Institutional clients value someone who already knows their world.</t>
  </si>
  <si>
    <t xml:space="preserve">talent_specialisation.sectors</t>
  </si>
  <si>
    <t xml:space="preserve">SPC-08</t>
  </si>
  <si>
    <t xml:space="preserve">Would you like to be considered as a pod lead in future</t>
  </si>
  <si>
    <t xml:space="preserve">Yes, Not yet, No</t>
  </si>
  <si>
    <t xml:space="preserve">One value. Does not affect the current tier.</t>
  </si>
  <si>
    <t xml:space="preserve">Leadership intent is scarce and worth capturing early.</t>
  </si>
  <si>
    <t xml:space="preserve">This is about the future. It has no effect on your verification now.</t>
  </si>
  <si>
    <t xml:space="preserve">talent_specialisation.lead_intent</t>
  </si>
  <si>
    <t xml:space="preserve">WRK-01</t>
  </si>
  <si>
    <t xml:space="preserve">Portfolio link</t>
  </si>
  <si>
    <t xml:space="preserve">URL</t>
  </si>
  <si>
    <t xml:space="preserve">Free text URL</t>
  </si>
  <si>
    <t xml:space="preserve">Valid URL. Reachability checked and the result shown immediately.</t>
  </si>
  <si>
    <t xml:space="preserve">Fastest route to an assessment for people who already publish their work.</t>
  </si>
  <si>
    <t xml:space="preserve">If your work lives on a site, a repository or a drive folder, link it here.</t>
  </si>
  <si>
    <t xml:space="preserve">talent_artefact.portfolio_url</t>
  </si>
  <si>
    <t xml:space="preserve">WRK-02</t>
  </si>
  <si>
    <t xml:space="preserve">Professional network profile</t>
  </si>
  <si>
    <t xml:space="preserve">Valid URL.</t>
  </si>
  <si>
    <t xml:space="preserve">Reference discovery and employment corroboration.</t>
  </si>
  <si>
    <t xml:space="preserve">talent_artefact.network_url</t>
  </si>
  <si>
    <t xml:space="preserve">WRK-03</t>
  </si>
  <si>
    <t xml:space="preserve">Work samples</t>
  </si>
  <si>
    <t xml:space="preserve">Repeating file upload</t>
  </si>
  <si>
    <t xml:space="preserve">Minimum three, maximum ten items</t>
  </si>
  <si>
    <t xml:space="preserve">Each item: PDF, image, document, archive or link. Maximum [[PH-ARTEFACT-MB]] MB each.</t>
  </si>
  <si>
    <t xml:space="preserve">This is the evidence the rubric is applied to. Three is the floor because one is luck and two is a pair.</t>
  </si>
  <si>
    <t xml:space="preserve">Three pieces minimum. Choose your best, not your newest.</t>
  </si>
  <si>
    <t xml:space="preserve">WRK-04</t>
  </si>
  <si>
    <t xml:space="preserve">For each sample: what it is</t>
  </si>
  <si>
    <t xml:space="preserve">Free text, 10 to 120 characters</t>
  </si>
  <si>
    <t xml:space="preserve">Per artefact.</t>
  </si>
  <si>
    <t xml:space="preserve">One line. What was it and who was it for.</t>
  </si>
  <si>
    <t xml:space="preserve">talent_artefact.title</t>
  </si>
  <si>
    <t xml:space="preserve">WRK-05</t>
  </si>
  <si>
    <t xml:space="preserve">For each sample: your role</t>
  </si>
  <si>
    <t xml:space="preserve">Sole author, Lead with a team, Contributor within a team, Student or practice work</t>
  </si>
  <si>
    <t xml:space="preserve">Provenance. A team piece claimed as solo work is the most common integrity failure we see.</t>
  </si>
  <si>
    <t xml:space="preserve">Be exact. We would rather see honest team work than an overstated solo claim.</t>
  </si>
  <si>
    <t xml:space="preserve">talent_artefact.role</t>
  </si>
  <si>
    <t xml:space="preserve">WRK-06</t>
  </si>
  <si>
    <t xml:space="preserve">For each sample: when</t>
  </si>
  <si>
    <t xml:space="preserve">Month and year</t>
  </si>
  <si>
    <t xml:space="preserve">Date picker</t>
  </si>
  <si>
    <t xml:space="preserve">Per artefact. Not in the future.</t>
  </si>
  <si>
    <t xml:space="preserve">Recency weighting in the rubric.</t>
  </si>
  <si>
    <t xml:space="preserve">talent_artefact.completed_on</t>
  </si>
  <si>
    <t xml:space="preserve">WRK-07</t>
  </si>
  <si>
    <t xml:space="preserve">For each sample: may we show it</t>
  </si>
  <si>
    <t xml:space="preserve">Yes publicly, Yes to clients only, No, internal assessment only</t>
  </si>
  <si>
    <t xml:space="preserve">Per artefact. Defaults to internal only.</t>
  </si>
  <si>
    <t xml:space="preserve">Client confidentiality survives the applicant's enthusiasm. The default must be closed.</t>
  </si>
  <si>
    <t xml:space="preserve">If the client has not agreed, choose internal only. That is the safe answer and it costs you nothing.</t>
  </si>
  <si>
    <t xml:space="preserve">talent_artefact.visibility</t>
  </si>
  <si>
    <t xml:space="preserve">WRK-08</t>
  </si>
  <si>
    <t xml:space="preserve">Certifications</t>
  </si>
  <si>
    <t xml:space="preserve">Name, issuing body, year, credential link or file</t>
  </si>
  <si>
    <t xml:space="preserve">Up to eight entries.</t>
  </si>
  <si>
    <t xml:space="preserve">Verified where cheaply verifiable, recorded where not.</t>
  </si>
  <si>
    <t xml:space="preserve">Add only what you can evidence if asked.</t>
  </si>
  <si>
    <t xml:space="preserve">talent_credential</t>
  </si>
  <si>
    <t xml:space="preserve">WRK-09</t>
  </si>
  <si>
    <t xml:space="preserve">Forge cohort</t>
  </si>
  <si>
    <t xml:space="preserve">Cohort list, or Not applicable</t>
  </si>
  <si>
    <t xml:space="preserve">Conditional. Auto-filled when the account matches a Forge graduate record.</t>
  </si>
  <si>
    <t xml:space="preserve">Graduates carry evidence we generated ourselves, which is the strongest evidence we hold.</t>
  </si>
  <si>
    <t xml:space="preserve">If you completed a Kayan Forge cohort we already hold your capstone. It counts.</t>
  </si>
  <si>
    <t xml:space="preserve">talent_profile.forge_cohort_id</t>
  </si>
  <si>
    <t xml:space="preserve">CAP-01</t>
  </si>
  <si>
    <t xml:space="preserve">Hours a week you can commit</t>
  </si>
  <si>
    <t xml:space="preserve">Under 5, 5 to 10, 11 to 20, 21 to 30, Over 30</t>
  </si>
  <si>
    <t xml:space="preserve">Capacity axis baseline. Over-declaration is the leading cause of missed milestones.</t>
  </si>
  <si>
    <t xml:space="preserve">Declare what is true on a normal week, not your best week.</t>
  </si>
  <si>
    <t xml:space="preserve">talent_capacity.weekly_hours</t>
  </si>
  <si>
    <t xml:space="preserve">CAP-02</t>
  </si>
  <si>
    <t xml:space="preserve">Days you are usually available</t>
  </si>
  <si>
    <t xml:space="preserve">Sunday through Saturday</t>
  </si>
  <si>
    <t xml:space="preserve">At least two days.</t>
  </si>
  <si>
    <t xml:space="preserve">Pod scheduling and client response windows.</t>
  </si>
  <si>
    <t xml:space="preserve">talent_capacity.days</t>
  </si>
  <si>
    <t xml:space="preserve">CAP-03</t>
  </si>
  <si>
    <t xml:space="preserve">Usual working window</t>
  </si>
  <si>
    <t xml:space="preserve">Range select</t>
  </si>
  <si>
    <t xml:space="preserve">Start and end hour, in the applicant's own time zone</t>
  </si>
  <si>
    <t xml:space="preserve">Start before end. Overlap with Aden hours computed and displayed live.</t>
  </si>
  <si>
    <t xml:space="preserve">Overlap is what makes a distributed pod function.</t>
  </si>
  <si>
    <t xml:space="preserve">We will show you your overlap with Aden as you set this.</t>
  </si>
  <si>
    <t xml:space="preserve">talent_capacity.window</t>
  </si>
  <si>
    <t xml:space="preserve">CAP-04</t>
  </si>
  <si>
    <t xml:space="preserve">How soon could you start</t>
  </si>
  <si>
    <t xml:space="preserve">Immediately, Within a week, Within a month, Not looking yet</t>
  </si>
  <si>
    <t xml:space="preserve">Pipeline realism.</t>
  </si>
  <si>
    <t xml:space="preserve">talent_capacity.availability_from</t>
  </si>
  <si>
    <t xml:space="preserve">CAP-05</t>
  </si>
  <si>
    <t xml:space="preserve">Do you hold other commitments</t>
  </si>
  <si>
    <t xml:space="preserve">No, Yes a job, Yes study, Yes other freelance work, Yes caring responsibilities</t>
  </si>
  <si>
    <t xml:space="preserve">One value. Never used to exclude.</t>
  </si>
  <si>
    <t xml:space="preserve">Honest capacity, and it lets us schedule around real life rather than pretend it does not exist.</t>
  </si>
  <si>
    <t xml:space="preserve">This never counts against you. It helps us give you work that fits your life.</t>
  </si>
  <si>
    <t xml:space="preserve">talent_capacity.other_commitments</t>
  </si>
  <si>
    <t xml:space="preserve">CAP-06</t>
  </si>
  <si>
    <t xml:space="preserve">Can you work at the Kayan Hub in Aden</t>
  </si>
  <si>
    <t xml:space="preserve">Yes regularly, Yes occasionally, No, I am not in Aden</t>
  </si>
  <si>
    <t xml:space="preserve">Drives the Aden-presence pod rule and Hub benefit provisioning.</t>
  </si>
  <si>
    <t xml:space="preserve">The Hub has power, internet and a desk waiting. If you are in Aden it is open to you.</t>
  </si>
  <si>
    <t xml:space="preserve">talent_capacity.hub_access</t>
  </si>
  <si>
    <t xml:space="preserve">CAP-07</t>
  </si>
  <si>
    <t xml:space="preserve">Your working setup</t>
  </si>
  <si>
    <t xml:space="preserve">Own laptop, Own desktop, Smartphone only, Shared or borrowed device, Reliable power, Intermittent power, Reliable internet, Intermittent internet</t>
  </si>
  <si>
    <t xml:space="preserve">At least two.</t>
  </si>
  <si>
    <t xml:space="preserve">Realistic assignment. It also tells us who genuinely needs the Hub.</t>
  </si>
  <si>
    <t xml:space="preserve">Tell us the truth here. If your power is unreliable we will plan around it, not around you.</t>
  </si>
  <si>
    <t xml:space="preserve">talent_capacity.setup</t>
  </si>
  <si>
    <t xml:space="preserve">CAP-08</t>
  </si>
  <si>
    <t xml:space="preserve">Accessibility or accommodation needs</t>
  </si>
  <si>
    <t xml:space="preserve">Routed to POS-TAL-LEAD, never shown to clients.</t>
  </si>
  <si>
    <t xml:space="preserve">We accommodate by design, not on request after the fact.</t>
  </si>
  <si>
    <t xml:space="preserve">Tell us what would make working with us work for you. It stays between you and the talent team.</t>
  </si>
  <si>
    <t xml:space="preserve">talent_capacity.accommodations</t>
  </si>
  <si>
    <t xml:space="preserve">PAY-01</t>
  </si>
  <si>
    <t xml:space="preserve">Payment route</t>
  </si>
  <si>
    <t xml:space="preserve">Options filtered by country of residence</t>
  </si>
  <si>
    <t xml:space="preserve">One value. Options are the approved institutional routes only.</t>
  </si>
  <si>
    <t xml:space="preserve">Payment routing is a control, not a preference. Only approved routes appear.</t>
  </si>
  <si>
    <t xml:space="preserve">We pay into accounts held in your own name. That is a rule we do not bend.</t>
  </si>
  <si>
    <t xml:space="preserve">talent_payment_route.method</t>
  </si>
  <si>
    <t xml:space="preserve">PAY-02</t>
  </si>
  <si>
    <t xml:space="preserve">Account holder name</t>
  </si>
  <si>
    <t xml:space="preserve">Must match the legal name at PRF-01 within accepted transliteration variance. A mismatch blocks payout, not registration.</t>
  </si>
  <si>
    <t xml:space="preserve">Third-party accounts are how funds get diverted. The name must be the person's own.</t>
  </si>
  <si>
    <t xml:space="preserve">It must be your own account. We cannot pay a relative's or a friend's account.</t>
  </si>
  <si>
    <t xml:space="preserve">talent_payment_route.holder_name</t>
  </si>
  <si>
    <t xml:space="preserve">PAY-03</t>
  </si>
  <si>
    <t xml:space="preserve">Institution</t>
  </si>
  <si>
    <t xml:space="preserve">Approved institution list by country</t>
  </si>
  <si>
    <t xml:space="preserve">talent_payment_route.institution</t>
  </si>
  <si>
    <t xml:space="preserve">PAY-04</t>
  </si>
  <si>
    <t xml:space="preserve">Account or IBAN</t>
  </si>
  <si>
    <t xml:space="preserve">Masked after entry, last four visible</t>
  </si>
  <si>
    <t xml:space="preserve">Format validated per institution. Stored encrypted.</t>
  </si>
  <si>
    <t xml:space="preserve">We encrypt this. Staff see only the last four digits.</t>
  </si>
  <si>
    <t xml:space="preserve">talent_payment_route.account_ref</t>
  </si>
  <si>
    <t xml:space="preserve">PAY-05</t>
  </si>
  <si>
    <t xml:space="preserve">Confirmation of account ownership</t>
  </si>
  <si>
    <t xml:space="preserve">Checkbox</t>
  </si>
  <si>
    <t xml:space="preserve">Single explicit statement</t>
  </si>
  <si>
    <t xml:space="preserve">Must be ticked. Recorded with timestamp.</t>
  </si>
  <si>
    <t xml:space="preserve">Creates a clear record if a diversion is ever attempted.</t>
  </si>
  <si>
    <t xml:space="preserve">I confirm this account is in my own name and I am its holder.</t>
  </si>
  <si>
    <t xml:space="preserve">consent_record.own_account</t>
  </si>
  <si>
    <t xml:space="preserve">PAY-06</t>
  </si>
  <si>
    <t xml:space="preserve">Tax or registration reference</t>
  </si>
  <si>
    <t xml:space="preserve">Some jurisdictions require it for a lawful payment.</t>
  </si>
  <si>
    <t xml:space="preserve">talent_payment_route.tax_ref</t>
  </si>
  <si>
    <t xml:space="preserve">PAY-07</t>
  </si>
  <si>
    <t xml:space="preserve">Prohibited routes notice</t>
  </si>
  <si>
    <t xml:space="preserve">Notice</t>
  </si>
  <si>
    <t xml:space="preserve">Read only</t>
  </si>
  <si>
    <t xml:space="preserve">Acknowledged.</t>
  </si>
  <si>
    <t xml:space="preserve">Informal transfer, cryptocurrency and third-party accounts are prohibited without exception.</t>
  </si>
  <si>
    <t xml:space="preserve">We do not use informal transfer, cryptocurrency or anyone else's account. Not once, not as a favour.</t>
  </si>
  <si>
    <t xml:space="preserve">consent_record.payment_rules</t>
  </si>
  <si>
    <t xml:space="preserve">IDV-01</t>
  </si>
  <si>
    <t xml:space="preserve">Document type</t>
  </si>
  <si>
    <t xml:space="preserve">National identity card, Passport, Driving licence, Family record with head-of-household document</t>
  </si>
  <si>
    <t xml:space="preserve">One value. The fourth option opens the alternative route.</t>
  </si>
  <si>
    <t xml:space="preserve">Conflict displaces documents. A single-document requirement excludes exactly the people we exist for.</t>
  </si>
  <si>
    <t xml:space="preserve">If your documents were lost, choose the last option. There is a route for you.</t>
  </si>
  <si>
    <t xml:space="preserve">verification_case.doc_type</t>
  </si>
  <si>
    <t xml:space="preserve">IDV-02</t>
  </si>
  <si>
    <t xml:space="preserve">Document images</t>
  </si>
  <si>
    <t xml:space="preserve">Front and back, or the photo page</t>
  </si>
  <si>
    <t xml:space="preserve">JPEG, PNG or PDF. Glare, blur, crop and edge detection run in the browser before upload is accepted.</t>
  </si>
  <si>
    <t xml:space="preserve">We check the image quality here and now, so you are never waiting days to be told it was blurry.</t>
  </si>
  <si>
    <t xml:space="preserve">verification_case.doc_refs</t>
  </si>
  <si>
    <t xml:space="preserve">IDV-03</t>
  </si>
  <si>
    <t xml:space="preserve">Document number</t>
  </si>
  <si>
    <t xml:space="preserve">Free text, masked after entry</t>
  </si>
  <si>
    <t xml:space="preserve">Checksum validated where the format allows.</t>
  </si>
  <si>
    <t xml:space="preserve">verification_case.doc_number</t>
  </si>
  <si>
    <t xml:space="preserve">IDV-04</t>
  </si>
  <si>
    <t xml:space="preserve">Document expiry</t>
  </si>
  <si>
    <t xml:space="preserve">Date picker, or None</t>
  </si>
  <si>
    <t xml:space="preserve">Not in the past unless the type has no expiry.</t>
  </si>
  <si>
    <t xml:space="preserve">verification_case.doc_expiry</t>
  </si>
  <si>
    <t xml:space="preserve">IDV-05</t>
  </si>
  <si>
    <t xml:space="preserve">Live capture</t>
  </si>
  <si>
    <t xml:space="preserve">Camera</t>
  </si>
  <si>
    <t xml:space="preserve">In-browser capture with framing overlay</t>
  </si>
  <si>
    <t xml:space="preserve">Camera only. Gallery upload disabled for this field.</t>
  </si>
  <si>
    <t xml:space="preserve">A gallery upload can be any image. A live capture is the point.</t>
  </si>
  <si>
    <t xml:space="preserve">This one has to be taken now, on camera. Look straight ahead in decent light.</t>
  </si>
  <si>
    <t xml:space="preserve">verification_case.selfie_ref</t>
  </si>
  <si>
    <t xml:space="preserve">IDV-06</t>
  </si>
  <si>
    <t xml:space="preserve">Liveness challenge</t>
  </si>
  <si>
    <t xml:space="preserve">Video</t>
  </si>
  <si>
    <t xml:space="preserve">Short recorded sequence with a randomised prompt</t>
  </si>
  <si>
    <t xml:space="preserve">Randomised prompt. Retry permitted [[PH-LIVENESS-TRIES]] times.</t>
  </si>
  <si>
    <t xml:space="preserve">Defeats a printed photograph or a screen held to the camera.</t>
  </si>
  <si>
    <t xml:space="preserve">A few seconds of video. Follow the prompt on screen.</t>
  </si>
  <si>
    <t xml:space="preserve">verification_case.liveness_ref</t>
  </si>
  <si>
    <t xml:space="preserve">IDV-07</t>
  </si>
  <si>
    <t xml:space="preserve">Face match result</t>
  </si>
  <si>
    <t xml:space="preserve">Automatic comparison of PRF-14, IDV-02 and IDV-05</t>
  </si>
  <si>
    <t xml:space="preserve">Score above [[PH-FACE-AUTO]] auto-passes. Below it, a human reviews. Never an automatic rejection.</t>
  </si>
  <si>
    <t xml:space="preserve">A machine may pass someone. Only a person may fail them.</t>
  </si>
  <si>
    <t xml:space="preserve">verification_case.face_score</t>
  </si>
  <si>
    <t xml:space="preserve">IDV-08</t>
  </si>
  <si>
    <t xml:space="preserve">Alternative attestation</t>
  </si>
  <si>
    <t xml:space="preserve">Conditional group</t>
  </si>
  <si>
    <t xml:space="preserve">Attesting authority, relationship, contact, signed attestation upload</t>
  </si>
  <si>
    <t xml:space="preserve">Conditional</t>
  </si>
  <si>
    <t xml:space="preserve">Shown only when IDV-01 is the fourth option. Always human reviewed, never automated.</t>
  </si>
  <si>
    <t xml:space="preserve">The route that keeps the displaced inside the system.</t>
  </si>
  <si>
    <t xml:space="preserve">We will call the person who attests for you. Please tell them to expect it.</t>
  </si>
  <si>
    <t xml:space="preserve">verification_case.attestation</t>
  </si>
  <si>
    <t xml:space="preserve">IDV-09</t>
  </si>
  <si>
    <t xml:space="preserve">Screening</t>
  </si>
  <si>
    <t xml:space="preserve">Sanctions and politically exposed person screening</t>
  </si>
  <si>
    <t xml:space="preserve">Any hit suspends the case and routes it to POS-COUNSEL. Never auto-rejected.</t>
  </si>
  <si>
    <t xml:space="preserve">A legal obligation and a partner requirement.</t>
  </si>
  <si>
    <t xml:space="preserve">verification_case.screening_result</t>
  </si>
  <si>
    <t xml:space="preserve">CNS-01</t>
  </si>
  <si>
    <t xml:space="preserve">Consent checkbox</t>
  </si>
  <si>
    <t xml:space="preserve">Full text on screen, scroll tracked, downloadable</t>
  </si>
  <si>
    <t xml:space="preserve">Separate tick. Version and timestamp recorded.</t>
  </si>
  <si>
    <t xml:space="preserve">Bundled consent is not consent. Each is separate and separately withdrawable.</t>
  </si>
  <si>
    <t xml:space="preserve">consent_record.code_of_conduct</t>
  </si>
  <si>
    <t xml:space="preserve">CNS-02</t>
  </si>
  <si>
    <t xml:space="preserve">Full text, scroll tracked, downloadable</t>
  </si>
  <si>
    <t xml:space="preserve">Separate tick. Version recorded.</t>
  </si>
  <si>
    <t xml:space="preserve">Defines the independent relationship, obligations and payment terms.</t>
  </si>
  <si>
    <t xml:space="preserve">You are independent. This is not employment, and the terms say exactly what it is.</t>
  </si>
  <si>
    <t xml:space="preserve">consent_record.engagement_terms</t>
  </si>
  <si>
    <t xml:space="preserve">CNS-03</t>
  </si>
  <si>
    <t xml:space="preserve">Separate tick.</t>
  </si>
  <si>
    <t xml:space="preserve">States what is collected, why, for how long, and how to have it erased.</t>
  </si>
  <si>
    <t xml:space="preserve">We say what we keep, why, and for how long. You can ask us to delete it.</t>
  </si>
  <si>
    <t xml:space="preserve">consent_record.privacy</t>
  </si>
  <si>
    <t xml:space="preserve">CNS-04</t>
  </si>
  <si>
    <t xml:space="preserve">Identity data handling</t>
  </si>
  <si>
    <t xml:space="preserve">Specific to biometric and document data</t>
  </si>
  <si>
    <t xml:space="preserve">Separate tick. Retention period stated in the label itself.</t>
  </si>
  <si>
    <t xml:space="preserve">Biometric data warrants its own consent, not a line inside a longer notice.</t>
  </si>
  <si>
    <t xml:space="preserve">Your document images are deleted [[PH-DOC-RETENTION]] after verification closes. Only the outcome is kept.</t>
  </si>
  <si>
    <t xml:space="preserve">consent_record.biometric</t>
  </si>
  <si>
    <t xml:space="preserve">CNS-05</t>
  </si>
  <si>
    <t xml:space="preserve">Full text, scroll tracked</t>
  </si>
  <si>
    <t xml:space="preserve">Non-negotiable and enforced without exception.</t>
  </si>
  <si>
    <t xml:space="preserve">consent_record.safeguarding</t>
  </si>
  <si>
    <t xml:space="preserve">CNS-06</t>
  </si>
  <si>
    <t xml:space="preserve">Originality declaration</t>
  </si>
  <si>
    <t xml:space="preserve">Explicit statement covering reuse and machine generation</t>
  </si>
  <si>
    <t xml:space="preserve">The integrity rule that protects every other talent in the registry.</t>
  </si>
  <si>
    <t xml:space="preserve">Work you send is yours. Where you used a machine to help, you say so. That is all we ask.</t>
  </si>
  <si>
    <t xml:space="preserve">consent_record.originality</t>
  </si>
  <si>
    <t xml:space="preserve">CNS-07</t>
  </si>
  <si>
    <t xml:space="preserve">Public profile consent</t>
  </si>
  <si>
    <t xml:space="preserve">Optional, separately withdrawable</t>
  </si>
  <si>
    <t xml:space="preserve">Optional. Refusal does not affect the application.</t>
  </si>
  <si>
    <t xml:space="preserve">Consent that cannot be refused is not consent.</t>
  </si>
  <si>
    <t xml:space="preserve">Say no if you prefer. It changes nothing about your application.</t>
  </si>
  <si>
    <t xml:space="preserve">consent_record.public_profile</t>
  </si>
  <si>
    <t xml:space="preserve">CNS-08</t>
  </si>
  <si>
    <t xml:space="preserve">Contact for opportunities</t>
  </si>
  <si>
    <t xml:space="preserve">Optional, channel specific</t>
  </si>
  <si>
    <t xml:space="preserve">Optional, per channel.</t>
  </si>
  <si>
    <t xml:space="preserve">consent_record.marketing</t>
  </si>
  <si>
    <t xml:space="preserve">ASM-01</t>
  </si>
  <si>
    <t xml:space="preserve">Assessment briefing</t>
  </si>
  <si>
    <t xml:space="preserve">Task, time allowed, what is assessed, what is permitted</t>
  </si>
  <si>
    <t xml:space="preserve">Acknowledged before the timer starts.</t>
  </si>
  <si>
    <t xml:space="preserve">Assessment anxiety produces false negatives. Transparency removes it.</t>
  </si>
  <si>
    <t xml:space="preserve">You will see the exact rubric we score against. There are no hidden criteria.</t>
  </si>
  <si>
    <t xml:space="preserve">assessment_attempt.briefed_at</t>
  </si>
  <si>
    <t xml:space="preserve">ASM-02</t>
  </si>
  <si>
    <t xml:space="preserve">Rubric preview</t>
  </si>
  <si>
    <t xml:space="preserve">The full scoring rubric for the specialisation</t>
  </si>
  <si>
    <t xml:space="preserve">Displayed in full before the task begins.</t>
  </si>
  <si>
    <t xml:space="preserve">A hidden rubric tests guessing. A published rubric tests capability.</t>
  </si>
  <si>
    <t xml:space="preserve">static.rubric</t>
  </si>
  <si>
    <t xml:space="preserve">ASM-03</t>
  </si>
  <si>
    <t xml:space="preserve">Choose your task</t>
  </si>
  <si>
    <t xml:space="preserve">Two or three tasks within the specialisation</t>
  </si>
  <si>
    <t xml:space="preserve">One value. Locked once started.</t>
  </si>
  <si>
    <t xml:space="preserve">Choice reduces the chance that a single unfamiliar brief misrepresents real capability.</t>
  </si>
  <si>
    <t xml:space="preserve">Pick the one closest to work you actually do.</t>
  </si>
  <si>
    <t xml:space="preserve">assessment_attempt.task_id</t>
  </si>
  <si>
    <t xml:space="preserve">ASM-04</t>
  </si>
  <si>
    <t xml:space="preserve">Start when ready</t>
  </si>
  <si>
    <t xml:space="preserve">Explicit start, timer visible</t>
  </si>
  <si>
    <t xml:space="preserve">Timer begins on this action, not on page load.</t>
  </si>
  <si>
    <t xml:space="preserve">Nobody should lose time to a slow connection.</t>
  </si>
  <si>
    <t xml:space="preserve">The clock starts when you press start, not before.</t>
  </si>
  <si>
    <t xml:space="preserve">assessment_attempt.started_at</t>
  </si>
  <si>
    <t xml:space="preserve">ASM-05</t>
  </si>
  <si>
    <t xml:space="preserve">Submission</t>
  </si>
  <si>
    <t xml:space="preserve">File or text</t>
  </si>
  <si>
    <t xml:space="preserve">Per task definition</t>
  </si>
  <si>
    <t xml:space="preserve">Auto-saves every [[PH-AUTOSAVE]]. Late submission accepted and flagged rather than voided.</t>
  </si>
  <si>
    <t xml:space="preserve">A dropped connection must never destroy an hour of work.</t>
  </si>
  <si>
    <t xml:space="preserve">We save as you go. If your connection drops, come back and continue.</t>
  </si>
  <si>
    <t xml:space="preserve">assessment_attempt.submission_ref</t>
  </si>
  <si>
    <t xml:space="preserve">ASM-06</t>
  </si>
  <si>
    <t xml:space="preserve">Approach note</t>
  </si>
  <si>
    <t xml:space="preserve">Free text, 100 to 800 characters</t>
  </si>
  <si>
    <t xml:space="preserve">Minimum 100 characters.</t>
  </si>
  <si>
    <t xml:space="preserve">How someone reasons is more predictive than what they produced.</t>
  </si>
  <si>
    <t xml:space="preserve">Tell us how you approached it and what you would do differently with more time.</t>
  </si>
  <si>
    <t xml:space="preserve">assessment_attempt.approach_note</t>
  </si>
  <si>
    <t xml:space="preserve">ASM-07</t>
  </si>
  <si>
    <t xml:space="preserve">Assistance declaration</t>
  </si>
  <si>
    <t xml:space="preserve">No assistance, Machine assistance with disclosure, Reference material only</t>
  </si>
  <si>
    <t xml:space="preserve">One value. Disclosure is never penalised. Concealment is a sanction.</t>
  </si>
  <si>
    <t xml:space="preserve">We are not against tools. We are against concealment.</t>
  </si>
  <si>
    <t xml:space="preserve">Using a machine is fine and it is normal. Hiding it is not.</t>
  </si>
  <si>
    <t xml:space="preserve">assessment_attempt.assistance</t>
  </si>
  <si>
    <t xml:space="preserve">ASM-08</t>
  </si>
  <si>
    <t xml:space="preserve">Scoring</t>
  </si>
  <si>
    <t xml:space="preserve">System and human</t>
  </si>
  <si>
    <t xml:space="preserve">Rubric scored by POS-TAL-ASM, moderated on a sample by POS-TAL-LEAD</t>
  </si>
  <si>
    <t xml:space="preserve">Score under [[PH-SCORE-T1]] triggers one retake after [[PH-RETAKE-WAIT]].</t>
  </si>
  <si>
    <t xml:space="preserve">One assessor is an opinion. A moderated sample is a standard.</t>
  </si>
  <si>
    <t xml:space="preserve">assessment_attempt.score</t>
  </si>
  <si>
    <t xml:space="preserve">ASM-09</t>
  </si>
  <si>
    <t xml:space="preserve">Feedback to the applicant</t>
  </si>
  <si>
    <t xml:space="preserve">Written feedback against each rubric line, released on outcome</t>
  </si>
  <si>
    <t xml:space="preserve">Released whether the outcome is pass or fail.</t>
  </si>
  <si>
    <t xml:space="preserve">A rejection that teaches nothing wastes the applicant's effort and our reputation.</t>
  </si>
  <si>
    <t xml:space="preserve">Whatever the result, you get the scoring sheet and what would move it.</t>
  </si>
  <si>
    <t xml:space="preserve">assessment_attempt.feedback</t>
  </si>
  <si>
    <t xml:space="preserve">INT-01</t>
  </si>
  <si>
    <t xml:space="preserve">Choose a slot</t>
  </si>
  <si>
    <t xml:space="preserve">Calendar</t>
  </si>
  <si>
    <t xml:space="preserve">Slots from the verification team calendar, applicant time zone</t>
  </si>
  <si>
    <t xml:space="preserve">At least [[PH-INT-NOTICE]] notice. Rescheduling permitted [[PH-INT-RESCHED]] times.</t>
  </si>
  <si>
    <t xml:space="preserve">Pick a time that suits you. Rescheduling is fine, just tell us before.</t>
  </si>
  <si>
    <t xml:space="preserve">interview_booking.slot</t>
  </si>
  <si>
    <t xml:space="preserve">INT-02</t>
  </si>
  <si>
    <t xml:space="preserve">Interview channel</t>
  </si>
  <si>
    <t xml:space="preserve">Video call, Voice call, In person at the Kayan Hub</t>
  </si>
  <si>
    <t xml:space="preserve">One value. In person only offered where residence is Aden.</t>
  </si>
  <si>
    <t xml:space="preserve">Bandwidth is not evenly distributed. A video-only policy excludes.</t>
  </si>
  <si>
    <t xml:space="preserve">If your connection is weak, choose voice. It does not disadvantage you.</t>
  </si>
  <si>
    <t xml:space="preserve">interview_booking.channel</t>
  </si>
  <si>
    <t xml:space="preserve">INT-03</t>
  </si>
  <si>
    <t xml:space="preserve">Interview language</t>
  </si>
  <si>
    <t xml:space="preserve">Answer in the language you think in.</t>
  </si>
  <si>
    <t xml:space="preserve">interview_booking.language</t>
  </si>
  <si>
    <t xml:space="preserve">INT-04</t>
  </si>
  <si>
    <t xml:space="preserve">What to expect</t>
  </si>
  <si>
    <t xml:space="preserve">Structure, duration, who attends, what is scored</t>
  </si>
  <si>
    <t xml:space="preserve">Displayed at booking and resent before the slot.</t>
  </si>
  <si>
    <t xml:space="preserve">Two of us, about [[PH-INT-MINUTES]] minutes, four questions. No trick questions.</t>
  </si>
  <si>
    <t xml:space="preserve">static.interview_brief</t>
  </si>
  <si>
    <t xml:space="preserve">INT-05</t>
  </si>
  <si>
    <t xml:space="preserve">Interview record</t>
  </si>
  <si>
    <t xml:space="preserve">Two independent scores against the published rubric, plus notes</t>
  </si>
  <si>
    <t xml:space="preserve">Two scorers required. A gap above [[PH-INT-GAP]] triggers moderation.</t>
  </si>
  <si>
    <t xml:space="preserve">A single interviewer's impression is not evidence.</t>
  </si>
  <si>
    <t xml:space="preserve">interview_record</t>
  </si>
  <si>
    <t xml:space="preserve">REF-01</t>
  </si>
  <si>
    <t xml:space="preserve">Referee details</t>
  </si>
  <si>
    <t xml:space="preserve">Name, organisation, role, relationship, email, phone</t>
  </si>
  <si>
    <t xml:space="preserve">Minimum two. Personal relatives rejected. Same-domain email as the applicant flagged.</t>
  </si>
  <si>
    <t xml:space="preserve">Someone who managed or commissioned your work. Not a friend, not a relative.</t>
  </si>
  <si>
    <t xml:space="preserve">REF-02</t>
  </si>
  <si>
    <t xml:space="preserve">Which work they can speak to</t>
  </si>
  <si>
    <t xml:space="preserve">Single select per referee</t>
  </si>
  <si>
    <t xml:space="preserve">Linked to a submitted artefact, or General</t>
  </si>
  <si>
    <t xml:space="preserve">Per referee.</t>
  </si>
  <si>
    <t xml:space="preserve">Anchors the reference to something concrete rather than a character statement.</t>
  </si>
  <si>
    <t xml:space="preserve">reference_request.artefact_link</t>
  </si>
  <si>
    <t xml:space="preserve">REF-03</t>
  </si>
  <si>
    <t xml:space="preserve">Permission to contact</t>
  </si>
  <si>
    <t xml:space="preserve">Checkbox per referee</t>
  </si>
  <si>
    <t xml:space="preserve">Explicit</t>
  </si>
  <si>
    <t xml:space="preserve">We will contact them directly. Please tell them to expect us.</t>
  </si>
  <si>
    <t xml:space="preserve">reference_request.consent</t>
  </si>
  <si>
    <t xml:space="preserve">REF-04</t>
  </si>
  <si>
    <t xml:space="preserve">Reference collection</t>
  </si>
  <si>
    <t xml:space="preserve">Kayan contacts the referee directly. The applicant never handles the response.</t>
  </si>
  <si>
    <t xml:space="preserve">Structured form plus a call. [[PH-REF-CHASE]] reminders, then the applicant is asked for an alternative.</t>
  </si>
  <si>
    <t xml:space="preserve">A reference the applicant carries is not a reference.</t>
  </si>
  <si>
    <t xml:space="preserve">reference_response</t>
  </si>
  <si>
    <t xml:space="preserve">STA-01</t>
  </si>
  <si>
    <t xml:space="preserve">Status tracker</t>
  </si>
  <si>
    <t xml:space="preserve">Every stage with state, owner position and expected date</t>
  </si>
  <si>
    <t xml:space="preserve">Live. Updates on every state change.</t>
  </si>
  <si>
    <t xml:space="preserve">Silence is what makes applicants give up. Every stage is visible.</t>
  </si>
  <si>
    <t xml:space="preserve">You can always see exactly where you are and what happens next.</t>
  </si>
  <si>
    <t xml:space="preserve">STA-02</t>
  </si>
  <si>
    <t xml:space="preserve">What is needed from you</t>
  </si>
  <si>
    <t xml:space="preserve">Action list</t>
  </si>
  <si>
    <t xml:space="preserve">Outstanding items with a direct link to each</t>
  </si>
  <si>
    <t xml:space="preserve">Sorted by what blocks progress.</t>
  </si>
  <si>
    <t xml:space="preserve">application_status.blockers</t>
  </si>
  <si>
    <t xml:space="preserve">STA-03</t>
  </si>
  <si>
    <t xml:space="preserve">Ask a question</t>
  </si>
  <si>
    <t xml:space="preserve">Opens a thread with POS-TAL-SUP, [[PH-SLA-SUPPORT]] response</t>
  </si>
  <si>
    <t xml:space="preserve">Threaded, retained on the record.</t>
  </si>
  <si>
    <t xml:space="preserve">A person answers this, not a machine.</t>
  </si>
  <si>
    <t xml:space="preserve">support_thread</t>
  </si>
  <si>
    <t xml:space="preserve">STA-04</t>
  </si>
  <si>
    <t xml:space="preserve">Withdraw</t>
  </si>
  <si>
    <t xml:space="preserve">Withdraw the application and request erasure</t>
  </si>
  <si>
    <t xml:space="preserve">Two-step confirmation. Erasure executed within [[PH-ERASURE]].</t>
  </si>
  <si>
    <t xml:space="preserve">A right that is hard to exercise is not a right.</t>
  </si>
  <si>
    <t xml:space="preserve">You can stop and have your data deleted at any point.</t>
  </si>
  <si>
    <t xml:space="preserve">application_status.withdrawn</t>
  </si>
  <si>
    <t xml:space="preserve">SPA-01</t>
  </si>
  <si>
    <t xml:space="preserve">Standing</t>
  </si>
  <si>
    <t xml:space="preserve">Dashboard panel</t>
  </si>
  <si>
    <t xml:space="preserve">Current tier, each axis level, what the next tier needs</t>
  </si>
  <si>
    <t xml:space="preserve">Read</t>
  </si>
  <si>
    <t xml:space="preserve">Live.</t>
  </si>
  <si>
    <t xml:space="preserve">Progression must be legible or it is not a ladder.</t>
  </si>
  <si>
    <t xml:space="preserve">Here is exactly what would move you up, and what it would take.</t>
  </si>
  <si>
    <t xml:space="preserve">talent_space.standing</t>
  </si>
  <si>
    <t xml:space="preserve">SPA-02</t>
  </si>
  <si>
    <t xml:space="preserve">Invitations</t>
  </si>
  <si>
    <t xml:space="preserve">Pod invitations with scope, role, dates, hours and indicative value</t>
  </si>
  <si>
    <t xml:space="preserve">Read and act</t>
  </si>
  <si>
    <t xml:space="preserve">Accept or decline within [[PH-INVITE-TTL]].</t>
  </si>
  <si>
    <t xml:space="preserve">Everything you need to decide is on the card. No hidden scope.</t>
  </si>
  <si>
    <t xml:space="preserve">pod_invitation</t>
  </si>
  <si>
    <t xml:space="preserve">SPA-03</t>
  </si>
  <si>
    <t xml:space="preserve">Live pods</t>
  </si>
  <si>
    <t xml:space="preserve">Current pods, milestones, quality gates, the applicant's own tasks</t>
  </si>
  <si>
    <t xml:space="preserve">Links into the delivery workspace.</t>
  </si>
  <si>
    <t xml:space="preserve">pod_membership</t>
  </si>
  <si>
    <t xml:space="preserve">SPA-04</t>
  </si>
  <si>
    <t xml:space="preserve">Earnings</t>
  </si>
  <si>
    <t xml:space="preserve">Accepted milestones, released amounts, held amounts, expected dates</t>
  </si>
  <si>
    <t xml:space="preserve">Reconciled to the finance ledger nightly.</t>
  </si>
  <si>
    <t xml:space="preserve">Payment opacity is the reason freelancers distrust intermediaries.</t>
  </si>
  <si>
    <t xml:space="preserve">You can see what is held, what is released and when.</t>
  </si>
  <si>
    <t xml:space="preserve">payout_ledger</t>
  </si>
  <si>
    <t xml:space="preserve">SPA-05</t>
  </si>
  <si>
    <t xml:space="preserve">Record</t>
  </si>
  <si>
    <t xml:space="preserve">Every delivery, acceptance, rating and written feedback</t>
  </si>
  <si>
    <t xml:space="preserve">Immutable.</t>
  </si>
  <si>
    <t xml:space="preserve">This record is the asset the talent is building.</t>
  </si>
  <si>
    <t xml:space="preserve">This is your record. It goes with you.</t>
  </si>
  <si>
    <t xml:space="preserve">performance_ledger</t>
  </si>
  <si>
    <t xml:space="preserve">SPA-06</t>
  </si>
  <si>
    <t xml:space="preserve">Open calls</t>
  </si>
  <si>
    <t xml:space="preserve">Feed</t>
  </si>
  <si>
    <t xml:space="preserve">Projects seeking specific specialisations</t>
  </si>
  <si>
    <t xml:space="preserve">Filtered by tier and specialisation.</t>
  </si>
  <si>
    <t xml:space="preserve">When something matches you, it appears here first.</t>
  </si>
  <si>
    <t xml:space="preserve">open_call</t>
  </si>
  <si>
    <t xml:space="preserve">SPA-07</t>
  </si>
  <si>
    <t xml:space="preserve">Learning</t>
  </si>
  <si>
    <t xml:space="preserve">Forge cohorts, the gaps the rubric identified, recommended next steps</t>
  </si>
  <si>
    <t xml:space="preserve">Driven by the applicant's own rubric scores.</t>
  </si>
  <si>
    <t xml:space="preserve">Closes the loop between assessment and the Forge.</t>
  </si>
  <si>
    <t xml:space="preserve">Your assessment told us where the gaps are. Here is how to close them.</t>
  </si>
  <si>
    <t xml:space="preserve">learning_path</t>
  </si>
  <si>
    <t xml:space="preserve">SPA-08</t>
  </si>
  <si>
    <t xml:space="preserve">Community</t>
  </si>
  <si>
    <t xml:space="preserve">Hub events, open sessions, peers in the same specialisation</t>
  </si>
  <si>
    <t xml:space="preserve">Opt in.</t>
  </si>
  <si>
    <t xml:space="preserve">community_feed</t>
  </si>
  <si>
    <t xml:space="preserve">SPA-09</t>
  </si>
  <si>
    <t xml:space="preserve">Profile and settings</t>
  </si>
  <si>
    <t xml:space="preserve">Edit, re-declare capacity, change payment route, manage consent, export data</t>
  </si>
  <si>
    <t xml:space="preserve">Payment route changes require re-confirmation of ownership.</t>
  </si>
  <si>
    <t xml:space="preserve">VOL-01</t>
  </si>
  <si>
    <t xml:space="preserve">Why volunteer</t>
  </si>
  <si>
    <t xml:space="preserve">What Kayan for Yemen is and what a volunteer actually does</t>
  </si>
  <si>
    <t xml:space="preserve">Volunteering is a civic act, not unpaid labour. The framing has to say so.</t>
  </si>
  <si>
    <t xml:space="preserve">This is not free work for clients. It is our own work for the country.</t>
  </si>
  <si>
    <t xml:space="preserve">static.k4y_intro</t>
  </si>
  <si>
    <t xml:space="preserve">VOL-02</t>
  </si>
  <si>
    <t xml:space="preserve">Interests</t>
  </si>
  <si>
    <t xml:space="preserve">Programme areas from the civic plan</t>
  </si>
  <si>
    <t xml:space="preserve">At least one.</t>
  </si>
  <si>
    <t xml:space="preserve">volunteer_profile.interests</t>
  </si>
  <si>
    <t xml:space="preserve">VOL-03</t>
  </si>
  <si>
    <t xml:space="preserve">What you can offer</t>
  </si>
  <si>
    <t xml:space="preserve">Your registered specialisations plus general support options</t>
  </si>
  <si>
    <t xml:space="preserve">volunteer_profile.offer</t>
  </si>
  <si>
    <t xml:space="preserve">VOL-04</t>
  </si>
  <si>
    <t xml:space="preserve">Availability for shifts</t>
  </si>
  <si>
    <t xml:space="preserve">Day and time window</t>
  </si>
  <si>
    <t xml:space="preserve">At least one window.</t>
  </si>
  <si>
    <t xml:space="preserve">volunteer_shift_availability</t>
  </si>
  <si>
    <t xml:space="preserve">VOL-05</t>
  </si>
  <si>
    <t xml:space="preserve">Safeguarding orientation</t>
  </si>
  <si>
    <t xml:space="preserve">Booking and completion</t>
  </si>
  <si>
    <t xml:space="preserve">Session booking, attendance recorded, refresher scheduled</t>
  </si>
  <si>
    <t xml:space="preserve">Mandatory before any shift. No exception.</t>
  </si>
  <si>
    <t xml:space="preserve">No unsupervised contact of any kind before orientation is complete.</t>
  </si>
  <si>
    <t xml:space="preserve">This one is not optional and there is no way around it.</t>
  </si>
  <si>
    <t xml:space="preserve">volunteer_profile.psea_completed</t>
  </si>
  <si>
    <t xml:space="preserve">VOL-06</t>
  </si>
  <si>
    <t xml:space="preserve">Volunteer agreement</t>
  </si>
  <si>
    <t xml:space="preserve">Full text</t>
  </si>
  <si>
    <t xml:space="preserve">consent_record.volunteer_agreement</t>
  </si>
  <si>
    <t xml:space="preserve">VOL-07</t>
  </si>
  <si>
    <t xml:space="preserve">Image consent</t>
  </si>
  <si>
    <t xml:space="preserve">Optional.</t>
  </si>
  <si>
    <t xml:space="preserve">Say no and we will not photograph you. It changes nothing.</t>
  </si>
  <si>
    <t xml:space="preserve">consent_record.image</t>
  </si>
  <si>
    <t xml:space="preserve">VOL-08</t>
  </si>
  <si>
    <t xml:space="preserve">Hour logging</t>
  </si>
  <si>
    <t xml:space="preserve">Scan in and scan out at the Hub, or coordinator confirmation for field activity</t>
  </si>
  <si>
    <t xml:space="preserve">Written to the hour ledger. Validated by POS-K4Y-CO.</t>
  </si>
  <si>
    <t xml:space="preserve">Hours must be evidenced, not claimed, because they carry value.</t>
  </si>
  <si>
    <t xml:space="preserve">volunteer_hour_ledger</t>
  </si>
  <si>
    <t xml:space="preserve">CRD-01</t>
  </si>
  <si>
    <t xml:space="preserve">Digital credential</t>
  </si>
  <si>
    <t xml:space="preserve">Issued on tier award. Wallet-compatible.</t>
  </si>
  <si>
    <t xml:space="preserve">Immediate on award.</t>
  </si>
  <si>
    <t xml:space="preserve">Your card is live the moment your tier is awarded.</t>
  </si>
  <si>
    <t xml:space="preserve">card.digital</t>
  </si>
  <si>
    <t xml:space="preserve">CRD-02</t>
  </si>
  <si>
    <t xml:space="preserve">Physical card request</t>
  </si>
  <si>
    <t xml:space="preserve">Request, choose collection at the Hub or delivery</t>
  </si>
  <si>
    <t xml:space="preserve">Collection default. Delivery where a route exists.</t>
  </si>
  <si>
    <t xml:space="preserve">card.physical_request</t>
  </si>
  <si>
    <t xml:space="preserve">CRD-03</t>
  </si>
  <si>
    <t xml:space="preserve">Verification link</t>
  </si>
  <si>
    <t xml:space="preserve">The public link a client or partner can check</t>
  </si>
  <si>
    <t xml:space="preserve">Signed URL. Rate limited. Every check logged.</t>
  </si>
  <si>
    <t xml:space="preserve">Anyone can check your card is real. They see your name, photo and tier. Nothing else.</t>
  </si>
  <si>
    <t xml:space="preserve">card.verify_url</t>
  </si>
  <si>
    <t xml:space="preserve">CRD-04</t>
  </si>
  <si>
    <t xml:space="preserve">Who checked my card</t>
  </si>
  <si>
    <t xml:space="preserve">Log of verification checks against the card</t>
  </si>
  <si>
    <t xml:space="preserve">Available to the holder as a data-subject right.</t>
  </si>
  <si>
    <t xml:space="preserve">card_verification_log</t>
  </si>
  <si>
    <t xml:space="preserve">CRD-05</t>
  </si>
  <si>
    <t xml:space="preserve">Report lost or damaged</t>
  </si>
  <si>
    <t xml:space="preserve">Report, suspend, request replacement</t>
  </si>
  <si>
    <t xml:space="preserve">Immediate suspension on report. Replacement at [[PH-CARD-REPLACE]].</t>
  </si>
  <si>
    <t xml:space="preserve">Report it and we suspend it straight away, before anything else.</t>
  </si>
  <si>
    <t xml:space="preserve">card.status</t>
  </si>
  <si>
    <t xml:space="preserve">Voice and microcopy standard</t>
  </si>
  <si>
    <t xml:space="preserve">How the portal speaks. A form is a conversation with someone who has been let down before. Every rule below exists because the opposite drives people away.</t>
  </si>
  <si>
    <t xml:space="preserve">Wrong</t>
  </si>
  <si>
    <t xml:space="preserve">Right</t>
  </si>
  <si>
    <t xml:space="preserve">Say why before you ask</t>
  </si>
  <si>
    <t xml:space="preserve">Every field that is not obvious carries one line explaining why it is needed.</t>
  </si>
  <si>
    <t xml:space="preserve">National ID number *</t>
  </si>
  <si>
    <t xml:space="preserve">National ID number. We check it once to confirm you are you, then delete the image.</t>
  </si>
  <si>
    <t xml:space="preserve">Never blame the person</t>
  </si>
  <si>
    <t xml:space="preserve">Errors describe the problem and the fix, never the user's failure.</t>
  </si>
  <si>
    <t xml:space="preserve">Invalid input</t>
  </si>
  <si>
    <t xml:space="preserve">This needs both the day and the month. Try 12 March 1994.</t>
  </si>
  <si>
    <t xml:space="preserve">Fail early, never late</t>
  </si>
  <si>
    <t xml:space="preserve">Anything checkable in the browser is checked in the browser, before submission.</t>
  </si>
  <si>
    <t xml:space="preserve">Rejected after three days for a blurry photo</t>
  </si>
  <si>
    <t xml:space="preserve">This photo is blurry. Tap to retake, we will check it before you move on.</t>
  </si>
  <si>
    <t xml:space="preserve">Name the time cost honestly</t>
  </si>
  <si>
    <t xml:space="preserve">State how long something takes. An underestimate is worse than a long number.</t>
  </si>
  <si>
    <t xml:space="preserve">Quick registration</t>
  </si>
  <si>
    <t xml:space="preserve">About [[PH-FORM-MINUTES]] minutes, plus a practical task and a short conversation.</t>
  </si>
  <si>
    <t xml:space="preserve">No dead ends</t>
  </si>
  <si>
    <t xml:space="preserve">Every refusal offers a route. Failing an assessment offers a Forge cohort and a retake date.</t>
  </si>
  <si>
    <t xml:space="preserve">You do not meet the requirements</t>
  </si>
  <si>
    <t xml:space="preserve">Not this time. Here is exactly what was short, when you can try again, and a cohort that covers it.</t>
  </si>
  <si>
    <t xml:space="preserve">Plain words over institutional words</t>
  </si>
  <si>
    <t xml:space="preserve">Write as a person speaks. Never use the internal vocabulary on an applicant-facing surface.</t>
  </si>
  <si>
    <t xml:space="preserve">Escrow-protected milestone disbursement</t>
  </si>
  <si>
    <t xml:space="preserve">The client pays before work starts. You are paid when your part is accepted.</t>
  </si>
  <si>
    <t xml:space="preserve">One question at a time on a small screen</t>
  </si>
  <si>
    <t xml:space="preserve">Most applicants are on a phone on an intermittent connection. One idea per screen, always resumable.</t>
  </si>
  <si>
    <t xml:space="preserve">A fourteen-field page</t>
  </si>
  <si>
    <t xml:space="preserve">One group at a time, with progress shown and everything saved.</t>
  </si>
  <si>
    <t xml:space="preserve">Progress must be truthful</t>
  </si>
  <si>
    <t xml:space="preserve">Show the real number of steps. Never a bar that sticks at ninety per cent.</t>
  </si>
  <si>
    <t xml:space="preserve">Almost done</t>
  </si>
  <si>
    <t xml:space="preserve">Step 4 of 9. About 6 minutes left.</t>
  </si>
  <si>
    <t xml:space="preserve">Consent is separate and refusable</t>
  </si>
  <si>
    <t xml:space="preserve">Every consent is its own tick with its own text. Optional consents look optional.</t>
  </si>
  <si>
    <t xml:space="preserve">I agree to all terms</t>
  </si>
  <si>
    <t xml:space="preserve">Four separate ticks, two of them optional and marked so.</t>
  </si>
  <si>
    <t xml:space="preserve">Silence is the enemy</t>
  </si>
  <si>
    <t xml:space="preserve">Every wait states who is doing what and by when. A queue with no date is an abandoned applicant.</t>
  </si>
  <si>
    <t xml:space="preserve">Under review</t>
  </si>
  <si>
    <t xml:space="preserve">With the verification team. Expected by [date]. You will be told either way.</t>
  </si>
  <si>
    <t xml:space="preserve">Teach while they wait</t>
  </si>
  <si>
    <t xml:space="preserve">Waiting screens carry something worth knowing about how Kayan works, not a spinner.</t>
  </si>
  <si>
    <t xml:space="preserve">Loading</t>
  </si>
  <si>
    <t xml:space="preserve">While you wait: how a pod actually gets paid.</t>
  </si>
  <si>
    <t xml:space="preserve">The same voice in both languages</t>
  </si>
  <si>
    <t xml:space="preserve">Arabic is written as Arabic, not translated from English. Neither reads as a version of the other.</t>
  </si>
  <si>
    <t xml:space="preserve">A literal rendering of the English</t>
  </si>
  <si>
    <t xml:space="preserve">Each language authored once, natively, and final.</t>
  </si>
  <si>
    <t xml:space="preserve">Validation and failure handling</t>
  </si>
  <si>
    <t xml:space="preserve">Where each check runs, what the applicant sees, and what the system does. The governing rule: a machine may pass a person, only a person may fail one.</t>
  </si>
  <si>
    <t xml:space="preserve">Check</t>
  </si>
  <si>
    <t xml:space="preserve">Where it runs</t>
  </si>
  <si>
    <t xml:space="preserve">On pass</t>
  </si>
  <si>
    <t xml:space="preserve">On failure</t>
  </si>
  <si>
    <t xml:space="preserve">Applicant sees</t>
  </si>
  <si>
    <t xml:space="preserve">Field format</t>
  </si>
  <si>
    <t xml:space="preserve">Browser, on blur</t>
  </si>
  <si>
    <t xml:space="preserve">Silent</t>
  </si>
  <si>
    <t xml:space="preserve">Inline message with an example</t>
  </si>
  <si>
    <t xml:space="preserve">The specific fix, never a code</t>
  </si>
  <si>
    <t xml:space="preserve">Never blocks typing</t>
  </si>
  <si>
    <t xml:space="preserve">Uniqueness of the mobile number</t>
  </si>
  <si>
    <t xml:space="preserve">Server, on submit</t>
  </si>
  <si>
    <t xml:space="preserve">Offer sign-in or recovery instead</t>
  </si>
  <si>
    <t xml:space="preserve">One person, one account. Recover your account here.</t>
  </si>
  <si>
    <t xml:space="preserve">Never reveals whether an account exists to an unauthenticated caller</t>
  </si>
  <si>
    <t xml:space="preserve">Photograph standard</t>
  </si>
  <si>
    <t xml:space="preserve">Browser, before upload</t>
  </si>
  <si>
    <t xml:space="preserve">Accepted</t>
  </si>
  <si>
    <t xml:space="preserve">Named defect and a retake prompt</t>
  </si>
  <si>
    <t xml:space="preserve">Which rule failed and how to fix it</t>
  </si>
  <si>
    <t xml:space="preserve">Twelve checks, listed in tab 05.3</t>
  </si>
  <si>
    <t xml:space="preserve">Document image quality</t>
  </si>
  <si>
    <t xml:space="preserve">Glare, blur, crop or edge, named</t>
  </si>
  <si>
    <t xml:space="preserve">Ten checks, listed in tab 05.3</t>
  </si>
  <si>
    <t xml:space="preserve">Face match</t>
  </si>
  <si>
    <t xml:space="preserve">Server, asynchronous</t>
  </si>
  <si>
    <t xml:space="preserve">Auto-pass to L1</t>
  </si>
  <si>
    <t xml:space="preserve">Human review queue</t>
  </si>
  <si>
    <t xml:space="preserve">A review is under way, with a date</t>
  </si>
  <si>
    <t xml:space="preserve">Never an automatic rejection</t>
  </si>
  <si>
    <t xml:space="preserve">Liveness</t>
  </si>
  <si>
    <t xml:space="preserve">Auto-pass</t>
  </si>
  <si>
    <t xml:space="preserve">Retry, then human review</t>
  </si>
  <si>
    <t xml:space="preserve">Retry prompt, then a date</t>
  </si>
  <si>
    <t xml:space="preserve">[[PH-LIVENESS-TRIES]] retries</t>
  </si>
  <si>
    <t xml:space="preserve">Sanctions screening</t>
  </si>
  <si>
    <t xml:space="preserve">Case suspended, counsel notified</t>
  </si>
  <si>
    <t xml:space="preserve">A review is under way. No detail.</t>
  </si>
  <si>
    <t xml:space="preserve">Never discloses the reason to the applicant</t>
  </si>
  <si>
    <t xml:space="preserve">Legal name against the payment account name</t>
  </si>
  <si>
    <t xml:space="preserve">Server, on payment route save</t>
  </si>
  <si>
    <t xml:space="preserve">Payout blocked, registration unaffected</t>
  </si>
  <si>
    <t xml:space="preserve">We need the account to be in your own name</t>
  </si>
  <si>
    <t xml:space="preserve">Blocks money, never blocks the application</t>
  </si>
  <si>
    <t xml:space="preserve">Assessment time</t>
  </si>
  <si>
    <t xml:space="preserve">Server, authoritative</t>
  </si>
  <si>
    <t xml:space="preserve">Recorded</t>
  </si>
  <si>
    <t xml:space="preserve">Late flag, submission accepted</t>
  </si>
  <si>
    <t xml:space="preserve">Submitted late, and it is recorded</t>
  </si>
  <si>
    <t xml:space="preserve">Never voided for lateness alone</t>
  </si>
  <si>
    <t xml:space="preserve">Machine-generated text</t>
  </si>
  <si>
    <t xml:space="preserve">Server, advisory</t>
  </si>
  <si>
    <t xml:space="preserve">Soft flag for the assessor</t>
  </si>
  <si>
    <t xml:space="preserve">Nothing</t>
  </si>
  <si>
    <t xml:space="preserve">Advisory only. Never an automatic outcome.</t>
  </si>
  <si>
    <t xml:space="preserve">Referee independence</t>
  </si>
  <si>
    <t xml:space="preserve">Rejected with the reason</t>
  </si>
  <si>
    <t xml:space="preserve">A referee cannot be a relative</t>
  </si>
  <si>
    <t xml:space="preserve">Same-domain email flagged for review</t>
  </si>
  <si>
    <t xml:space="preserve">Consent completeness</t>
  </si>
  <si>
    <t xml:space="preserve">Proceeds</t>
  </si>
  <si>
    <t xml:space="preserve">Blocked at the specific consent</t>
  </si>
  <si>
    <t xml:space="preserve">Which consent is outstanding</t>
  </si>
  <si>
    <t xml:space="preserve">Optional consents never block</t>
  </si>
  <si>
    <t xml:space="preserve">Consent register</t>
  </si>
  <si>
    <t xml:space="preserve">One consent, one record, one version, one timestamp. Bundled consent is not consent. Two of these are optional and refusing them changes nothing.</t>
  </si>
  <si>
    <t xml:space="preserve">Consent</t>
  </si>
  <si>
    <t xml:space="preserve">Version recorded</t>
  </si>
  <si>
    <t xml:space="preserve">Withdrawable</t>
  </si>
  <si>
    <t xml:space="preserve">Effect of refusal</t>
  </si>
  <si>
    <t xml:space="preserve">On exit only</t>
  </si>
  <si>
    <t xml:space="preserve">Application cannot proceed</t>
  </si>
  <si>
    <t xml:space="preserve">Yes, and it closes the verification case</t>
  </si>
  <si>
    <t xml:space="preserve">Verification cannot proceed. Registration stands at T0.</t>
  </si>
  <si>
    <t xml:space="preserve">Assessment cannot proceed</t>
  </si>
  <si>
    <t xml:space="preserve">Public profile</t>
  </si>
  <si>
    <t xml:space="preserve">Yes, at any time</t>
  </si>
  <si>
    <t xml:space="preserve">None. The profile stays internal.</t>
  </si>
  <si>
    <t xml:space="preserve">Contact about opportunities</t>
  </si>
  <si>
    <t xml:space="preserve">Yes, per channel</t>
  </si>
  <si>
    <t xml:space="preserve">None. Direct pod invitations still reach you.</t>
  </si>
  <si>
    <t xml:space="preserve">CNS-09</t>
  </si>
  <si>
    <t xml:space="preserve">Volunteers only</t>
  </si>
  <si>
    <t xml:space="preserve">Yes, and it ends volunteer status</t>
  </si>
  <si>
    <t xml:space="preserve">Volunteer track only</t>
  </si>
  <si>
    <t xml:space="preserve">CNS-10</t>
  </si>
  <si>
    <t xml:space="preserve">None. No photography of that person.</t>
  </si>
  <si>
    <t xml:space="preserve">CNS-11</t>
  </si>
  <si>
    <t xml:space="preserve">Own-account confirmation</t>
  </si>
  <si>
    <t xml:space="preserve">Yes at payment</t>
  </si>
  <si>
    <t xml:space="preserve">No, it is a statement of fact</t>
  </si>
  <si>
    <t xml:space="preserve">Payout cannot be released</t>
  </si>
  <si>
    <t xml:space="preserve">KAYAN  ·  KAY-TOS-001  ·  JOURNEY</t>
  </si>
  <si>
    <t xml:space="preserve">The journey, end to end</t>
  </si>
  <si>
    <t xml:space="preserve">Twenty stages from arrival to exit. Every stage names its state, its trigger, where it happens, its service level, its owner and how it is measured. Nothing between stages is undefined.</t>
  </si>
  <si>
    <t xml:space="preserve">Stage</t>
  </si>
  <si>
    <t xml:space="preserve">Tier at this point</t>
  </si>
  <si>
    <t xml:space="preserve">What has happened</t>
  </si>
  <si>
    <t xml:space="preserve">Trigger event</t>
  </si>
  <si>
    <t xml:space="preserve">Where</t>
  </si>
  <si>
    <t xml:space="preserve">Output</t>
  </si>
  <si>
    <t xml:space="preserve">Service level</t>
  </si>
  <si>
    <t xml:space="preserve">Measured by</t>
  </si>
  <si>
    <t xml:space="preserve">J01</t>
  </si>
  <si>
    <t xml:space="preserve">Arrival</t>
  </si>
  <si>
    <t xml:space="preserve">A person reaches the talent gateway from any channel.</t>
  </si>
  <si>
    <t xml:space="preserve">Gateway view</t>
  </si>
  <si>
    <t xml:space="preserve">Immediate</t>
  </si>
  <si>
    <t xml:space="preserve">Gateway views</t>
  </si>
  <si>
    <t xml:space="preserve">J02</t>
  </si>
  <si>
    <t xml:space="preserve">Account created</t>
  </si>
  <si>
    <t xml:space="preserve">T0 pending</t>
  </si>
  <si>
    <t xml:space="preserve">Account exists, channel not yet proven.</t>
  </si>
  <si>
    <t xml:space="preserve">Verification code sent</t>
  </si>
  <si>
    <t xml:space="preserve">Account creation rate</t>
  </si>
  <si>
    <t xml:space="preserve">J03</t>
  </si>
  <si>
    <t xml:space="preserve">Channel proven</t>
  </si>
  <si>
    <t xml:space="preserve">The person controls the contact channel.</t>
  </si>
  <si>
    <t xml:space="preserve">Channel confirmed</t>
  </si>
  <si>
    <t xml:space="preserve">Orientation opened</t>
  </si>
  <si>
    <t xml:space="preserve">Channel confirmation rate</t>
  </si>
  <si>
    <t xml:space="preserve">J04</t>
  </si>
  <si>
    <t xml:space="preserve">Oriented</t>
  </si>
  <si>
    <t xml:space="preserve">The model is understood and acknowledged card by card.</t>
  </si>
  <si>
    <t xml:space="preserve">Orientation complete</t>
  </si>
  <si>
    <t xml:space="preserve">Profile opened</t>
  </si>
  <si>
    <t xml:space="preserve">Orientation completion rate</t>
  </si>
  <si>
    <t xml:space="preserve">J05</t>
  </si>
  <si>
    <t xml:space="preserve">Profile, specialisation, evidence, capacity and payment route captured. Consent recorded.</t>
  </si>
  <si>
    <t xml:space="preserve">Registration submitted</t>
  </si>
  <si>
    <t xml:space="preserve">S04 to S08, S10</t>
  </si>
  <si>
    <t xml:space="preserve">Verification queue entry</t>
  </si>
  <si>
    <t xml:space="preserve">T0 registrations</t>
  </si>
  <si>
    <t xml:space="preserve">J06</t>
  </si>
  <si>
    <t xml:space="preserve">Identity submitted</t>
  </si>
  <si>
    <t xml:space="preserve">Document, live capture and liveness submitted.</t>
  </si>
  <si>
    <t xml:space="preserve">Verification case opened</t>
  </si>
  <si>
    <t xml:space="preserve">Identity submission rate</t>
  </si>
  <si>
    <t xml:space="preserve">J07</t>
  </si>
  <si>
    <t xml:space="preserve">Identity verified</t>
  </si>
  <si>
    <t xml:space="preserve">A person has confirmed the match and cleared screening.</t>
  </si>
  <si>
    <t xml:space="preserve">Case closed as passed</t>
  </si>
  <si>
    <t xml:space="preserve">Back office</t>
  </si>
  <si>
    <t xml:space="preserve">Assessment invitation</t>
  </si>
  <si>
    <t xml:space="preserve">[[PH-SLA-IDV]]</t>
  </si>
  <si>
    <t xml:space="preserve">Median identity turnaround</t>
  </si>
  <si>
    <t xml:space="preserve">J08</t>
  </si>
  <si>
    <t xml:space="preserve">Assessment taken</t>
  </si>
  <si>
    <t xml:space="preserve">The practical task is submitted.</t>
  </si>
  <si>
    <t xml:space="preserve">Assessment submitted</t>
  </si>
  <si>
    <t xml:space="preserve">Scoring queue entry</t>
  </si>
  <si>
    <t xml:space="preserve">Applicant paced</t>
  </si>
  <si>
    <t xml:space="preserve">Assessment start to submit rate</t>
  </si>
  <si>
    <t xml:space="preserve">J09</t>
  </si>
  <si>
    <t xml:space="preserve">Assessment scored</t>
  </si>
  <si>
    <t xml:space="preserve">Rubric applied, moderated on a sample, feedback written.</t>
  </si>
  <si>
    <t xml:space="preserve">Score published</t>
  </si>
  <si>
    <t xml:space="preserve">Tier decision or retake</t>
  </si>
  <si>
    <t xml:space="preserve">[[PH-SLA-ASM]]</t>
  </si>
  <si>
    <t xml:space="preserve">Median scoring turnaround</t>
  </si>
  <si>
    <t xml:space="preserve">J10</t>
  </si>
  <si>
    <t xml:space="preserve">T1 awarded</t>
  </si>
  <si>
    <t xml:space="preserve">Identity and skill evidence both satisfy the T1 threshold.</t>
  </si>
  <si>
    <t xml:space="preserve">Tier awarded</t>
  </si>
  <si>
    <t xml:space="preserve">Card issued, pool listing live</t>
  </si>
  <si>
    <t xml:space="preserve">Same day as scoring</t>
  </si>
  <si>
    <t xml:space="preserve">T1 conversion from T0</t>
  </si>
  <si>
    <t xml:space="preserve">J11</t>
  </si>
  <si>
    <t xml:space="preserve">Interview held</t>
  </si>
  <si>
    <t xml:space="preserve">Two scorers, published rubric, written record.</t>
  </si>
  <si>
    <t xml:space="preserve">Interview scored</t>
  </si>
  <si>
    <t xml:space="preserve">Reference stage</t>
  </si>
  <si>
    <t xml:space="preserve">[[PH-SLA-INT]]</t>
  </si>
  <si>
    <t xml:space="preserve">Interview completion rate</t>
  </si>
  <si>
    <t xml:space="preserve">J12</t>
  </si>
  <si>
    <t xml:space="preserve">References returned</t>
  </si>
  <si>
    <t xml:space="preserve">Kayan-collected references returned and scored.</t>
  </si>
  <si>
    <t xml:space="preserve">References complete</t>
  </si>
  <si>
    <t xml:space="preserve">T2 decision pending first delivery</t>
  </si>
  <si>
    <t xml:space="preserve">[[PH-SLA-REF]]</t>
  </si>
  <si>
    <t xml:space="preserve">Reference return rate</t>
  </si>
  <si>
    <t xml:space="preserve">J13</t>
  </si>
  <si>
    <t xml:space="preserve">First pod</t>
  </si>
  <si>
    <t xml:space="preserve">Invited, accepted and assigned to a delivery pod.</t>
  </si>
  <si>
    <t xml:space="preserve">Pod joined</t>
  </si>
  <si>
    <t xml:space="preserve">Delivery under supervision</t>
  </si>
  <si>
    <t xml:space="preserve">Demand paced</t>
  </si>
  <si>
    <t xml:space="preserve">Time from T1 to first pod</t>
  </si>
  <si>
    <t xml:space="preserve">J14</t>
  </si>
  <si>
    <t xml:space="preserve">First delivery accepted</t>
  </si>
  <si>
    <t xml:space="preserve">The client accepts the milestone the talent contributed to.</t>
  </si>
  <si>
    <t xml:space="preserve">Delivery accepted</t>
  </si>
  <si>
    <t xml:space="preserve">Delivery workspace</t>
  </si>
  <si>
    <t xml:space="preserve">T2 decision unblocked</t>
  </si>
  <si>
    <t xml:space="preserve">Project paced</t>
  </si>
  <si>
    <t xml:space="preserve">First-delivery acceptance rate</t>
  </si>
  <si>
    <t xml:space="preserve">J15</t>
  </si>
  <si>
    <t xml:space="preserve">T2 awarded</t>
  </si>
  <si>
    <t xml:space="preserve">Portfolio, interview, references and one accepted delivery all satisfied.</t>
  </si>
  <si>
    <t xml:space="preserve">New card, full access, rate band</t>
  </si>
  <si>
    <t xml:space="preserve">Same day</t>
  </si>
  <si>
    <t xml:space="preserve">T2 conversion from T1</t>
  </si>
  <si>
    <t xml:space="preserve">J16</t>
  </si>
  <si>
    <t xml:space="preserve">Track record built</t>
  </si>
  <si>
    <t xml:space="preserve">Deliveries accumulate. The track record axis populates from real outcomes.</t>
  </si>
  <si>
    <t xml:space="preserve">Ledger updated</t>
  </si>
  <si>
    <t xml:space="preserve">T3 eligibility monitored nightly</t>
  </si>
  <si>
    <t xml:space="preserve">Continuous</t>
  </si>
  <si>
    <t xml:space="preserve">Deliveries per active talent</t>
  </si>
  <si>
    <t xml:space="preserve">J17</t>
  </si>
  <si>
    <t xml:space="preserve">T3 awarded</t>
  </si>
  <si>
    <t xml:space="preserve">Volume, sustained rating, clean record, peer endorsement and mentoring evidenced.</t>
  </si>
  <si>
    <t xml:space="preserve">Pod lead eligibility, reviewer eligibility</t>
  </si>
  <si>
    <t xml:space="preserve">On threshold</t>
  </si>
  <si>
    <t xml:space="preserve">POS-TAL-LEAD with POS-CEO</t>
  </si>
  <si>
    <t xml:space="preserve">T3 population</t>
  </si>
  <si>
    <t xml:space="preserve">J18</t>
  </si>
  <si>
    <t xml:space="preserve">T4 awarded</t>
  </si>
  <si>
    <t xml:space="preserve">Panel review passed. Annual renewal, never permanent.</t>
  </si>
  <si>
    <t xml:space="preserve">External representation rights</t>
  </si>
  <si>
    <t xml:space="preserve">Panel calendar</t>
  </si>
  <si>
    <t xml:space="preserve">T4 population</t>
  </si>
  <si>
    <t xml:space="preserve">J19</t>
  </si>
  <si>
    <t xml:space="preserve">Dormant</t>
  </si>
  <si>
    <t xml:space="preserve">Any</t>
  </si>
  <si>
    <t xml:space="preserve">No participation and no portal activity for the dormancy window.</t>
  </si>
  <si>
    <t xml:space="preserve">Dormancy flag</t>
  </si>
  <si>
    <t xml:space="preserve">Re-engagement sequence then reduction</t>
  </si>
  <si>
    <t xml:space="preserve">Dormancy rate</t>
  </si>
  <si>
    <t xml:space="preserve">J20</t>
  </si>
  <si>
    <t xml:space="preserve">Exit</t>
  </si>
  <si>
    <t xml:space="preserve">Withdrawal, revocation or erasure request.</t>
  </si>
  <si>
    <t xml:space="preserve">Case closed</t>
  </si>
  <si>
    <t xml:space="preserve">Record closed, retention clock starts</t>
  </si>
  <si>
    <t xml:space="preserve">Exit reasons</t>
  </si>
  <si>
    <t xml:space="preserve">Automation register</t>
  </si>
  <si>
    <t xml:space="preserve">Twenty-eight automations. Each names the event that fires it, what it does, who owns it, its timing, the rule that constrains it, and the table it touches. Automation is built last, because it must automate a process that already works by hand.</t>
  </si>
  <si>
    <t xml:space="preserve">Fires on</t>
  </si>
  <si>
    <t xml:space="preserve">What it does</t>
  </si>
  <si>
    <t xml:space="preserve">Timing</t>
  </si>
  <si>
    <t xml:space="preserve">Constraint</t>
  </si>
  <si>
    <t xml:space="preserve">Table</t>
  </si>
  <si>
    <t xml:space="preserve">AU-01</t>
  </si>
  <si>
    <t xml:space="preserve">Send verification code on the chosen channel</t>
  </si>
  <si>
    <t xml:space="preserve">Fall back to voice after two failed sends</t>
  </si>
  <si>
    <t xml:space="preserve">AU-02</t>
  </si>
  <si>
    <t xml:space="preserve">Open orientation and send a resume link valid for [[PH-RESUME-TTL]]</t>
  </si>
  <si>
    <t xml:space="preserve">AU-03</t>
  </si>
  <si>
    <t xml:space="preserve">Form abandoned mid-way</t>
  </si>
  <si>
    <t xml:space="preserve">Send a resume prompt with the exact screen the person stopped on</t>
  </si>
  <si>
    <t xml:space="preserve">[[PH-ABANDON-1]] then [[PH-ABANDON-2]] then stop</t>
  </si>
  <si>
    <t xml:space="preserve">Never more than two prompts</t>
  </si>
  <si>
    <t xml:space="preserve">AU-04</t>
  </si>
  <si>
    <t xml:space="preserve">Create the verification case and place it in the queue by submission time</t>
  </si>
  <si>
    <t xml:space="preserve">Priority for Forge graduates and referred applicants</t>
  </si>
  <si>
    <t xml:space="preserve">AU-05</t>
  </si>
  <si>
    <t xml:space="preserve">Photo fails the standard</t>
  </si>
  <si>
    <t xml:space="preserve">Reject in the browser before upload with the specific reason and the guide</t>
  </si>
  <si>
    <t xml:space="preserve">Never a silent failure</t>
  </si>
  <si>
    <t xml:space="preserve">AU-06</t>
  </si>
  <si>
    <t xml:space="preserve">Document image fails quality</t>
  </si>
  <si>
    <t xml:space="preserve">Reject in the browser with the specific defect named</t>
  </si>
  <si>
    <t xml:space="preserve">Glare, blur, crop, edge</t>
  </si>
  <si>
    <t xml:space="preserve">AU-07</t>
  </si>
  <si>
    <t xml:space="preserve">Face match above threshold</t>
  </si>
  <si>
    <t xml:space="preserve">Auto-pass the identity axis to L1 and notify the applicant</t>
  </si>
  <si>
    <t xml:space="preserve">Machines may pass, only a person may fail</t>
  </si>
  <si>
    <t xml:space="preserve">AU-08</t>
  </si>
  <si>
    <t xml:space="preserve">Face match below threshold</t>
  </si>
  <si>
    <t xml:space="preserve">Route to POS-TAL-VER as a human review task</t>
  </si>
  <si>
    <t xml:space="preserve">AU-09</t>
  </si>
  <si>
    <t xml:space="preserve">Screening hit</t>
  </si>
  <si>
    <t xml:space="preserve">Suspend the case, notify POS-CEO and POS-COUNSEL, tell the applicant a review is under way</t>
  </si>
  <si>
    <t xml:space="preserve">No detail disclosed to the applicant</t>
  </si>
  <si>
    <t xml:space="preserve">AU-10</t>
  </si>
  <si>
    <t xml:space="preserve">Invite to the assessment with the rubric attached</t>
  </si>
  <si>
    <t xml:space="preserve">AU-11</t>
  </si>
  <si>
    <t xml:space="preserve">Assessment started</t>
  </si>
  <si>
    <t xml:space="preserve">Auto-save every [[PH-AUTOSAVE]] and hold the draft for [[PH-DRAFT-TTL]]</t>
  </si>
  <si>
    <t xml:space="preserve">Connection loss must never destroy work</t>
  </si>
  <si>
    <t xml:space="preserve">AU-12</t>
  </si>
  <si>
    <t xml:space="preserve">Assign to a scorer, excluding anyone who knows the applicant</t>
  </si>
  <si>
    <t xml:space="preserve">Conflict declared at assignment</t>
  </si>
  <si>
    <t xml:space="preserve">AU-13</t>
  </si>
  <si>
    <t xml:space="preserve">Release the full scoring sheet and written feedback whatever the outcome</t>
  </si>
  <si>
    <t xml:space="preserve">Applies to passes and failures alike</t>
  </si>
  <si>
    <t xml:space="preserve">AU-14</t>
  </si>
  <si>
    <t xml:space="preserve">Assessment failed</t>
  </si>
  <si>
    <t xml:space="preserve">Offer one retake after [[PH-RETAKE-WAIT]] with the specific gaps named and a Forge route offered</t>
  </si>
  <si>
    <t xml:space="preserve">One retake only per specialisation per [[PH-RETAKE-WINDOW]]</t>
  </si>
  <si>
    <t xml:space="preserve">AU-15</t>
  </si>
  <si>
    <t xml:space="preserve">Issue the digital card, update the pool listing, notify, offer the physical card</t>
  </si>
  <si>
    <t xml:space="preserve">AU-16</t>
  </si>
  <si>
    <t xml:space="preserve">Reference not returned</t>
  </si>
  <si>
    <t xml:space="preserve">Chase the referee, not the applicant, then request an alternative</t>
  </si>
  <si>
    <t xml:space="preserve">The applicant never carries their own reference</t>
  </si>
  <si>
    <t xml:space="preserve">AU-17</t>
  </si>
  <si>
    <t xml:space="preserve">Pod specification issued</t>
  </si>
  <si>
    <t xml:space="preserve">Query the registry against the specification and return a ranked shortlist with reasons</t>
  </si>
  <si>
    <t xml:space="preserve">Always more than one configuration, never a single best</t>
  </si>
  <si>
    <t xml:space="preserve">pod_shortlist</t>
  </si>
  <si>
    <t xml:space="preserve">AU-18</t>
  </si>
  <si>
    <t xml:space="preserve">Pod invitation sent</t>
  </si>
  <si>
    <t xml:space="preserve">Notify on the preferred channel with full scope, role, dates and indicative value</t>
  </si>
  <si>
    <t xml:space="preserve">Expires at [[PH-INVITE-TTL]] and is offered onward</t>
  </si>
  <si>
    <t xml:space="preserve">AU-19</t>
  </si>
  <si>
    <t xml:space="preserve">Invitation not answered</t>
  </si>
  <si>
    <t xml:space="preserve">Escalate to the next candidate and record a conduct signal</t>
  </si>
  <si>
    <t xml:space="preserve">At expiry</t>
  </si>
  <si>
    <t xml:space="preserve">Two unanswered invitations trigger a capacity conversation</t>
  </si>
  <si>
    <t xml:space="preserve">AU-20</t>
  </si>
  <si>
    <t xml:space="preserve">Milestone accepted</t>
  </si>
  <si>
    <t xml:space="preserve">Write to the performance ledger, release the payout instruction, start the holdback clock</t>
  </si>
  <si>
    <t xml:space="preserve">Two-signature release</t>
  </si>
  <si>
    <t xml:space="preserve">AU-21</t>
  </si>
  <si>
    <t xml:space="preserve">Holdback matured</t>
  </si>
  <si>
    <t xml:space="preserve">Release the held portion where no reversal is recorded</t>
  </si>
  <si>
    <t xml:space="preserve">AU-22</t>
  </si>
  <si>
    <t xml:space="preserve">Axis threshold crossed upward</t>
  </si>
  <si>
    <t xml:space="preserve">Flag tier eligibility for human decision</t>
  </si>
  <si>
    <t xml:space="preserve">Nightly job</t>
  </si>
  <si>
    <t xml:space="preserve">Nightly</t>
  </si>
  <si>
    <t xml:space="preserve">Promotion is never fully automatic</t>
  </si>
  <si>
    <t xml:space="preserve">tier_review</t>
  </si>
  <si>
    <t xml:space="preserve">AU-23</t>
  </si>
  <si>
    <t xml:space="preserve">Axis threshold crossed downward twice</t>
  </si>
  <si>
    <t xml:space="preserve">Open a tier review case and notify the talent before any change</t>
  </si>
  <si>
    <t xml:space="preserve">The talent is told first, always</t>
  </si>
  <si>
    <t xml:space="preserve">AU-24</t>
  </si>
  <si>
    <t xml:space="preserve">Dormancy reached</t>
  </si>
  <si>
    <t xml:space="preserve">Run a re-engagement sequence, then reduce one tier</t>
  </si>
  <si>
    <t xml:space="preserve">Reversible on re-verification</t>
  </si>
  <si>
    <t xml:space="preserve">AU-25</t>
  </si>
  <si>
    <t xml:space="preserve">Volunteer hour threshold</t>
  </si>
  <si>
    <t xml:space="preserve">Offer the talent fast-track. Offer, never automatic conversion</t>
  </si>
  <si>
    <t xml:space="preserve">At [[PH-VOL-FASTTRACK]] hours</t>
  </si>
  <si>
    <t xml:space="preserve">The volunteer chooses</t>
  </si>
  <si>
    <t xml:space="preserve">AU-26</t>
  </si>
  <si>
    <t xml:space="preserve">Card expiring</t>
  </si>
  <si>
    <t xml:space="preserve">Notify at [[PH-CARD-NOTICE]] and open renewal</t>
  </si>
  <si>
    <t xml:space="preserve">Scheduled</t>
  </si>
  <si>
    <t xml:space="preserve">AU-27</t>
  </si>
  <si>
    <t xml:space="preserve">Erasure requested</t>
  </si>
  <si>
    <t xml:space="preserve">Execute the erasure, retain only the legally required minimum, confirm in writing</t>
  </si>
  <si>
    <t xml:space="preserve">System with POS-TAL-LEAD</t>
  </si>
  <si>
    <t xml:space="preserve">Confirmation states exactly what was kept and why</t>
  </si>
  <si>
    <t xml:space="preserve">erasure_log</t>
  </si>
  <si>
    <t xml:space="preserve">AU-28</t>
  </si>
  <si>
    <t xml:space="preserve">Any state change</t>
  </si>
  <si>
    <t xml:space="preserve">Append an immutable audit event with actor, reason and evidence references</t>
  </si>
  <si>
    <t xml:space="preserve">Append only. Corrections are new events</t>
  </si>
  <si>
    <t xml:space="preserve">audit_event</t>
  </si>
  <si>
    <t xml:space="preserve">Notification matrix</t>
  </si>
  <si>
    <t xml:space="preserve">Who is told what, on which channel, when, and whether they can turn it off. Anything that can be switched off is marked so, and the switch actually works.</t>
  </si>
  <si>
    <t xml:space="preserve">Notification</t>
  </si>
  <si>
    <t xml:space="preserve">Channel</t>
  </si>
  <si>
    <t xml:space="preserve">Recipient</t>
  </si>
  <si>
    <t xml:space="preserve">When</t>
  </si>
  <si>
    <t xml:space="preserve">Content rule</t>
  </si>
  <si>
    <t xml:space="preserve">Optional</t>
  </si>
  <si>
    <t xml:space="preserve">NT-01</t>
  </si>
  <si>
    <t xml:space="preserve">Messaging then SMS then voice</t>
  </si>
  <si>
    <t xml:space="preserve">Applicant</t>
  </si>
  <si>
    <t xml:space="preserve">Code only. No links.</t>
  </si>
  <si>
    <t xml:space="preserve">NT-02</t>
  </si>
  <si>
    <t xml:space="preserve">Welcome and what happens next</t>
  </si>
  <si>
    <t xml:space="preserve">Preferred channel and email</t>
  </si>
  <si>
    <t xml:space="preserve">On registration</t>
  </si>
  <si>
    <t xml:space="preserve">Names the next step and the expected date</t>
  </si>
  <si>
    <t xml:space="preserve">NT-03</t>
  </si>
  <si>
    <t xml:space="preserve">Resume your application</t>
  </si>
  <si>
    <t xml:space="preserve">Preferred channel</t>
  </si>
  <si>
    <t xml:space="preserve">On abandonment</t>
  </si>
  <si>
    <t xml:space="preserve">Deep link to the exact screen</t>
  </si>
  <si>
    <t xml:space="preserve">NT-04</t>
  </si>
  <si>
    <t xml:space="preserve">On case close</t>
  </si>
  <si>
    <t xml:space="preserve">Assessment invitation attached</t>
  </si>
  <si>
    <t xml:space="preserve">NT-05</t>
  </si>
  <si>
    <t xml:space="preserve">More information needed</t>
  </si>
  <si>
    <t xml:space="preserve">States exactly what and why</t>
  </si>
  <si>
    <t xml:space="preserve">NT-06</t>
  </si>
  <si>
    <t xml:space="preserve">Assessment result</t>
  </si>
  <si>
    <t xml:space="preserve">On scoring</t>
  </si>
  <si>
    <t xml:space="preserve">Full scoring sheet attached whatever the result</t>
  </si>
  <si>
    <t xml:space="preserve">NT-07</t>
  </si>
  <si>
    <t xml:space="preserve">All channels</t>
  </si>
  <si>
    <t xml:space="preserve">On award</t>
  </si>
  <si>
    <t xml:space="preserve">Card link and what the next tier requires</t>
  </si>
  <si>
    <t xml:space="preserve">NT-08</t>
  </si>
  <si>
    <t xml:space="preserve">Interview confirmation and reminder</t>
  </si>
  <si>
    <t xml:space="preserve">On booking, then [[PH-INT-REMIND]] before</t>
  </si>
  <si>
    <t xml:space="preserve">Joining details and what to expect</t>
  </si>
  <si>
    <t xml:space="preserve">NT-09</t>
  </si>
  <si>
    <t xml:space="preserve">Reference request</t>
  </si>
  <si>
    <t xml:space="preserve">Email then phone</t>
  </si>
  <si>
    <t xml:space="preserve">Referee</t>
  </si>
  <si>
    <t xml:space="preserve">On consent</t>
  </si>
  <si>
    <t xml:space="preserve">Structured form plus a call offer</t>
  </si>
  <si>
    <t xml:space="preserve">NT-10</t>
  </si>
  <si>
    <t xml:space="preserve">Pod invitation</t>
  </si>
  <si>
    <t xml:space="preserve">On assembly</t>
  </si>
  <si>
    <t xml:space="preserve">Full scope. Expiry stated.</t>
  </si>
  <si>
    <t xml:space="preserve">NT-11</t>
  </si>
  <si>
    <t xml:space="preserve">Milestone accepted and payment released</t>
  </si>
  <si>
    <t xml:space="preserve">On acceptance</t>
  </si>
  <si>
    <t xml:space="preserve">Amount, held portion, expected date</t>
  </si>
  <si>
    <t xml:space="preserve">NT-12</t>
  </si>
  <si>
    <t xml:space="preserve">Tier review opened</t>
  </si>
  <si>
    <t xml:space="preserve">Before any change</t>
  </si>
  <si>
    <t xml:space="preserve">Reason, evidence, appeal route</t>
  </si>
  <si>
    <t xml:space="preserve">NT-13</t>
  </si>
  <si>
    <t xml:space="preserve">[[PH-CARD-NOTICE]]</t>
  </si>
  <si>
    <t xml:space="preserve">Renewal link</t>
  </si>
  <si>
    <t xml:space="preserve">NT-14</t>
  </si>
  <si>
    <t xml:space="preserve">Queue breach</t>
  </si>
  <si>
    <t xml:space="preserve">Internal</t>
  </si>
  <si>
    <t xml:space="preserve">On SLA breach</t>
  </si>
  <si>
    <t xml:space="preserve">Case, age, owner</t>
  </si>
  <si>
    <t xml:space="preserve">NT-15</t>
  </si>
  <si>
    <t xml:space="preserve">Internal, restricted</t>
  </si>
  <si>
    <t xml:space="preserve">POS-CEO and POS-COUNSEL</t>
  </si>
  <si>
    <t xml:space="preserve">Restricted distribution</t>
  </si>
  <si>
    <t xml:space="preserve">NT-16</t>
  </si>
  <si>
    <t xml:space="preserve">Safeguarding report</t>
  </si>
  <si>
    <t xml:space="preserve">Messaging channel flows</t>
  </si>
  <si>
    <t xml:space="preserve">Messaging is the spine, not a fallback. Eight flows, each ending in a state change on the record. A person answers, never a menu tree.</t>
  </si>
  <si>
    <t xml:space="preserve">Flow</t>
  </si>
  <si>
    <t xml:space="preserve">Initiated by</t>
  </si>
  <si>
    <t xml:space="preserve">Outcome</t>
  </si>
  <si>
    <t xml:space="preserve">WA-01</t>
  </si>
  <si>
    <t xml:space="preserve">Register</t>
  </si>
  <si>
    <t xml:space="preserve">A deep link opens a pre-filled message. The handler replies with the portal link and a one line explanation.</t>
  </si>
  <si>
    <t xml:space="preserve">[[PH-SLA-WA]] in working hours</t>
  </si>
  <si>
    <t xml:space="preserve">Portal account created</t>
  </si>
  <si>
    <t xml:space="preserve">WA-02</t>
  </si>
  <si>
    <t xml:space="preserve">Where am I</t>
  </si>
  <si>
    <t xml:space="preserve">The applicant asks for status. A signed status link is returned.</t>
  </si>
  <si>
    <t xml:space="preserve">System then POS-TAL-SUP</t>
  </si>
  <si>
    <t xml:space="preserve">Status link</t>
  </si>
  <si>
    <t xml:space="preserve">WA-03</t>
  </si>
  <si>
    <t xml:space="preserve">I am stuck</t>
  </si>
  <si>
    <t xml:space="preserve">Free text describing the blocker. Routed to a person, not a menu.</t>
  </si>
  <si>
    <t xml:space="preserve">[[PH-SLA-WA]]</t>
  </si>
  <si>
    <t xml:space="preserve">Support thread on record</t>
  </si>
  <si>
    <t xml:space="preserve">WA-04</t>
  </si>
  <si>
    <t xml:space="preserve">Photo help</t>
  </si>
  <si>
    <t xml:space="preserve">The applicant sends a photograph. It is checked against the standard and either accepted or specifically corrected.</t>
  </si>
  <si>
    <t xml:space="preserve">Photograph accepted or corrected</t>
  </si>
  <si>
    <t xml:space="preserve">WA-05</t>
  </si>
  <si>
    <t xml:space="preserve">Invitation summary with accept and decline actions. Full detail on the portal.</t>
  </si>
  <si>
    <t xml:space="preserve">Accepted or declined</t>
  </si>
  <si>
    <t xml:space="preserve">WA-06</t>
  </si>
  <si>
    <t xml:space="preserve">Assignment reminder</t>
  </si>
  <si>
    <t xml:space="preserve">Milestone reminder at a set interval before the date.</t>
  </si>
  <si>
    <t xml:space="preserve">Acknowledged</t>
  </si>
  <si>
    <t xml:space="preserve">WA-07</t>
  </si>
  <si>
    <t xml:space="preserve">Volunteer shift</t>
  </si>
  <si>
    <t xml:space="preserve">Shift offer, confirmation and reminder.</t>
  </si>
  <si>
    <t xml:space="preserve">Shift confirmed</t>
  </si>
  <si>
    <t xml:space="preserve">WA-08</t>
  </si>
  <si>
    <t xml:space="preserve">Open call</t>
  </si>
  <si>
    <t xml:space="preserve">Broadcast to an opted-in specialisation list only. Never to the full registry.</t>
  </si>
  <si>
    <t xml:space="preserve">On publication</t>
  </si>
  <si>
    <t xml:space="preserve">Applications to the call</t>
  </si>
  <si>
    <t xml:space="preserve">Service levels and queue rules</t>
  </si>
  <si>
    <t xml:space="preserve">Every queue has an owner, a level, a triage rule and a breach action. A queue without a published level becomes a queue without an end.</t>
  </si>
  <si>
    <t xml:space="preserve">Queue</t>
  </si>
  <si>
    <t xml:space="preserve">Triage rule</t>
  </si>
  <si>
    <t xml:space="preserve">On breach</t>
  </si>
  <si>
    <t xml:space="preserve">Escalates to</t>
  </si>
  <si>
    <t xml:space="preserve">Verification cases</t>
  </si>
  <si>
    <t xml:space="preserve">Oldest first, except Forge graduates and referred applicants who are taken first</t>
  </si>
  <si>
    <t xml:space="preserve">Alert AL-01, reassign the same day</t>
  </si>
  <si>
    <t xml:space="preserve">Human face-match review</t>
  </si>
  <si>
    <t xml:space="preserve">Ahead of new cases, because someone is already waiting</t>
  </si>
  <si>
    <t xml:space="preserve">Alert AL-01</t>
  </si>
  <si>
    <t xml:space="preserve">Screening hits</t>
  </si>
  <si>
    <t xml:space="preserve">All hits ahead of everything else</t>
  </si>
  <si>
    <t xml:space="preserve">Alert AL-03</t>
  </si>
  <si>
    <t xml:space="preserve">Assessment scoring</t>
  </si>
  <si>
    <t xml:space="preserve">Oldest first. No scorer scores someone they know.</t>
  </si>
  <si>
    <t xml:space="preserve">Alert AL-02, to the moderator</t>
  </si>
  <si>
    <t xml:space="preserve">Moderation sample</t>
  </si>
  <si>
    <t xml:space="preserve">Weekly</t>
  </si>
  <si>
    <t xml:space="preserve">A fixed share of attempts, plus every failure</t>
  </si>
  <si>
    <t xml:space="preserve">Reported in the weekly review</t>
  </si>
  <si>
    <t xml:space="preserve">Interview scheduling</t>
  </si>
  <si>
    <t xml:space="preserve">Slots opened weekly, at least [[PH-INT-NOTICE]] ahead</t>
  </si>
  <si>
    <t xml:space="preserve">Open additional slots</t>
  </si>
  <si>
    <t xml:space="preserve">Kayan chases the referee, never the applicant</t>
  </si>
  <si>
    <t xml:space="preserve">Request an alternative referee</t>
  </si>
  <si>
    <t xml:space="preserve">Tier decisions</t>
  </si>
  <si>
    <t xml:space="preserve">[[PH-SLA-TIER]]</t>
  </si>
  <si>
    <t xml:space="preserve">Cleared weekly. Never allowed to accumulate.</t>
  </si>
  <si>
    <t xml:space="preserve">Reported to POS-CEO</t>
  </si>
  <si>
    <t xml:space="preserve">Support threads</t>
  </si>
  <si>
    <t xml:space="preserve">[[PH-SLA-SUPPORT]]</t>
  </si>
  <si>
    <t xml:space="preserve">First in, first answered</t>
  </si>
  <si>
    <t xml:space="preserve">Alert AL-04</t>
  </si>
  <si>
    <t xml:space="preserve">Messaging channel</t>
  </si>
  <si>
    <t xml:space="preserve">A person, never an automated menu</t>
  </si>
  <si>
    <t xml:space="preserve">Appeals</t>
  </si>
  <si>
    <t xml:space="preserve">One level above the decision</t>
  </si>
  <si>
    <t xml:space="preserve">[[PH-SLA-APPEAL]]</t>
  </si>
  <si>
    <t xml:space="preserve">Never heard by the position that decided</t>
  </si>
  <si>
    <t xml:space="preserve">Erasure requests</t>
  </si>
  <si>
    <t xml:space="preserve">Ahead of everything except safeguarding</t>
  </si>
  <si>
    <t xml:space="preserve">Alert AL-15</t>
  </si>
  <si>
    <t xml:space="preserve">KAYAN  ·  KAY-TOS-001  ·  VERIFICATION</t>
  </si>
  <si>
    <t xml:space="preserve">Verification procedure</t>
  </si>
  <si>
    <t xml:space="preserve">The step sequence the verification team follows on every case. Written for an intern in their second week, because that is who will run it.</t>
  </si>
  <si>
    <t xml:space="preserve">Step</t>
  </si>
  <si>
    <t xml:space="preserve">Input</t>
  </si>
  <si>
    <t xml:space="preserve">Control</t>
  </si>
  <si>
    <t xml:space="preserve">If it fails</t>
  </si>
  <si>
    <t xml:space="preserve">Open the case from the queue, oldest first except priority applicants. Record the open time.</t>
  </si>
  <si>
    <t xml:space="preserve">Queue entry</t>
  </si>
  <si>
    <t xml:space="preserve">Case in review</t>
  </si>
  <si>
    <t xml:space="preserve">Only one open case per officer at a time</t>
  </si>
  <si>
    <t xml:space="preserve">Declare any conflict. If the applicant is known to you, return the case to the queue and say so.</t>
  </si>
  <si>
    <t xml:space="preserve">Applicant record</t>
  </si>
  <si>
    <t xml:space="preserve">Conflict declared or none</t>
  </si>
  <si>
    <t xml:space="preserve">Declaration is recorded on the case</t>
  </si>
  <si>
    <t xml:space="preserve">Reassign</t>
  </si>
  <si>
    <t xml:space="preserve">Check the document images against the ten-point standard. The browser has already checked eight of them.</t>
  </si>
  <si>
    <t xml:space="preserve">Quality accepted or rejected</t>
  </si>
  <si>
    <t xml:space="preserve">Standard published in tab 05.3</t>
  </si>
  <si>
    <t xml:space="preserve">Request a retake naming the defect</t>
  </si>
  <si>
    <t xml:space="preserve">Compare the document to the declared name, date of birth and number. Note any variance in transliteration.</t>
  </si>
  <si>
    <t xml:space="preserve">Document and profile</t>
  </si>
  <si>
    <t xml:space="preserve">Match or variance noted</t>
  </si>
  <si>
    <t xml:space="preserve">Transliteration variance is normal and is not a failure</t>
  </si>
  <si>
    <t xml:space="preserve">Request clarification, never reject silently</t>
  </si>
  <si>
    <t xml:space="preserve">Review the automatic face match. Below the threshold, compare the three images yourself.</t>
  </si>
  <si>
    <t xml:space="preserve">Photograph, document, live capture</t>
  </si>
  <si>
    <t xml:space="preserve">Confirmed or escalated</t>
  </si>
  <si>
    <t xml:space="preserve">Escalate to POS-TAL-LEAD</t>
  </si>
  <si>
    <t xml:space="preserve">Review the liveness sequence for a screen, a print or a still held to the camera.</t>
  </si>
  <si>
    <t xml:space="preserve">Liveness recording</t>
  </si>
  <si>
    <t xml:space="preserve">Randomised prompt must match</t>
  </si>
  <si>
    <t xml:space="preserve">Escalate</t>
  </si>
  <si>
    <t xml:space="preserve">Read the screening result. Any hit stops the case here. Notify and stop. Do not tell the applicant why.</t>
  </si>
  <si>
    <t xml:space="preserve">Screening output</t>
  </si>
  <si>
    <t xml:space="preserve">Cleared or suspended</t>
  </si>
  <si>
    <t xml:space="preserve">Counsel decides, not the officer</t>
  </si>
  <si>
    <t xml:space="preserve">Suspend, notify POS-COUNSEL and POS-CEO</t>
  </si>
  <si>
    <t xml:space="preserve">Where the alternative attestation route was used, call the attesting authority yourself and record the call.</t>
  </si>
  <si>
    <t xml:space="preserve">Attestation and contact</t>
  </si>
  <si>
    <t xml:space="preserve">Call recorded</t>
  </si>
  <si>
    <t xml:space="preserve">Always a live call, never a document alone</t>
  </si>
  <si>
    <t xml:space="preserve">Set the identity axis level and write the reason in plain words. Close the case.</t>
  </si>
  <si>
    <t xml:space="preserve">All of the above</t>
  </si>
  <si>
    <t xml:space="preserve">Case closed, axis set</t>
  </si>
  <si>
    <t xml:space="preserve">Reason is written for the applicant to read</t>
  </si>
  <si>
    <t xml:space="preserve">Purge the document images on the scheduled date. Confirm the purge ran.</t>
  </si>
  <si>
    <t xml:space="preserve">System, checked by POS-TAL-LEAD</t>
  </si>
  <si>
    <t xml:space="preserve">Closed case</t>
  </si>
  <si>
    <t xml:space="preserve">Images gone, outcome retained</t>
  </si>
  <si>
    <t xml:space="preserve">Alert AL-10 if the job did not run</t>
  </si>
  <si>
    <t xml:space="preserve">Investigate the same day</t>
  </si>
  <si>
    <t xml:space="preserve">Evidence standard</t>
  </si>
  <si>
    <t xml:space="preserve">What counts as evidence on each axis, what does not, and what is retained after the decision. An assertion is not evidence.</t>
  </si>
  <si>
    <t xml:space="preserve">Accepted as evidence</t>
  </si>
  <si>
    <t xml:space="preserve">Not accepted</t>
  </si>
  <si>
    <t xml:space="preserve">Retained after the decision</t>
  </si>
  <si>
    <t xml:space="preserve">Reviewed by</t>
  </si>
  <si>
    <t xml:space="preserve">Re-checked</t>
  </si>
  <si>
    <t xml:space="preserve">Government document with a face match and a passed liveness sequence. Where no document exists, a documented attestation with a recorded call.</t>
  </si>
  <si>
    <t xml:space="preserve">A scan with no live capture. A document image alone. A third party vouching by message.</t>
  </si>
  <si>
    <t xml:space="preserve">Outcome, axis level, hash of the document and the reviewer identity. Never the images.</t>
  </si>
  <si>
    <t xml:space="preserve">On document expiry, or on any material change</t>
  </si>
  <si>
    <t xml:space="preserve">Portfolio artefacts with declared provenance, a timed practical task scored against a published rubric, and an interview scored by two people.</t>
  </si>
  <si>
    <t xml:space="preserve">A claim in a summary. A certificate with no artefact. Work whose provenance is not declared.</t>
  </si>
  <si>
    <t xml:space="preserve">Submission, rubric line scores, written feedback and the moderation note.</t>
  </si>
  <si>
    <t xml:space="preserve">POS-TAL-ASM, moderated by POS-TAL-LEAD</t>
  </si>
  <si>
    <t xml:space="preserve">On a new specialisation, or on a rubric revision</t>
  </si>
  <si>
    <t xml:space="preserve">Accepted milestones from real Kayan deliveries, on-time flags, revision counts and client ratings. A Forge capstone counts toward L1 to L2 only.</t>
  </si>
  <si>
    <t xml:space="preserve">Work outside Kayan that cannot be verified. Self-reported outcomes. A referee's opinion about volume.</t>
  </si>
  <si>
    <t xml:space="preserve">The full ledger, permanently. It is the talent's own asset.</t>
  </si>
  <si>
    <t xml:space="preserve">Continuously, from the ledger</t>
  </si>
  <si>
    <t xml:space="preserve">Response times to invitations, missed-date records, pod lead and client ratings, and any sanction record.</t>
  </si>
  <si>
    <t xml:space="preserve">Hearsay. An unrecorded complaint. A single frustrated message.</t>
  </si>
  <si>
    <t xml:space="preserve">Rolling window scores plus every sanction record.</t>
  </si>
  <si>
    <t xml:space="preserve">Every cycle</t>
  </si>
  <si>
    <t xml:space="preserve">Declared availability compared with accepted commitments and observed delivery.</t>
  </si>
  <si>
    <t xml:space="preserve">A declaration alone, once it has been contradicted twice.</t>
  </si>
  <si>
    <t xml:space="preserve">Declaration history and every breach.</t>
  </si>
  <si>
    <t xml:space="preserve">On every declaration and every assignment</t>
  </si>
  <si>
    <t xml:space="preserve">Photograph and document standards</t>
  </si>
  <si>
    <t xml:space="preserve">Twenty-two checks. Most run in the browser before anything is uploaded, so nobody waits three days to be told their photograph was blurry.</t>
  </si>
  <si>
    <t xml:space="preserve">Requirement</t>
  </si>
  <si>
    <t xml:space="preserve">Standard</t>
  </si>
  <si>
    <t xml:space="preserve">Checked where</t>
  </si>
  <si>
    <t xml:space="preserve">PH-01</t>
  </si>
  <si>
    <t xml:space="preserve">Resolution</t>
  </si>
  <si>
    <t xml:space="preserve">At least 600 by 600 pixels</t>
  </si>
  <si>
    <t xml:space="preserve">Checked in the browser</t>
  </si>
  <si>
    <t xml:space="preserve">Reject with the measured value shown</t>
  </si>
  <si>
    <t xml:space="preserve">PH-02</t>
  </si>
  <si>
    <t xml:space="preserve">File size</t>
  </si>
  <si>
    <t xml:space="preserve">Between [[PH-PHOTO-MIN-KB]] and [[PH-PHOTO-MB]]</t>
  </si>
  <si>
    <t xml:space="preserve">Reject and offer automatic compression</t>
  </si>
  <si>
    <t xml:space="preserve">PH-03</t>
  </si>
  <si>
    <t xml:space="preserve">Format</t>
  </si>
  <si>
    <t xml:space="preserve">JPEG or PNG only</t>
  </si>
  <si>
    <t xml:space="preserve">Reject and offer conversion</t>
  </si>
  <si>
    <t xml:space="preserve">PH-04</t>
  </si>
  <si>
    <t xml:space="preserve">Face detection</t>
  </si>
  <si>
    <t xml:space="preserve">Exactly one face, occupying 20 to 50 per cent of the frame</t>
  </si>
  <si>
    <t xml:space="preserve">Reject with a framing overlay shown</t>
  </si>
  <si>
    <t xml:space="preserve">PH-05</t>
  </si>
  <si>
    <t xml:space="preserve">Head position</t>
  </si>
  <si>
    <t xml:space="preserve">Facing the camera. Rotation within [[PH-PHOTO-ROT]] degrees</t>
  </si>
  <si>
    <t xml:space="preserve">Reject and show the target position</t>
  </si>
  <si>
    <t xml:space="preserve">PH-06</t>
  </si>
  <si>
    <t xml:space="preserve">Eyes</t>
  </si>
  <si>
    <t xml:space="preserve">Open and unobstructed</t>
  </si>
  <si>
    <t xml:space="preserve">Reject</t>
  </si>
  <si>
    <t xml:space="preserve">PH-07</t>
  </si>
  <si>
    <t xml:space="preserve">Obstruction</t>
  </si>
  <si>
    <t xml:space="preserve">No sunglasses. Head covering permitted where the face is fully visible.</t>
  </si>
  <si>
    <t xml:space="preserve">Reject only where the face is obscured</t>
  </si>
  <si>
    <t xml:space="preserve">PH-08</t>
  </si>
  <si>
    <t xml:space="preserve">Lighting</t>
  </si>
  <si>
    <t xml:space="preserve">Even. No blown highlights, no deep shadow across the face</t>
  </si>
  <si>
    <t xml:space="preserve">Warn and offer a retake</t>
  </si>
  <si>
    <t xml:space="preserve">PH-09</t>
  </si>
  <si>
    <t xml:space="preserve">Background</t>
  </si>
  <si>
    <t xml:space="preserve">Plain and uncluttered. Any light colour.</t>
  </si>
  <si>
    <t xml:space="preserve">Warn and offer automatic background replacement</t>
  </si>
  <si>
    <t xml:space="preserve">PH-10</t>
  </si>
  <si>
    <t xml:space="preserve">Sharpness</t>
  </si>
  <si>
    <t xml:space="preserve">Above the blur threshold</t>
  </si>
  <si>
    <t xml:space="preserve">Reject with a retake prompt</t>
  </si>
  <si>
    <t xml:space="preserve">PH-11</t>
  </si>
  <si>
    <t xml:space="preserve">Alteration</t>
  </si>
  <si>
    <t xml:space="preserve">No filter, no beautification, no composite</t>
  </si>
  <si>
    <t xml:space="preserve">Human review</t>
  </si>
  <si>
    <t xml:space="preserve">Reject at review and request a retake</t>
  </si>
  <si>
    <t xml:space="preserve">PH-12</t>
  </si>
  <si>
    <t xml:space="preserve">Recency</t>
  </si>
  <si>
    <t xml:space="preserve">Taken within [[PH-PHOTO-AGE]]</t>
  </si>
  <si>
    <t xml:space="preserve">Declared</t>
  </si>
  <si>
    <t xml:space="preserve">Declared, spot checked at interview</t>
  </si>
  <si>
    <t xml:space="preserve">Identity document images</t>
  </si>
  <si>
    <t xml:space="preserve">DC-01</t>
  </si>
  <si>
    <t xml:space="preserve">Whole document in frame</t>
  </si>
  <si>
    <t xml:space="preserve">All four edges visible with a margin</t>
  </si>
  <si>
    <t xml:space="preserve">Edge detection</t>
  </si>
  <si>
    <t xml:space="preserve">Reject with an overlay</t>
  </si>
  <si>
    <t xml:space="preserve">DC-02</t>
  </si>
  <si>
    <t xml:space="preserve">Glare</t>
  </si>
  <si>
    <t xml:space="preserve">No specular highlight over any text</t>
  </si>
  <si>
    <t xml:space="preserve">Glare detection</t>
  </si>
  <si>
    <t xml:space="preserve">Reject and suggest turning the light</t>
  </si>
  <si>
    <t xml:space="preserve">DC-03</t>
  </si>
  <si>
    <t xml:space="preserve">All text legible at 100 per cent</t>
  </si>
  <si>
    <t xml:space="preserve">Blur detection</t>
  </si>
  <si>
    <t xml:space="preserve">DC-04</t>
  </si>
  <si>
    <t xml:space="preserve">Colour</t>
  </si>
  <si>
    <t xml:space="preserve">Colour capture, not greyscale</t>
  </si>
  <si>
    <t xml:space="preserve">Channel check</t>
  </si>
  <si>
    <t xml:space="preserve">DC-05</t>
  </si>
  <si>
    <t xml:space="preserve">Completeness</t>
  </si>
  <si>
    <t xml:space="preserve">Both sides where the type has two</t>
  </si>
  <si>
    <t xml:space="preserve">Count check</t>
  </si>
  <si>
    <t xml:space="preserve">Block until complete</t>
  </si>
  <si>
    <t xml:space="preserve">DC-06</t>
  </si>
  <si>
    <t xml:space="preserve">Consistency</t>
  </si>
  <si>
    <t xml:space="preserve">Name, date of birth and number match the declared values</t>
  </si>
  <si>
    <t xml:space="preserve">Extraction and comparison</t>
  </si>
  <si>
    <t xml:space="preserve">Route to human review, never auto-reject</t>
  </si>
  <si>
    <t xml:space="preserve">DC-07</t>
  </si>
  <si>
    <t xml:space="preserve">Validity</t>
  </si>
  <si>
    <t xml:space="preserve">Not expired unless the type has no expiry</t>
  </si>
  <si>
    <t xml:space="preserve">Date check</t>
  </si>
  <si>
    <t xml:space="preserve">Route to human review</t>
  </si>
  <si>
    <t xml:space="preserve">DC-08</t>
  </si>
  <si>
    <t xml:space="preserve">Tamper indicators</t>
  </si>
  <si>
    <t xml:space="preserve">Font, alignment and edge anomalies</t>
  </si>
  <si>
    <t xml:space="preserve">DC-09</t>
  </si>
  <si>
    <t xml:space="preserve">Retention</t>
  </si>
  <si>
    <t xml:space="preserve">Images deleted [[PH-DOC-RETENTION]] after the case closes. Only the outcome and a hash are retained.</t>
  </si>
  <si>
    <t xml:space="preserve">Deletion logged</t>
  </si>
  <si>
    <t xml:space="preserve">DC-10</t>
  </si>
  <si>
    <t xml:space="preserve">Document images visible only to POS-TAL-VER and POS-TAL-LEAD, and every view is logged</t>
  </si>
  <si>
    <t xml:space="preserve">Access control</t>
  </si>
  <si>
    <t xml:space="preserve">Access log reviewed monthly</t>
  </si>
  <si>
    <t xml:space="preserve">The assessment rubric</t>
  </si>
  <si>
    <t xml:space="preserve">Eight lines, applied to every specialisation, with the descriptors written out at each level. The applicant sees this in full before the task begins. A hidden rubric tests guessing.</t>
  </si>
  <si>
    <t xml:space="preserve">Line</t>
  </si>
  <si>
    <t xml:space="preserve">Criterion</t>
  </si>
  <si>
    <t xml:space="preserve">What it asks</t>
  </si>
  <si>
    <t xml:space="preserve">Weight</t>
  </si>
  <si>
    <t xml:space="preserve">Level 1</t>
  </si>
  <si>
    <t xml:space="preserve">Level 2</t>
  </si>
  <si>
    <t xml:space="preserve">Level 3</t>
  </si>
  <si>
    <t xml:space="preserve">R-01</t>
  </si>
  <si>
    <t xml:space="preserve">Brief comprehension</t>
  </si>
  <si>
    <t xml:space="preserve">Did the submission answer what was actually asked</t>
  </si>
  <si>
    <t xml:space="preserve">[[PH-W-R01]]</t>
  </si>
  <si>
    <t xml:space="preserve">Missed the brief</t>
  </si>
  <si>
    <t xml:space="preserve">Partially addressed</t>
  </si>
  <si>
    <t xml:space="preserve">Addressed in full</t>
  </si>
  <si>
    <t xml:space="preserve">R-02</t>
  </si>
  <si>
    <t xml:space="preserve">Technical execution</t>
  </si>
  <si>
    <t xml:space="preserve">Is the craft sound against the standards of the specialisation</t>
  </si>
  <si>
    <t xml:space="preserve">[[PH-W-R02]]</t>
  </si>
  <si>
    <t xml:space="preserve">Below working standard</t>
  </si>
  <si>
    <t xml:space="preserve">Working standard</t>
  </si>
  <si>
    <t xml:space="preserve">Strong</t>
  </si>
  <si>
    <t xml:space="preserve">R-03</t>
  </si>
  <si>
    <t xml:space="preserve">Structure and clarity</t>
  </si>
  <si>
    <t xml:space="preserve">Is the work organised so another person can pick it up</t>
  </si>
  <si>
    <t xml:space="preserve">[[PH-W-R03]]</t>
  </si>
  <si>
    <t xml:space="preserve">Disorganised</t>
  </si>
  <si>
    <t xml:space="preserve">Adequate</t>
  </si>
  <si>
    <t xml:space="preserve">Clear</t>
  </si>
  <si>
    <t xml:space="preserve">R-04</t>
  </si>
  <si>
    <t xml:space="preserve">Context fit</t>
  </si>
  <si>
    <t xml:space="preserve">Does it suit the audience, the language and the operating reality</t>
  </si>
  <si>
    <t xml:space="preserve">[[PH-W-R04]]</t>
  </si>
  <si>
    <t xml:space="preserve">Ignores context</t>
  </si>
  <si>
    <t xml:space="preserve">Generic</t>
  </si>
  <si>
    <t xml:space="preserve">Fits context</t>
  </si>
  <si>
    <t xml:space="preserve">R-05</t>
  </si>
  <si>
    <t xml:space="preserve">Is it finished to the point of being usable</t>
  </si>
  <si>
    <t xml:space="preserve">[[PH-W-R05]]</t>
  </si>
  <si>
    <t xml:space="preserve">Fragmentary</t>
  </si>
  <si>
    <t xml:space="preserve">Partial</t>
  </si>
  <si>
    <t xml:space="preserve">Complete</t>
  </si>
  <si>
    <t xml:space="preserve">R-06</t>
  </si>
  <si>
    <t xml:space="preserve">Reasoning</t>
  </si>
  <si>
    <t xml:space="preserve">Does the approach note show sound judgement and trade-off awareness</t>
  </si>
  <si>
    <t xml:space="preserve">[[PH-W-R06]]</t>
  </si>
  <si>
    <t xml:space="preserve">Absent or unclear</t>
  </si>
  <si>
    <t xml:space="preserve">Describes what</t>
  </si>
  <si>
    <t xml:space="preserve">Explains why</t>
  </si>
  <si>
    <t xml:space="preserve">R-07</t>
  </si>
  <si>
    <t xml:space="preserve">Integrity</t>
  </si>
  <si>
    <t xml:space="preserve">Provenance, disclosure of assistance and honesty of claim</t>
  </si>
  <si>
    <t xml:space="preserve">[[PH-W-R07]]</t>
  </si>
  <si>
    <t xml:space="preserve">Concealment detected</t>
  </si>
  <si>
    <t xml:space="preserve">Unclear</t>
  </si>
  <si>
    <t xml:space="preserve">Disclosed</t>
  </si>
  <si>
    <t xml:space="preserve">R-08</t>
  </si>
  <si>
    <t xml:space="preserve">Timeliness</t>
  </si>
  <si>
    <t xml:space="preserve">Delivered within the time allowed</t>
  </si>
  <si>
    <t xml:space="preserve">[[PH-W-R08]]</t>
  </si>
  <si>
    <t xml:space="preserve">Substantially late</t>
  </si>
  <si>
    <t xml:space="preserve">Late</t>
  </si>
  <si>
    <t xml:space="preserve">On time</t>
  </si>
  <si>
    <t xml:space="preserve">Level 4 descriptors</t>
  </si>
  <si>
    <t xml:space="preserve">Level 4</t>
  </si>
  <si>
    <t xml:space="preserve">Addressed in full and identified an unstated need</t>
  </si>
  <si>
    <t xml:space="preserve">Exemplary</t>
  </si>
  <si>
    <t xml:space="preserve">Clear and reusable by others</t>
  </si>
  <si>
    <t xml:space="preserve">Demonstrates local judgement</t>
  </si>
  <si>
    <t xml:space="preserve">Complete with handover notes</t>
  </si>
  <si>
    <t xml:space="preserve">Explains why and names what was traded away</t>
  </si>
  <si>
    <t xml:space="preserve">Disclosed with precision</t>
  </si>
  <si>
    <t xml:space="preserve">Early with quality held</t>
  </si>
  <si>
    <t xml:space="preserve">Weights must total one hundred. Two scorers on the interview. A fixed sample of every scorer's work is moderated weekly, and every failure is moderated without exception.</t>
  </si>
  <si>
    <t xml:space="preserve">The verification interview</t>
  </si>
  <si>
    <t xml:space="preserve">Thirty minutes, four questions, two scorers, one published rubric. It exists to test whether the person in the recording is the person who did the work.</t>
  </si>
  <si>
    <t xml:space="preserve">Section</t>
  </si>
  <si>
    <t xml:space="preserve">Question</t>
  </si>
  <si>
    <t xml:space="preserve">What it tests</t>
  </si>
  <si>
    <t xml:space="preserve">Good answer looks like</t>
  </si>
  <si>
    <t xml:space="preserve">Scored against</t>
  </si>
  <si>
    <t xml:space="preserve">Opening</t>
  </si>
  <si>
    <t xml:space="preserve">Walk me through the piece of work you are proudest of, and your part in it.</t>
  </si>
  <si>
    <t xml:space="preserve">Provenance. Whether the claimed role in the artefacts is real.</t>
  </si>
  <si>
    <t xml:space="preserve">Specific about their own decisions, comfortable naming what others did.</t>
  </si>
  <si>
    <t xml:space="preserve">R-07 Integrity</t>
  </si>
  <si>
    <t xml:space="preserve">Take the task you did for us. Why did you approach it that way, and what would you do differently with more time?</t>
  </si>
  <si>
    <t xml:space="preserve">Reasoning and trade-off awareness. The strongest single predictor of delivery quality.</t>
  </si>
  <si>
    <t xml:space="preserve">Names the constraint, the choice made, and what was given up.</t>
  </si>
  <si>
    <t xml:space="preserve">R-06 Reasoning</t>
  </si>
  <si>
    <t xml:space="preserve">Failure</t>
  </si>
  <si>
    <t xml:space="preserve">Tell me about a time work went wrong. What did you do when you realised?</t>
  </si>
  <si>
    <t xml:space="preserve">Conduct under pressure. Whether problems get surfaced early or hidden until the deadline.</t>
  </si>
  <si>
    <t xml:space="preserve">Told someone early. Fixed it. Says what they changed after.</t>
  </si>
  <si>
    <t xml:space="preserve">R-06, and the conduct axis</t>
  </si>
  <si>
    <t xml:space="preserve">Reality</t>
  </si>
  <si>
    <t xml:space="preserve">On a normal week, what hours can you genuinely give us, and what else are you carrying?</t>
  </si>
  <si>
    <t xml:space="preserve">Capacity honesty. Over-declaration is the leading cause of missed milestones.</t>
  </si>
  <si>
    <t xml:space="preserve">Concrete, unflattering and specific.</t>
  </si>
  <si>
    <t xml:space="preserve">Capacity axis</t>
  </si>
  <si>
    <t xml:space="preserve">Close</t>
  </si>
  <si>
    <t xml:space="preserve">What do you want from Kayan in a year?</t>
  </si>
  <si>
    <t xml:space="preserve">Fit and retention. Whether this is a stopgap or a place to build a record.</t>
  </si>
  <si>
    <t xml:space="preserve">Any honest answer. There is no correct one.</t>
  </si>
  <si>
    <t xml:space="preserve">Not scored. Recorded.</t>
  </si>
  <si>
    <t xml:space="preserve">Reference standard</t>
  </si>
  <si>
    <t xml:space="preserve">Kayan contacts the referee. The applicant never carries their own reference. Two minimum, both anchored to a specific piece of work.</t>
  </si>
  <si>
    <t xml:space="preserve">Why</t>
  </si>
  <si>
    <t xml:space="preserve">Failure handling</t>
  </si>
  <si>
    <t xml:space="preserve">Who qualifies</t>
  </si>
  <si>
    <t xml:space="preserve">Someone who managed, commissioned or paid for the work. Never a relative. Never a peer with no oversight.</t>
  </si>
  <si>
    <t xml:space="preserve">A character reference tells us nothing about delivery.</t>
  </si>
  <si>
    <t xml:space="preserve">Rejected at submission with the reason stated</t>
  </si>
  <si>
    <t xml:space="preserve">How many</t>
  </si>
  <si>
    <t xml:space="preserve">Two returned. Three requested, because one usually does not answer.</t>
  </si>
  <si>
    <t xml:space="preserve">Realism about response rates, not optimism.</t>
  </si>
  <si>
    <t xml:space="preserve">Alternative referee requested after [[PH-REF-CHASE]]</t>
  </si>
  <si>
    <t xml:space="preserve">Who makes contact</t>
  </si>
  <si>
    <t xml:space="preserve">Kayan, directly, by email and then by phone.</t>
  </si>
  <si>
    <t xml:space="preserve">Never delegated back to the applicant</t>
  </si>
  <si>
    <t xml:space="preserve">What is asked</t>
  </si>
  <si>
    <t xml:space="preserve">Six structured items plus one open question, scored on a fixed scale.</t>
  </si>
  <si>
    <t xml:space="preserve">Comparability across referees.</t>
  </si>
  <si>
    <t xml:space="preserve">Partial responses are recorded as partial</t>
  </si>
  <si>
    <t xml:space="preserve">Anchor</t>
  </si>
  <si>
    <t xml:space="preserve">Each reference is tied to a named artefact or engagement.</t>
  </si>
  <si>
    <t xml:space="preserve">Stops the general glowing statement that says nothing.</t>
  </si>
  <si>
    <t xml:space="preserve">Unanchored references are recorded but not scored</t>
  </si>
  <si>
    <t xml:space="preserve">Same-organisation check</t>
  </si>
  <si>
    <t xml:space="preserve">A referee on the same email domain as the applicant is flagged for a call.</t>
  </si>
  <si>
    <t xml:space="preserve">The most common way a reference is manufactured.</t>
  </si>
  <si>
    <t xml:space="preserve">Verified by call before it is scored</t>
  </si>
  <si>
    <t xml:space="preserve">What is retained</t>
  </si>
  <si>
    <t xml:space="preserve">The structured scores, the verbatim answer and who verified it.</t>
  </si>
  <si>
    <t xml:space="preserve">The record must survive the officer who took it.</t>
  </si>
  <si>
    <t xml:space="preserve">What is disclosed</t>
  </si>
  <si>
    <t xml:space="preserve">Never the referee's verbatim words to the applicant. The outcome only.</t>
  </si>
  <si>
    <t xml:space="preserve">Candour depends on it.</t>
  </si>
  <si>
    <t xml:space="preserve">Fixed rule</t>
  </si>
  <si>
    <t xml:space="preserve">KAYAN  ·  KAY-TOS-001  ·  PODS</t>
  </si>
  <si>
    <t xml:space="preserve">Pod composition rules</t>
  </si>
  <si>
    <t xml:space="preserve">A pod is a temporary team of verified talent assembled for one engagement, and dissolved after it. Twelve rules. Hard rules cannot be waived. Targets can be missed only with a recorded reason.</t>
  </si>
  <si>
    <t xml:space="preserve">Type</t>
  </si>
  <si>
    <t xml:space="preserve">PD-01</t>
  </si>
  <si>
    <t xml:space="preserve">Size</t>
  </si>
  <si>
    <t xml:space="preserve">Minimum two, maximum seven</t>
  </si>
  <si>
    <t xml:space="preserve">Below two there is no peer accountability. Above seven coordination cost exceeds the gain.</t>
  </si>
  <si>
    <t xml:space="preserve">Hard</t>
  </si>
  <si>
    <t xml:space="preserve">PD-02</t>
  </si>
  <si>
    <t xml:space="preserve">Verification floor</t>
  </si>
  <si>
    <t xml:space="preserve">Every paid member at T1 or above</t>
  </si>
  <si>
    <t xml:space="preserve">An unverified person on a client project destroys the whole proposition.</t>
  </si>
  <si>
    <t xml:space="preserve">PD-03</t>
  </si>
  <si>
    <t xml:space="preserve">Lead requirement</t>
  </si>
  <si>
    <t xml:space="preserve">A pod lead at T3 or above on any engagement above [[PH-POD-LEAD-THRESHOLD]]</t>
  </si>
  <si>
    <t xml:space="preserve">PD-04</t>
  </si>
  <si>
    <t xml:space="preserve">Reviewer independence</t>
  </si>
  <si>
    <t xml:space="preserve">The quality reviewer is never a member of the pod being reviewed</t>
  </si>
  <si>
    <t xml:space="preserve">Self-review is not review.</t>
  </si>
  <si>
    <t xml:space="preserve">PD-05</t>
  </si>
  <si>
    <t xml:space="preserve">Conflict declaration</t>
  </si>
  <si>
    <t xml:space="preserve">Prior relationships between members and with the client declared at assembly</t>
  </si>
  <si>
    <t xml:space="preserve">PD-06</t>
  </si>
  <si>
    <t xml:space="preserve">Inclusion</t>
  </si>
  <si>
    <t xml:space="preserve">At least one woman on every pod. Where not achieved, the reason is recorded and reviewed monthly.</t>
  </si>
  <si>
    <t xml:space="preserve">Recorded, not waived quietly.</t>
  </si>
  <si>
    <t xml:space="preserve">Target with recorded exception</t>
  </si>
  <si>
    <t xml:space="preserve">PD-07</t>
  </si>
  <si>
    <t xml:space="preserve">Presence</t>
  </si>
  <si>
    <t xml:space="preserve">Where the engagement requires presence in Aden, at least one member based in Aden</t>
  </si>
  <si>
    <t xml:space="preserve">PD-08</t>
  </si>
  <si>
    <t xml:space="preserve">Development</t>
  </si>
  <si>
    <t xml:space="preserve">Where the pod exceeds four members, at least one at T1 in a supported role</t>
  </si>
  <si>
    <t xml:space="preserve">Every pod is also a training place.</t>
  </si>
  <si>
    <t xml:space="preserve">Target</t>
  </si>
  <si>
    <t xml:space="preserve">PD-09</t>
  </si>
  <si>
    <t xml:space="preserve">Cross-domain</t>
  </si>
  <si>
    <t xml:space="preserve">Encouraged wherever the brief spans disciplines</t>
  </si>
  <si>
    <t xml:space="preserve">Guidance</t>
  </si>
  <si>
    <t xml:space="preserve">PD-10</t>
  </si>
  <si>
    <t xml:space="preserve">Concurrency</t>
  </si>
  <si>
    <t xml:space="preserve">No member on more than [[PH-MAX-PODS]] live pods</t>
  </si>
  <si>
    <t xml:space="preserve">Capacity is a control, not a preference.</t>
  </si>
  <si>
    <t xml:space="preserve">PD-11</t>
  </si>
  <si>
    <t xml:space="preserve">Formation point</t>
  </si>
  <si>
    <t xml:space="preserve">Assembled only after scope is signed and funds are secured</t>
  </si>
  <si>
    <t xml:space="preserve">No scope and no funds means no work. Founding rule.</t>
  </si>
  <si>
    <t xml:space="preserve">PD-12</t>
  </si>
  <si>
    <t xml:space="preserve">Dissolution</t>
  </si>
  <si>
    <t xml:space="preserve">The pod ends at acceptance plus the holdback period</t>
  </si>
  <si>
    <t xml:space="preserve">Pod roles</t>
  </si>
  <si>
    <t xml:space="preserve">Six roles. The tier floor for each is a permission, not a preference: the platform must not allow an assignment that breaks it.</t>
  </si>
  <si>
    <t xml:space="preserve">Role</t>
  </si>
  <si>
    <t xml:space="preserve">Tier floor</t>
  </si>
  <si>
    <t xml:space="preserve">Accountable for</t>
  </si>
  <si>
    <t xml:space="preserve">Share basis</t>
  </si>
  <si>
    <t xml:space="preserve">Count per pod</t>
  </si>
  <si>
    <t xml:space="preserve">PR-01</t>
  </si>
  <si>
    <t xml:space="preserve">Pod Lead</t>
  </si>
  <si>
    <t xml:space="preserve">T3 or above</t>
  </si>
  <si>
    <t xml:space="preserve">Client interface, quality ownership, milestone integrity, dispute first response</t>
  </si>
  <si>
    <t xml:space="preserve">[[PH-SHARE-LEAD]] of the talent pool</t>
  </si>
  <si>
    <t xml:space="preserve">One per pod. Mandatory above [[PH-POD-LEAD-THRESHOLD]]</t>
  </si>
  <si>
    <t xml:space="preserve">PR-02</t>
  </si>
  <si>
    <t xml:space="preserve">Senior contributor</t>
  </si>
  <si>
    <t xml:space="preserve">Substantive deliverables in their specialisation. Reviews junior work.</t>
  </si>
  <si>
    <t xml:space="preserve">[[PH-SHARE-SENIOR]] each</t>
  </si>
  <si>
    <t xml:space="preserve">Zero or more</t>
  </si>
  <si>
    <t xml:space="preserve">PR-03</t>
  </si>
  <si>
    <t xml:space="preserve">Contributor</t>
  </si>
  <si>
    <t xml:space="preserve">Standard deliverables against the specification</t>
  </si>
  <si>
    <t xml:space="preserve">[[PH-SHARE-MID]] each</t>
  </si>
  <si>
    <t xml:space="preserve">PR-04</t>
  </si>
  <si>
    <t xml:space="preserve">Supported contributor</t>
  </si>
  <si>
    <t xml:space="preserve">Supporting work under named supervision</t>
  </si>
  <si>
    <t xml:space="preserve">[[PH-SHARE-JUNIOR]] each</t>
  </si>
  <si>
    <t xml:space="preserve">Zero or more. Supervisor named in the pod brief</t>
  </si>
  <si>
    <t xml:space="preserve">PR-05</t>
  </si>
  <si>
    <t xml:space="preserve">Quality reviewer</t>
  </si>
  <si>
    <t xml:space="preserve">T3 or above, not a pod member</t>
  </si>
  <si>
    <t xml:space="preserve">Runs the quality gate before client review</t>
  </si>
  <si>
    <t xml:space="preserve">[[PH-SHARE-QA]]</t>
  </si>
  <si>
    <t xml:space="preserve">External to the pod. Independence is structural</t>
  </si>
  <si>
    <t xml:space="preserve">PR-06</t>
  </si>
  <si>
    <t xml:space="preserve">Observer</t>
  </si>
  <si>
    <t xml:space="preserve">Learns by watching. No client visibility, no deliverable, no payment.</t>
  </si>
  <si>
    <t xml:space="preserve">Zero or more, with the pod lead's agreement</t>
  </si>
  <si>
    <t xml:space="preserve">Share basis is expressed against the pool that flows to talent, never against client value. The pool itself, and the fee that sits beside it, are finance placeholders resolved with the pricing rebuild.</t>
  </si>
  <si>
    <t xml:space="preserve">Pod assembly procedure</t>
  </si>
  <si>
    <t xml:space="preserve">Ten steps from a signed scope to a signed pod brief. Assembly begins only after scope is signed and funds are secured. That is a founding rule and it is not negotiable.</t>
  </si>
  <si>
    <t xml:space="preserve">Issue the pod specification from the signed scope: roles, specialisations, hours, dates and any presence requirement.</t>
  </si>
  <si>
    <t xml:space="preserve">Signed scope</t>
  </si>
  <si>
    <t xml:space="preserve">Pod specification</t>
  </si>
  <si>
    <t xml:space="preserve">No specification without a signed scope and secured funds</t>
  </si>
  <si>
    <t xml:space="preserve">Query the registry against the specification. The system returns candidates ranked with a written reason each.</t>
  </si>
  <si>
    <t xml:space="preserve">Ranked shortlist with reasons</t>
  </si>
  <si>
    <t xml:space="preserve">Reasons are shown, never a bare score</t>
  </si>
  <si>
    <t xml:space="preserve">Return two or three team configurations, not one. One optimised for speed, one for cost, one for certainty.</t>
  </si>
  <si>
    <t xml:space="preserve">Shortlist</t>
  </si>
  <si>
    <t xml:space="preserve">Configurations with a risk note each</t>
  </si>
  <si>
    <t xml:space="preserve">Never a single best option. This is a fixed rule.</t>
  </si>
  <si>
    <t xml:space="preserve">Screen for availability, concurrency and conflict. Anyone at their concurrency limit drops out here.</t>
  </si>
  <si>
    <t xml:space="preserve">Configurations</t>
  </si>
  <si>
    <t xml:space="preserve">Available candidates</t>
  </si>
  <si>
    <t xml:space="preserve">[[PH-MAX-PODS]] concurrency limit enforced by the system</t>
  </si>
  <si>
    <t xml:space="preserve">Nominate the pod lead at T3 or above where the engagement requires one.</t>
  </si>
  <si>
    <t xml:space="preserve">Pod lead nominated</t>
  </si>
  <si>
    <t xml:space="preserve">Mandatory above [[PH-POD-LEAD-THRESHOLD]]</t>
  </si>
  <si>
    <t xml:space="preserve">The pod lead reviews the shortlist and speaks to the candidates they do not know.</t>
  </si>
  <si>
    <t xml:space="preserve">Pod lead</t>
  </si>
  <si>
    <t xml:space="preserve">Selected members</t>
  </si>
  <si>
    <t xml:space="preserve">The lead chooses their own team. They carry the quality.</t>
  </si>
  <si>
    <t xml:space="preserve">Check the inclusion target and the presence requirement. Where the target is not met, record why.</t>
  </si>
  <si>
    <t xml:space="preserve">Composition confirmed or a reason recorded</t>
  </si>
  <si>
    <t xml:space="preserve">Alert AL-08 fires where neither is satisfied</t>
  </si>
  <si>
    <t xml:space="preserve">Appoint a quality reviewer from outside the pod at T3 or above.</t>
  </si>
  <si>
    <t xml:space="preserve">Reviewer appointed</t>
  </si>
  <si>
    <t xml:space="preserve">Never a member of the pod being reviewed</t>
  </si>
  <si>
    <t xml:space="preserve">Draft the pod brief: scope, roles, deliverables, dates, share basis and the named supervisor for any supported contributor.</t>
  </si>
  <si>
    <t xml:space="preserve">Pod lead with POS-MD-CO</t>
  </si>
  <si>
    <t xml:space="preserve">Pod brief</t>
  </si>
  <si>
    <t xml:space="preserve">Every supported contributor has a named supervisor</t>
  </si>
  <si>
    <t xml:space="preserve">Issue invitations. On acceptance by all, the brief is signed and the pod is formed.</t>
  </si>
  <si>
    <t xml:space="preserve">Pod formed</t>
  </si>
  <si>
    <t xml:space="preserve">Invitations expire at [[PH-INVITE-TTL]] and pass to the next candidate</t>
  </si>
  <si>
    <t xml:space="preserve">Pod scorecard</t>
  </si>
  <si>
    <t xml:space="preserve">What is measured about a pod, not only about its members. A pod that delivers while damaging its junior members has not succeeded.</t>
  </si>
  <si>
    <t xml:space="preserve">Measure</t>
  </si>
  <si>
    <t xml:space="preserve">Definition</t>
  </si>
  <si>
    <t xml:space="preserve">Source</t>
  </si>
  <si>
    <t xml:space="preserve">Feeds</t>
  </si>
  <si>
    <t xml:space="preserve">Threshold</t>
  </si>
  <si>
    <t xml:space="preserve">Acceptance at first review</t>
  </si>
  <si>
    <t xml:space="preserve">Milestones accepted without a change request, over all milestones</t>
  </si>
  <si>
    <t xml:space="preserve">Track record axis for every member</t>
  </si>
  <si>
    <t xml:space="preserve">[[PH-T-QA]]</t>
  </si>
  <si>
    <t xml:space="preserve">On-time rate</t>
  </si>
  <si>
    <t xml:space="preserve">Milestones accepted on or before the agreed date</t>
  </si>
  <si>
    <t xml:space="preserve">Track record and conduct axes</t>
  </si>
  <si>
    <t xml:space="preserve">[[PH-T-ONTIME]]</t>
  </si>
  <si>
    <t xml:space="preserve">Revision load</t>
  </si>
  <si>
    <t xml:space="preserve">Average revisions per accepted deliverable</t>
  </si>
  <si>
    <t xml:space="preserve">Skill axis for the contributor</t>
  </si>
  <si>
    <t xml:space="preserve">[[PH-T-REV]]</t>
  </si>
  <si>
    <t xml:space="preserve">Internal responsiveness</t>
  </si>
  <si>
    <t xml:space="preserve">Median time to respond within the pod</t>
  </si>
  <si>
    <t xml:space="preserve">Workspace activity</t>
  </si>
  <si>
    <t xml:space="preserve">Conduct axis</t>
  </si>
  <si>
    <t xml:space="preserve">[[PH-T-RESP]]</t>
  </si>
  <si>
    <t xml:space="preserve">Client rating</t>
  </si>
  <si>
    <t xml:space="preserve">Rating at acceptance</t>
  </si>
  <si>
    <t xml:space="preserve">Client</t>
  </si>
  <si>
    <t xml:space="preserve">Track record axis</t>
  </si>
  <si>
    <t xml:space="preserve">[[PH-T-CLIENT]]</t>
  </si>
  <si>
    <t xml:space="preserve">Whether the supported contributor received the supervision the brief promised</t>
  </si>
  <si>
    <t xml:space="preserve">Supported contributor, confirmed by the lead</t>
  </si>
  <si>
    <t xml:space="preserve">Pod lead conduct record</t>
  </si>
  <si>
    <t xml:space="preserve">Confirmed or not</t>
  </si>
  <si>
    <t xml:space="preserve">Whether the composition target was met, or a reason recorded</t>
  </si>
  <si>
    <t xml:space="preserve">Pod record</t>
  </si>
  <si>
    <t xml:space="preserve">Monthly inclusion review</t>
  </si>
  <si>
    <t xml:space="preserve">Met or reason recorded</t>
  </si>
  <si>
    <t xml:space="preserve">Dispute incidence</t>
  </si>
  <si>
    <t xml:space="preserve">Disputes raised within the pod or by the client</t>
  </si>
  <si>
    <t xml:space="preserve">Dispute register</t>
  </si>
  <si>
    <t xml:space="preserve">Conduct axis for those involved</t>
  </si>
  <si>
    <t xml:space="preserve">Zero expected</t>
  </si>
  <si>
    <t xml:space="preserve">Repeat formation</t>
  </si>
  <si>
    <t xml:space="preserve">Whether these members are reassembled by choice</t>
  </si>
  <si>
    <t xml:space="preserve">Pod register</t>
  </si>
  <si>
    <t xml:space="preserve">Team compatibility signal in matching</t>
  </si>
  <si>
    <t xml:space="preserve">Tracked, not targeted</t>
  </si>
  <si>
    <t xml:space="preserve">KAYAN  ·  KAY-TOS-001  ·  KAYAN FOR YEMEN</t>
  </si>
  <si>
    <t xml:space="preserve">The volunteer track</t>
  </si>
  <si>
    <t xml:space="preserve">Kayan for Yemen is the civic arm and it runs across all three lines. Volunteering is a civic act, not unpaid client work. Nothing a volunteer does is ever billed to a client.</t>
  </si>
  <si>
    <t xml:space="preserve">What happens</t>
  </si>
  <si>
    <t xml:space="preserve">Interest</t>
  </si>
  <si>
    <t xml:space="preserve">A registered person opens the volunteer track from their space, or applies directly.</t>
  </si>
  <si>
    <t xml:space="preserve">A Kayan account at T0 or above</t>
  </si>
  <si>
    <t xml:space="preserve">Open at any tier, including T0</t>
  </si>
  <si>
    <t xml:space="preserve">Match</t>
  </si>
  <si>
    <t xml:space="preserve">Interests and offer are mapped to live civic activity.</t>
  </si>
  <si>
    <t xml:space="preserve">At least one interest and one offer</t>
  </si>
  <si>
    <t xml:space="preserve">Never matched to client work. Not once.</t>
  </si>
  <si>
    <t xml:space="preserve">Safeguarding orientation is attended in full and attendance is recorded.</t>
  </si>
  <si>
    <t xml:space="preserve">Mandatory, no exception, before any activity</t>
  </si>
  <si>
    <t xml:space="preserve">volunteer_profile.psea</t>
  </si>
  <si>
    <t xml:space="preserve">No unsupervised contact of any kind before this is complete</t>
  </si>
  <si>
    <t xml:space="preserve">Agreement</t>
  </si>
  <si>
    <t xml:space="preserve">The volunteer agreement is signed. Image consent is offered separately and may be refused.</t>
  </si>
  <si>
    <t xml:space="preserve">Agreement mandatory, image consent optional</t>
  </si>
  <si>
    <t xml:space="preserve">Refusing image consent changes nothing else</t>
  </si>
  <si>
    <t xml:space="preserve">The volunteer card is issued.</t>
  </si>
  <si>
    <t xml:space="preserve">All of the above complete</t>
  </si>
  <si>
    <t xml:space="preserve">card KC-V</t>
  </si>
  <si>
    <t xml:space="preserve">Card is the access credential and the hour log</t>
  </si>
  <si>
    <t xml:space="preserve">Shifts</t>
  </si>
  <si>
    <t xml:space="preserve">Shifts are offered, confirmed and worked. Hours are scanned in and out at the Hub, or confirmed by the coordinator in the field.</t>
  </si>
  <si>
    <t xml:space="preserve">Confirmed shift</t>
  </si>
  <si>
    <t xml:space="preserve">POS-HUB-EXP and POS-K4Y-CO</t>
  </si>
  <si>
    <t xml:space="preserve">Hours are evidenced, never claimed</t>
  </si>
  <si>
    <t xml:space="preserve">Points</t>
  </si>
  <si>
    <t xml:space="preserve">Validated hours and activities award points.</t>
  </si>
  <si>
    <t xml:space="preserve">Validation by the coordinator</t>
  </si>
  <si>
    <t xml:space="preserve">points_ledger</t>
  </si>
  <si>
    <t xml:space="preserve">Points follow validation, never self-report</t>
  </si>
  <si>
    <t xml:space="preserve">Recognition</t>
  </si>
  <si>
    <t xml:space="preserve">A digital record of contribution is issued and may be shown anywhere.</t>
  </si>
  <si>
    <t xml:space="preserve">Commitment complete</t>
  </si>
  <si>
    <t xml:space="preserve">card and record</t>
  </si>
  <si>
    <t xml:space="preserve">Portable. It belongs to the volunteer.</t>
  </si>
  <si>
    <t xml:space="preserve">At the hour threshold, talent fast-track is offered.</t>
  </si>
  <si>
    <t xml:space="preserve">[[PH-VOL-FASTTRACK]] validated hours</t>
  </si>
  <si>
    <t xml:space="preserve">System, confirmed by POS-K4Y-CO</t>
  </si>
  <si>
    <t xml:space="preserve">An offer, never automatic. Some people choose to stay volunteers and that is respected.</t>
  </si>
  <si>
    <t xml:space="preserve">Renewal</t>
  </si>
  <si>
    <t xml:space="preserve">The card renews on continued service and a refresher.</t>
  </si>
  <si>
    <t xml:space="preserve">Active service plus the safeguarding refresher</t>
  </si>
  <si>
    <t xml:space="preserve">Lapse is reversible without prejudice</t>
  </si>
  <si>
    <t xml:space="preserve">Points engine</t>
  </si>
  <si>
    <t xml:space="preserve">How contribution is recognised. Every award requires validation by a named position. Nothing is self-reported, because a points system that can be gamed is worth nothing to anybody.</t>
  </si>
  <si>
    <t xml:space="preserve">Earning event</t>
  </si>
  <si>
    <t xml:space="preserve">Award</t>
  </si>
  <si>
    <t xml:space="preserve">Evidence required</t>
  </si>
  <si>
    <t xml:space="preserve">Validated by</t>
  </si>
  <si>
    <t xml:space="preserve">Frequency</t>
  </si>
  <si>
    <t xml:space="preserve">PT-01</t>
  </si>
  <si>
    <t xml:space="preserve">Volunteer hour validated</t>
  </si>
  <si>
    <t xml:space="preserve">[[PH-PT-HOUR]] per hour</t>
  </si>
  <si>
    <t xml:space="preserve">Scan in and scan out, or coordinator confirmation</t>
  </si>
  <si>
    <t xml:space="preserve">Monthly</t>
  </si>
  <si>
    <t xml:space="preserve">PT-02</t>
  </si>
  <si>
    <t xml:space="preserve">Safeguarding orientation completed</t>
  </si>
  <si>
    <t xml:space="preserve">[[PH-PT-PSEA]]</t>
  </si>
  <si>
    <t xml:space="preserve">Attendance recorded</t>
  </si>
  <si>
    <t xml:space="preserve">Once, then per refresher</t>
  </si>
  <si>
    <t xml:space="preserve">PT-03</t>
  </si>
  <si>
    <t xml:space="preserve">Community session delivered</t>
  </si>
  <si>
    <t xml:space="preserve">[[PH-PT-SESSION]]</t>
  </si>
  <si>
    <t xml:space="preserve">Session record and attendance</t>
  </si>
  <si>
    <t xml:space="preserve">Per session</t>
  </si>
  <si>
    <t xml:space="preserve">PT-04</t>
  </si>
  <si>
    <t xml:space="preserve">Mentoring a T0 or T1 talent</t>
  </si>
  <si>
    <t xml:space="preserve">[[PH-PT-MENTOR]]</t>
  </si>
  <si>
    <t xml:space="preserve">Mentee confirmation and a written note</t>
  </si>
  <si>
    <t xml:space="preserve">Per cycle</t>
  </si>
  <si>
    <t xml:space="preserve">PT-05</t>
  </si>
  <si>
    <t xml:space="preserve">Referral reaching T1</t>
  </si>
  <si>
    <t xml:space="preserve">[[PH-PT-REFERRAL]]</t>
  </si>
  <si>
    <t xml:space="preserve">Referral code resolves and the tier is awarded</t>
  </si>
  <si>
    <t xml:space="preserve">Per referral</t>
  </si>
  <si>
    <t xml:space="preserve">PT-06</t>
  </si>
  <si>
    <t xml:space="preserve">Civic project delivered</t>
  </si>
  <si>
    <t xml:space="preserve">[[PH-PT-CIVIC]]</t>
  </si>
  <si>
    <t xml:space="preserve">Project acceptance under the civic arm</t>
  </si>
  <si>
    <t xml:space="preserve">Per project</t>
  </si>
  <si>
    <t xml:space="preserve">PT-07</t>
  </si>
  <si>
    <t xml:space="preserve">Assessment item authored</t>
  </si>
  <si>
    <t xml:space="preserve">[[PH-PT-ITEM]]</t>
  </si>
  <si>
    <t xml:space="preserve">Item accepted into the assessment bank</t>
  </si>
  <si>
    <t xml:space="preserve">Per item</t>
  </si>
  <si>
    <t xml:space="preserve">PT-08</t>
  </si>
  <si>
    <t xml:space="preserve">Forge teaching hour</t>
  </si>
  <si>
    <t xml:space="preserve">[[PH-PT-TEACH]]</t>
  </si>
  <si>
    <t xml:space="preserve">Cohort record</t>
  </si>
  <si>
    <t xml:space="preserve">Per hour</t>
  </si>
  <si>
    <t xml:space="preserve">Redemption</t>
  </si>
  <si>
    <t xml:space="preserve">Cost</t>
  </si>
  <si>
    <t xml:space="preserve">Eligibility</t>
  </si>
  <si>
    <t xml:space="preserve">How it is applied</t>
  </si>
  <si>
    <t xml:space="preserve">RD-01</t>
  </si>
  <si>
    <t xml:space="preserve">Hub day access</t>
  </si>
  <si>
    <t xml:space="preserve">[[PH-RD-HUBDAY]]</t>
  </si>
  <si>
    <t xml:space="preserve">Any holder</t>
  </si>
  <si>
    <t xml:space="preserve">Scanned at reception</t>
  </si>
  <si>
    <t xml:space="preserve">RD-02</t>
  </si>
  <si>
    <t xml:space="preserve">Meeting room hour</t>
  </si>
  <si>
    <t xml:space="preserve">[[PH-RD-ROOM]]</t>
  </si>
  <si>
    <t xml:space="preserve">T1 and above</t>
  </si>
  <si>
    <t xml:space="preserve">Booked in the portal</t>
  </si>
  <si>
    <t xml:space="preserve">RD-03</t>
  </si>
  <si>
    <t xml:space="preserve">Forge cohort contribution</t>
  </si>
  <si>
    <t xml:space="preserve">[[PH-RD-FORGE]]</t>
  </si>
  <si>
    <t xml:space="preserve">Applied at enrolment</t>
  </si>
  <si>
    <t xml:space="preserve">RD-04</t>
  </si>
  <si>
    <t xml:space="preserve">Priority assessment slot</t>
  </si>
  <si>
    <t xml:space="preserve">[[PH-RD-SLOT]]</t>
  </si>
  <si>
    <t xml:space="preserve">T0 and T1</t>
  </si>
  <si>
    <t xml:space="preserve">Applied at booking</t>
  </si>
  <si>
    <t xml:space="preserve">RD-05</t>
  </si>
  <si>
    <t xml:space="preserve">Physical card replacement</t>
  </si>
  <si>
    <t xml:space="preserve">[[PH-RD-CARD]]</t>
  </si>
  <si>
    <t xml:space="preserve">Applied at request</t>
  </si>
  <si>
    <t xml:space="preserve">RD-06</t>
  </si>
  <si>
    <t xml:space="preserve">Event place</t>
  </si>
  <si>
    <t xml:space="preserve">[[PH-RD-EVENT]]</t>
  </si>
  <si>
    <t xml:space="preserve">Applied at registration</t>
  </si>
  <si>
    <t xml:space="preserve">RD-07</t>
  </si>
  <si>
    <t xml:space="preserve">Civic contribution in another person's name</t>
  </si>
  <si>
    <t xml:space="preserve">[[PH-RD-GIFT]]</t>
  </si>
  <si>
    <t xml:space="preserve">Recorded in the civic ledger</t>
  </si>
  <si>
    <t xml:space="preserve">Governing rule</t>
  </si>
  <si>
    <t xml:space="preserve">Points are never money</t>
  </si>
  <si>
    <t xml:space="preserve">They cannot be exchanged for cash, transferred between people, or set against an invoice.</t>
  </si>
  <si>
    <t xml:space="preserve">Points never buy a tier</t>
  </si>
  <si>
    <t xml:space="preserve">No quantity of points moves a person up the Trust Ladder. Evidence does that and nothing else does.</t>
  </si>
  <si>
    <t xml:space="preserve">Points never buy work</t>
  </si>
  <si>
    <t xml:space="preserve">They cannot influence a shortlist, a pod invitation or a matching rank. The matching engine cannot see them.</t>
  </si>
  <si>
    <t xml:space="preserve">Awards follow validation</t>
  </si>
  <si>
    <t xml:space="preserve">A point is awarded when a named position validates the underlying event, never when a person claims it.</t>
  </si>
  <si>
    <t xml:space="preserve">Redemption carries a real cost</t>
  </si>
  <si>
    <t xml:space="preserve">Every redemption consumes something Kayan pays for, so the cost is a finance decision as much as a civic one.</t>
  </si>
  <si>
    <t xml:space="preserve">The ledger is append only</t>
  </si>
  <si>
    <t xml:space="preserve">Corrections are new entries with a reason. Balances are never edited.</t>
  </si>
  <si>
    <t xml:space="preserve">Expiry is published in advance</t>
  </si>
  <si>
    <t xml:space="preserve">Any expiry rule is set once and published before it applies, never applied retrospectively.</t>
  </si>
  <si>
    <t xml:space="preserve">KAYAN  ·  KAY-TOS-001  ·  CREDENTIAL</t>
  </si>
  <si>
    <t xml:space="preserve">Card types</t>
  </si>
  <si>
    <t xml:space="preserve">Four credentials. Each is an institutional credential and none is a payment instrument, transferable, or negotiable.</t>
  </si>
  <si>
    <t xml:space="preserve">Issued to</t>
  </si>
  <si>
    <t xml:space="preserve">Carries</t>
  </si>
  <si>
    <t xml:space="preserve">Revoked on</t>
  </si>
  <si>
    <t xml:space="preserve">KC-T</t>
  </si>
  <si>
    <t xml:space="preserve">Talent card</t>
  </si>
  <si>
    <t xml:space="preserve">[[PH-CARD-VALID-T]]</t>
  </si>
  <si>
    <t xml:space="preserve">Tier band colour, name, photograph, card number, verification code</t>
  </si>
  <si>
    <t xml:space="preserve">Tier change, revocation, expiry</t>
  </si>
  <si>
    <t xml:space="preserve">KC-V</t>
  </si>
  <si>
    <t xml:space="preserve">Volunteer card</t>
  </si>
  <si>
    <t xml:space="preserve">Registered volunteer with safeguarding orientation complete</t>
  </si>
  <si>
    <t xml:space="preserve">[[PH-CARD-VALID-V]]</t>
  </si>
  <si>
    <t xml:space="preserve">Volunteer band, name, photograph, hours to date</t>
  </si>
  <si>
    <t xml:space="preserve">Lapse, safeguarding concern, conversion</t>
  </si>
  <si>
    <t xml:space="preserve">KC-H</t>
  </si>
  <si>
    <t xml:space="preserve">Hub member card</t>
  </si>
  <si>
    <t xml:space="preserve">Active Hub membership</t>
  </si>
  <si>
    <t xml:space="preserve">Membership term</t>
  </si>
  <si>
    <t xml:space="preserve">Membership band, access rights</t>
  </si>
  <si>
    <t xml:space="preserve">Membership end</t>
  </si>
  <si>
    <t xml:space="preserve">KC-F</t>
  </si>
  <si>
    <t xml:space="preserve">Forge graduate card</t>
  </si>
  <si>
    <t xml:space="preserve">Cohort completed with capstone accepted</t>
  </si>
  <si>
    <t xml:space="preserve">[[PH-CARD-VALID-F]]</t>
  </si>
  <si>
    <t xml:space="preserve">Cohort, specialisation, capstone reference</t>
  </si>
  <si>
    <t xml:space="preserve">None. It records a fact.</t>
  </si>
  <si>
    <t xml:space="preserve">Card state machine</t>
  </si>
  <si>
    <t xml:space="preserve">Twelve states. Every transition writes an audit event with an actor and a reason. No state ever changes silently, which is what lets Kayan answer years later what a card's status was on a given date.</t>
  </si>
  <si>
    <t xml:space="preserve">State</t>
  </si>
  <si>
    <t xml:space="preserve">Meaning</t>
  </si>
  <si>
    <t xml:space="preserve">Permitted transitions</t>
  </si>
  <si>
    <t xml:space="preserve">Actor</t>
  </si>
  <si>
    <t xml:space="preserve">Reversible</t>
  </si>
  <si>
    <t xml:space="preserve">REQUESTED</t>
  </si>
  <si>
    <t xml:space="preserve">Application submitted, awaiting review</t>
  </si>
  <si>
    <t xml:space="preserve">PENDING_REVIEW, WITHDRAWN</t>
  </si>
  <si>
    <t xml:space="preserve">PENDING_REVIEW</t>
  </si>
  <si>
    <t xml:space="preserve">Under review by the verification team</t>
  </si>
  <si>
    <t xml:space="preserve">APPROVED, REJECTED, REQUESTED</t>
  </si>
  <si>
    <t xml:space="preserve">APPROVED</t>
  </si>
  <si>
    <t xml:space="preserve">Passed. Awaiting issuance.</t>
  </si>
  <si>
    <t xml:space="preserve">ISSUED_DIGITAL</t>
  </si>
  <si>
    <t xml:space="preserve">Digital credential live</t>
  </si>
  <si>
    <t xml:space="preserve">ISSUED_PHYSICAL, SUSPENDED, EXPIRED, REVOKED</t>
  </si>
  <si>
    <t xml:space="preserve">ISSUED_PHYSICAL</t>
  </si>
  <si>
    <t xml:space="preserve">Physical card produced and activated</t>
  </si>
  <si>
    <t xml:space="preserve">UPGRADED, DOWNGRADED, SUSPENDED, EXPIRED, REVOKED, SURRENDERED</t>
  </si>
  <si>
    <t xml:space="preserve">Holder</t>
  </si>
  <si>
    <t xml:space="preserve">UPGRADED</t>
  </si>
  <si>
    <t xml:space="preserve">Transitional on tier promotion</t>
  </si>
  <si>
    <t xml:space="preserve">ISSUED_PHYSICAL at the new tier</t>
  </si>
  <si>
    <t xml:space="preserve">Nightly job or panel</t>
  </si>
  <si>
    <t xml:space="preserve">Reversible by demotion</t>
  </si>
  <si>
    <t xml:space="preserve">DOWNGRADED</t>
  </si>
  <si>
    <t xml:space="preserve">Transitional on tier reduction</t>
  </si>
  <si>
    <t xml:space="preserve">ISSUED_PHYSICAL at the lower tier</t>
  </si>
  <si>
    <t xml:space="preserve">Reversible by promotion</t>
  </si>
  <si>
    <t xml:space="preserve">SUSPENDED</t>
  </si>
  <si>
    <t xml:space="preserve">Temporary hold during investigation</t>
  </si>
  <si>
    <t xml:space="preserve">ISSUED_PHYSICAL, REVOKED</t>
  </si>
  <si>
    <t xml:space="preserve">EXPIRED</t>
  </si>
  <si>
    <t xml:space="preserve">Validity reached, renewal open</t>
  </si>
  <si>
    <t xml:space="preserve">Yes on renewal</t>
  </si>
  <si>
    <t xml:space="preserve">REVOKED</t>
  </si>
  <si>
    <t xml:space="preserve">Terminal. Permanently invalid.</t>
  </si>
  <si>
    <t xml:space="preserve">SURRENDERED</t>
  </si>
  <si>
    <t xml:space="preserve">Terminal. Returned voluntarily.</t>
  </si>
  <si>
    <t xml:space="preserve">WITHDRAWN</t>
  </si>
  <si>
    <t xml:space="preserve">Terminal. Application withdrawn before issuance.</t>
  </si>
  <si>
    <t xml:space="preserve">Issuance, verification and loss</t>
  </si>
  <si>
    <t xml:space="preserve">How a card is produced, how anyone checks it is real, and what happens when one goes missing.</t>
  </si>
  <si>
    <t xml:space="preserve">Digital first</t>
  </si>
  <si>
    <t xml:space="preserve">The digital credential is live the moment the tier is awarded. The physical card follows.</t>
  </si>
  <si>
    <t xml:space="preserve">Nobody waits on a printer to start working.</t>
  </si>
  <si>
    <t xml:space="preserve">Always</t>
  </si>
  <si>
    <t xml:space="preserve">Physical production</t>
  </si>
  <si>
    <t xml:space="preserve">Batched. Collection at the Hub by default, delivery where a route exists.</t>
  </si>
  <si>
    <t xml:space="preserve">Batching is what makes unit cost survivable.</t>
  </si>
  <si>
    <t xml:space="preserve">[[PH-CARD-BATCH]]</t>
  </si>
  <si>
    <t xml:space="preserve">What the card shows</t>
  </si>
  <si>
    <t xml:space="preserve">Name, photograph, tier band, card number, validity, verification code.</t>
  </si>
  <si>
    <t xml:space="preserve">Enough to be checked. Nothing that is nobody's business.</t>
  </si>
  <si>
    <t xml:space="preserve">Fixed</t>
  </si>
  <si>
    <t xml:space="preserve">Verification page</t>
  </si>
  <si>
    <t xml:space="preserve">A signed link. Shows name, photograph, type, tier and validity. Nothing else.</t>
  </si>
  <si>
    <t xml:space="preserve">The verifier compares the page to the person standing in front of them.</t>
  </si>
  <si>
    <t xml:space="preserve">Signed, rate limited, every check logged</t>
  </si>
  <si>
    <t xml:space="preserve">What it never shows</t>
  </si>
  <si>
    <t xml:space="preserve">Document number, address, contact details, earnings, or project detail.</t>
  </si>
  <si>
    <t xml:space="preserve">A public credential is not a public file.</t>
  </si>
  <si>
    <t xml:space="preserve">Absolute</t>
  </si>
  <si>
    <t xml:space="preserve">Photocopy resistance</t>
  </si>
  <si>
    <t xml:space="preserve">A copied card scans, but the page shows the real holder's photograph.</t>
  </si>
  <si>
    <t xml:space="preserve">The check is against the person, not against the plastic.</t>
  </si>
  <si>
    <t xml:space="preserve">Verifiers are told to look at both</t>
  </si>
  <si>
    <t xml:space="preserve">High-assurance contexts</t>
  </si>
  <si>
    <t xml:space="preserve">A rotating code alongside the static link where the stakes justify it.</t>
  </si>
  <si>
    <t xml:space="preserve">After-hours access and anything financial.</t>
  </si>
  <si>
    <t xml:space="preserve">[[PH-OTP-ROTATE]]</t>
  </si>
  <si>
    <t xml:space="preserve">Offline verification</t>
  </si>
  <si>
    <t xml:space="preserve">Staff devices hold a short cache. Beyond it, visual verification, logged and uploaded when connectivity returns.</t>
  </si>
  <si>
    <t xml:space="preserve">Connectivity in Aden is not a given and the system must still work.</t>
  </si>
  <si>
    <t xml:space="preserve">Every fallback check is logged</t>
  </si>
  <si>
    <t xml:space="preserve">Loss</t>
  </si>
  <si>
    <t xml:space="preserve">Reported on any channel. Suspended immediately, before anything else. Replacement at [[PH-CARD-REPLACE]].</t>
  </si>
  <si>
    <t xml:space="preserve">Speed matters more than process on a lost credential.</t>
  </si>
  <si>
    <t xml:space="preserve">Suspend first, ask questions second</t>
  </si>
  <si>
    <t xml:space="preserve">Damage</t>
  </si>
  <si>
    <t xml:space="preserve">Surrendered and replaced at no charge where the damage is plainly accidental.</t>
  </si>
  <si>
    <t xml:space="preserve">Not worth the argument.</t>
  </si>
  <si>
    <t xml:space="preserve">Judgement, recorded</t>
  </si>
  <si>
    <t xml:space="preserve">Name change</t>
  </si>
  <si>
    <t xml:space="preserve">Reissued at no charge on documentary evidence.</t>
  </si>
  <si>
    <t xml:space="preserve">Revocation</t>
  </si>
  <si>
    <t xml:space="preserve">Communicated in writing within [[PH-REVOKE-NOTICE]], with the reason and the appeal route.</t>
  </si>
  <si>
    <t xml:space="preserve">A revocation with no written record is a procedural failure even when it is substantively right.</t>
  </si>
  <si>
    <t xml:space="preserve">KAYAN  ·  KAY-TOS-001  ·  BUILD</t>
  </si>
  <si>
    <t xml:space="preserve">Technology stack</t>
  </si>
  <si>
    <t xml:space="preserve">The stack this system is built on. Locked items are decided and are not reopened without an architecture decision record.</t>
  </si>
  <si>
    <t xml:space="preserve">Layer</t>
  </si>
  <si>
    <t xml:space="preserve">Role in this system</t>
  </si>
  <si>
    <t xml:space="preserve">Frontend</t>
  </si>
  <si>
    <t xml:space="preserve">Next.js App Router</t>
  </si>
  <si>
    <t xml:space="preserve">All portal surfaces. Server rendering for the public pages, client rendering inside the talent space.</t>
  </si>
  <si>
    <t xml:space="preserve">Locked</t>
  </si>
  <si>
    <t xml:space="preserve">Backend</t>
  </si>
  <si>
    <t xml:space="preserve">NestJS</t>
  </si>
  <si>
    <t xml:space="preserve">All business logic, the workflow engine and the queue workers.</t>
  </si>
  <si>
    <t xml:space="preserve">Database</t>
  </si>
  <si>
    <t xml:space="preserve">PostgreSQL with a vector extension</t>
  </si>
  <si>
    <t xml:space="preserve">Primary store. Vector similarity for specialisation matching.</t>
  </si>
  <si>
    <t xml:space="preserve">Data access</t>
  </si>
  <si>
    <t xml:space="preserve">Prisma</t>
  </si>
  <si>
    <t xml:space="preserve">Migrations and type-safe access.</t>
  </si>
  <si>
    <t xml:space="preserve">Cache and queues</t>
  </si>
  <si>
    <t xml:space="preserve">Redis with a job queue</t>
  </si>
  <si>
    <t xml:space="preserve">Sessions, rate limits and every asynchronous job in this system.</t>
  </si>
  <si>
    <t xml:space="preserve">Realtime</t>
  </si>
  <si>
    <t xml:space="preserve">Web socket layer</t>
  </si>
  <si>
    <t xml:space="preserve">Status tracker, pod invitations, gate transitions.</t>
  </si>
  <si>
    <t xml:space="preserve">Object storage</t>
  </si>
  <si>
    <t xml:space="preserve">Two-bucket split</t>
  </si>
  <si>
    <t xml:space="preserve">Non-sensitive assets in the general bucket. Identity documents and biometrics in an encrypted restricted bucket with a separate key.</t>
  </si>
  <si>
    <t xml:space="preserve">Authentication</t>
  </si>
  <si>
    <t xml:space="preserve">Passwordless link with one-time code fallback</t>
  </si>
  <si>
    <t xml:space="preserve">Multi-factor mandatory for every staff position code.</t>
  </si>
  <si>
    <t xml:space="preserve">Identity verification</t>
  </si>
  <si>
    <t xml:space="preserve">Third-party verification provider</t>
  </si>
  <si>
    <t xml:space="preserve">Document authentication, face match and liveness. A machine may pass, only a person may fail.</t>
  </si>
  <si>
    <t xml:space="preserve">Sanctions and politically exposed person screening provider</t>
  </si>
  <si>
    <t xml:space="preserve">Run at registration and re-run on a schedule.</t>
  </si>
  <si>
    <t xml:space="preserve">Embeddings</t>
  </si>
  <si>
    <t xml:space="preserve">Multilingual embedding model</t>
  </si>
  <si>
    <t xml:space="preserve">Semantic matching across Arabic and English profile and brief text.</t>
  </si>
  <si>
    <t xml:space="preserve">Language model</t>
  </si>
  <si>
    <t xml:space="preserve">Assistant model via API</t>
  </si>
  <si>
    <t xml:space="preserve">Brief structuring, shortlist reasoning text, dispute summarisation. Never a scoring decision.</t>
  </si>
  <si>
    <t xml:space="preserve">Speech to text</t>
  </si>
  <si>
    <t xml:space="preserve">Arabic-dialect capable transcription</t>
  </si>
  <si>
    <t xml:space="preserve">Voice capture of briefs and interview notes.</t>
  </si>
  <si>
    <t xml:space="preserve">Provisional</t>
  </si>
  <si>
    <t xml:space="preserve">Messaging</t>
  </si>
  <si>
    <t xml:space="preserve">Business messaging API</t>
  </si>
  <si>
    <t xml:space="preserve">Deep links, template messages and the support thread.</t>
  </si>
  <si>
    <t xml:space="preserve">Hosting and edge</t>
  </si>
  <si>
    <t xml:space="preserve">Container host with an edge and firewall layer</t>
  </si>
  <si>
    <t xml:space="preserve">Single region primary with edge caching and rate limiting.</t>
  </si>
  <si>
    <t xml:space="preserve">Observability</t>
  </si>
  <si>
    <t xml:space="preserve">Uptime, metrics and log aggregation</t>
  </si>
  <si>
    <t xml:space="preserve">Every queue and every SLA instrumented.</t>
  </si>
  <si>
    <t xml:space="preserve">Data model</t>
  </si>
  <si>
    <t xml:space="preserve">Thirty-six entities. Three are append only and can never be edited: the performance ledger, the points ledger and the audit event table. Corrections are new rows, never amendments.</t>
  </si>
  <si>
    <t xml:space="preserve">Entity</t>
  </si>
  <si>
    <t xml:space="preserve">What it holds</t>
  </si>
  <si>
    <t xml:space="preserve">Fields</t>
  </si>
  <si>
    <t xml:space="preserve">Relationships</t>
  </si>
  <si>
    <t xml:space="preserve">The login identity. One per person, keyed on the mobile number.</t>
  </si>
  <si>
    <t xml:space="preserve">id, display_name, msisdn, email, preferred_channel, locale, source, referrer_code, password_hash, created_at, last_seen_at</t>
  </si>
  <si>
    <t xml:space="preserve">talent_profile 1:1</t>
  </si>
  <si>
    <t xml:space="preserve">Retained while active</t>
  </si>
  <si>
    <t xml:space="preserve">Proof that a channel is controlled.</t>
  </si>
  <si>
    <t xml:space="preserve">id, account_id, channel_type, value, verified_at, delivery_attempts</t>
  </si>
  <si>
    <t xml:space="preserve">account n:1</t>
  </si>
  <si>
    <t xml:space="preserve">Card by card acknowledgement of the model.</t>
  </si>
  <si>
    <t xml:space="preserve">id, account_id, card_code, acknowledged_at, dwell_ms, check_score</t>
  </si>
  <si>
    <t xml:space="preserve">The person. Everything else attaches here.</t>
  </si>
  <si>
    <t xml:space="preserve">id, account_id, legal_name, dob, gender, nationality, country, region, city, diaspora_flag, timezone, education_level, education_field, employment_status, photo_ref, summary, forge_cohort_id, tier, tier_awarded_at, status</t>
  </si>
  <si>
    <t xml:space="preserve">account 1:1</t>
  </si>
  <si>
    <t xml:space="preserve">Declared language and level.</t>
  </si>
  <si>
    <t xml:space="preserve">id, talent_id, language, level</t>
  </si>
  <si>
    <t xml:space="preserve">talent_profile n:1</t>
  </si>
  <si>
    <t xml:space="preserve">With profile</t>
  </si>
  <si>
    <t xml:space="preserve">Declared capability mapped to the taxonomy.</t>
  </si>
  <si>
    <t xml:space="preserve">id, talent_id, primary_domain, primary_spec, secondary_specs, self_level, tools, years, sectors, lead_intent</t>
  </si>
  <si>
    <t xml:space="preserve">A single piece of submitted evidence.</t>
  </si>
  <si>
    <t xml:space="preserve">id, talent_id, title, role, completed_on, visibility, file_ref, url, hash</t>
  </si>
  <si>
    <t xml:space="preserve">A claimed certification.</t>
  </si>
  <si>
    <t xml:space="preserve">id, talent_id, name, issuer, year, evidence_ref, verified_by, verified_at</t>
  </si>
  <si>
    <t xml:space="preserve">Declared and observed capacity.</t>
  </si>
  <si>
    <t xml:space="preserve">id, talent_id, weekly_hours, days, window_start, window_end, availability_from, other_commitments, hub_access, setup, accommodations, declared_at</t>
  </si>
  <si>
    <t xml:space="preserve">Latest plus history</t>
  </si>
  <si>
    <t xml:space="preserve">Where money goes. Encrypted at rest.</t>
  </si>
  <si>
    <t xml:space="preserve">id, talent_id, method, holder_name, institution, account_ref_encrypted, tax_ref, confirmed_at, status</t>
  </si>
  <si>
    <t xml:space="preserve">Retained per financial record rule</t>
  </si>
  <si>
    <t xml:space="preserve">One identity verification episode.</t>
  </si>
  <si>
    <t xml:space="preserve">id, talent_id, doc_type, doc_refs, doc_number_encrypted, doc_expiry, selfie_ref, liveness_ref, face_score, screening_result, attestation, state, opened_by, closed_by, opened_at, closed_at</t>
  </si>
  <si>
    <t xml:space="preserve">Images purged after [[PH-DOC-RETENTION]]. Outcome retained.</t>
  </si>
  <si>
    <t xml:space="preserve">One consent, one row. Never bundled.</t>
  </si>
  <si>
    <t xml:space="preserve">id, talent_id, consent_code, document_version, granted, granted_at, withdrawn_at, ip, user_agent</t>
  </si>
  <si>
    <t xml:space="preserve">Retained per legal rule</t>
  </si>
  <si>
    <t xml:space="preserve">assessment_task</t>
  </si>
  <si>
    <t xml:space="preserve">A task in the bank.</t>
  </si>
  <si>
    <t xml:space="preserve">id, spec_code, title, brief_ref, time_allowed, active, authored_by</t>
  </si>
  <si>
    <t xml:space="preserve">taxonomy n:1</t>
  </si>
  <si>
    <t xml:space="preserve">One attempt at one task.</t>
  </si>
  <si>
    <t xml:space="preserve">id, talent_id, task_id, briefed_at, started_at, submitted_at, submission_ref, approach_note, assistance, score, scorer_id, moderated_by, feedback, state</t>
  </si>
  <si>
    <t xml:space="preserve">assessment_score_line</t>
  </si>
  <si>
    <t xml:space="preserve">Rubric line score within an attempt.</t>
  </si>
  <si>
    <t xml:space="preserve">id, attempt_id, rubric_code, level, weight, comment</t>
  </si>
  <si>
    <t xml:space="preserve">assessment_attempt n:1</t>
  </si>
  <si>
    <t xml:space="preserve">A scheduled verification interview.</t>
  </si>
  <si>
    <t xml:space="preserve">id, talent_id, slot_start, channel, language, state, rescheduled_count</t>
  </si>
  <si>
    <t xml:space="preserve">Scored interview outcome.</t>
  </si>
  <si>
    <t xml:space="preserve">id, booking_id, scorer_id, rubric_code, level, notes</t>
  </si>
  <si>
    <t xml:space="preserve">interview_booking n:1</t>
  </si>
  <si>
    <t xml:space="preserve">A reference Kayan asked for.</t>
  </si>
  <si>
    <t xml:space="preserve">id, talent_id, referee_name, organisation, role, relationship, email, phone, artefact_link, consent_at, state, chase_count</t>
  </si>
  <si>
    <t xml:space="preserve">What the referee said.</t>
  </si>
  <si>
    <t xml:space="preserve">id, request_id, received_at, ratings, verbatim, verified_by</t>
  </si>
  <si>
    <t xml:space="preserve">reference_request 1:1</t>
  </si>
  <si>
    <t xml:space="preserve">A tier decision, up or down.</t>
  </si>
  <si>
    <t xml:space="preserve">id, talent_id, from_tier, to_tier, trigger, axis_snapshot, decided_by, countersigned_by, decided_at, reason, appeal_state</t>
  </si>
  <si>
    <t xml:space="preserve">axis_score</t>
  </si>
  <si>
    <t xml:space="preserve">Current level on one axis.</t>
  </si>
  <si>
    <t xml:space="preserve">id, talent_id, axis_code, level, evidence_refs, computed_at</t>
  </si>
  <si>
    <t xml:space="preserve">sanction</t>
  </si>
  <si>
    <t xml:space="preserve">An applied sanction.</t>
  </si>
  <si>
    <t xml:space="preserve">id, talent_id, sanction_code, opened_at, closed_at, decided_by, evidence_refs, appeal_state, outcome</t>
  </si>
  <si>
    <t xml:space="preserve">pod</t>
  </si>
  <si>
    <t xml:space="preserve">A delivery team, temporary by design.</t>
  </si>
  <si>
    <t xml:space="preserve">id, engagement_id, state, formed_at, dissolved_at, lead_talent_id, reviewer_talent_id</t>
  </si>
  <si>
    <t xml:space="preserve">engagement n:1</t>
  </si>
  <si>
    <t xml:space="preserve">One person in one pod.</t>
  </si>
  <si>
    <t xml:space="preserve">id, pod_id, talent_id, role_code, share_basis, joined_at, left_at, conflict_declared</t>
  </si>
  <si>
    <t xml:space="preserve">pod n:1</t>
  </si>
  <si>
    <t xml:space="preserve">An offer to join a pod.</t>
  </si>
  <si>
    <t xml:space="preserve">id, pod_id, talent_id, role_code, sent_at, expires_at, state, responded_at</t>
  </si>
  <si>
    <t xml:space="preserve">Ranked candidates against a pod specification with reasons.</t>
  </si>
  <si>
    <t xml:space="preserve">id, pod_id, talent_id, rank, score, reason_text, configuration_label</t>
  </si>
  <si>
    <t xml:space="preserve">The record the talent is building. Append only.</t>
  </si>
  <si>
    <t xml:space="preserve">id, talent_id, pod_id, milestone_id, accepted_at, on_time, revisions, client_rating, lead_rating, note</t>
  </si>
  <si>
    <t xml:space="preserve">What is owed, held and released.</t>
  </si>
  <si>
    <t xml:space="preserve">id, talent_id, pod_id, milestone_id, gross, held, released_at, route_id, instruction_ref, state</t>
  </si>
  <si>
    <t xml:space="preserve">The civic track.</t>
  </si>
  <si>
    <t xml:space="preserve">id, talent_id, interests, offer, psea_completed_at, psea_expires_at, agreement_version, state</t>
  </si>
  <si>
    <t xml:space="preserve">Validated hours. Append only.</t>
  </si>
  <si>
    <t xml:space="preserve">id, volunteer_id, activity_code, started_at, ended_at, hours, validated_by, validated_at, source</t>
  </si>
  <si>
    <t xml:space="preserve">volunteer_profile n:1</t>
  </si>
  <si>
    <t xml:space="preserve">Points earned and spent. Append only.</t>
  </si>
  <si>
    <t xml:space="preserve">id, talent_id, event_code, points, direction, reference, recorded_at, recorded_by</t>
  </si>
  <si>
    <t xml:space="preserve">One credential.</t>
  </si>
  <si>
    <t xml:space="preserve">id, talent_id, card_type, tier, card_number, state, issued_at, expires_at, digital_ref, physical_requested_at, verify_slug</t>
  </si>
  <si>
    <t xml:space="preserve">Who checked a card and when.</t>
  </si>
  <si>
    <t xml:space="preserve">id, card_id, checked_at, ip_hash, user_agent_hash, result</t>
  </si>
  <si>
    <t xml:space="preserve">card n:1</t>
  </si>
  <si>
    <t xml:space="preserve">A conversation with a person, on the record.</t>
  </si>
  <si>
    <t xml:space="preserve">id, talent_id, opened_at, channel, state, owner_position, last_reply_at</t>
  </si>
  <si>
    <t xml:space="preserve">Every state change, everywhere. Append only.</t>
  </si>
  <si>
    <t xml:space="preserve">id, entity, entity_id, from_state, to_state, trigger_code, actor_id, actor_type, occurred_at, reason, evidence_refs, ip, user_agent</t>
  </si>
  <si>
    <t xml:space="preserve">polymorphic</t>
  </si>
  <si>
    <t xml:space="preserve">What was erased, when, and what was lawfully retained.</t>
  </si>
  <si>
    <t xml:space="preserve">id, talent_id, requested_at, executed_at, retained_fields, legal_basis, confirmed_by</t>
  </si>
  <si>
    <t xml:space="preserve">API surface</t>
  </si>
  <si>
    <t xml:space="preserve">Fifty-two endpoints. Access column states who may call it. Rate limits carry placeholders until load characteristics are measured rather than guessed.</t>
  </si>
  <si>
    <t xml:space="preserve">Path</t>
  </si>
  <si>
    <t xml:space="preserve">Rate limit</t>
  </si>
  <si>
    <t xml:space="preserve">Primary table</t>
  </si>
  <si>
    <t xml:space="preserve">POST</t>
  </si>
  <si>
    <t xml:space="preserve">/auth/register</t>
  </si>
  <si>
    <t xml:space="preserve">Create an account and dispatch a verification code</t>
  </si>
  <si>
    <t xml:space="preserve">[[PH-RL-REGISTER]]</t>
  </si>
  <si>
    <t xml:space="preserve">/auth/verify-channel</t>
  </si>
  <si>
    <t xml:space="preserve">Confirm the one-time code</t>
  </si>
  <si>
    <t xml:space="preserve">[[PH-RL-OTP]]</t>
  </si>
  <si>
    <t xml:space="preserve">/auth/session</t>
  </si>
  <si>
    <t xml:space="preserve">Establish a session</t>
  </si>
  <si>
    <t xml:space="preserve">[[PH-RL-AUTH]]</t>
  </si>
  <si>
    <t xml:space="preserve">GET</t>
  </si>
  <si>
    <t xml:space="preserve">/orientation/cards</t>
  </si>
  <si>
    <t xml:space="preserve">Authenticated</t>
  </si>
  <si>
    <t xml:space="preserve">Return the orientation cards for the locale</t>
  </si>
  <si>
    <t xml:space="preserve">/orientation/ack</t>
  </si>
  <si>
    <t xml:space="preserve">Record a card acknowledgement with dwell time</t>
  </si>
  <si>
    <t xml:space="preserve">/taxonomy/domains</t>
  </si>
  <si>
    <t xml:space="preserve">Domain list with descriptions</t>
  </si>
  <si>
    <t xml:space="preserve">Cached</t>
  </si>
  <si>
    <t xml:space="preserve">taxonomy</t>
  </si>
  <si>
    <t xml:space="preserve">/taxonomy/specialisations</t>
  </si>
  <si>
    <t xml:space="preserve">Specialisations, filterable by domain</t>
  </si>
  <si>
    <t xml:space="preserve">PUT</t>
  </si>
  <si>
    <t xml:space="preserve">/talent/profile</t>
  </si>
  <si>
    <t xml:space="preserve">Create or update the profile core</t>
  </si>
  <si>
    <t xml:space="preserve">/talent/photo</t>
  </si>
  <si>
    <t xml:space="preserve">Upload the profile photograph. Server revalidates every browser-side check.</t>
  </si>
  <si>
    <t xml:space="preserve">[[PH-RL-UPLOAD]]</t>
  </si>
  <si>
    <t xml:space="preserve">/talent/specialisation</t>
  </si>
  <si>
    <t xml:space="preserve">Set primary, secondary and self-assessed levels</t>
  </si>
  <si>
    <t xml:space="preserve">/talent/artefact</t>
  </si>
  <si>
    <t xml:space="preserve">Add a work sample with provenance</t>
  </si>
  <si>
    <t xml:space="preserve">/talent/capacity</t>
  </si>
  <si>
    <t xml:space="preserve">Declare capacity and availability</t>
  </si>
  <si>
    <t xml:space="preserve">/talent/payment-route</t>
  </si>
  <si>
    <t xml:space="preserve">Set the payment route. Re-confirmation of ownership required on change.</t>
  </si>
  <si>
    <t xml:space="preserve">[[PH-RL-SENSITIVE]]</t>
  </si>
  <si>
    <t xml:space="preserve">/verification/case</t>
  </si>
  <si>
    <t xml:space="preserve">Open an identity verification case</t>
  </si>
  <si>
    <t xml:space="preserve">/verification/document</t>
  </si>
  <si>
    <t xml:space="preserve">Upload a document image to the restricted bucket</t>
  </si>
  <si>
    <t xml:space="preserve">/verification/liveness</t>
  </si>
  <si>
    <t xml:space="preserve">Submit the liveness sequence</t>
  </si>
  <si>
    <t xml:space="preserve">/verification/case/:id</t>
  </si>
  <si>
    <t xml:space="preserve">Authenticated, owner</t>
  </si>
  <si>
    <t xml:space="preserve">Case state without internal detail</t>
  </si>
  <si>
    <t xml:space="preserve">/consent</t>
  </si>
  <si>
    <t xml:space="preserve">Record one consent with document version</t>
  </si>
  <si>
    <t xml:space="preserve">DELETE</t>
  </si>
  <si>
    <t xml:space="preserve">/consent/:code</t>
  </si>
  <si>
    <t xml:space="preserve">Withdraw one consent</t>
  </si>
  <si>
    <t xml:space="preserve">/assessment/tasks</t>
  </si>
  <si>
    <t xml:space="preserve">Available tasks for the primary specialisation</t>
  </si>
  <si>
    <t xml:space="preserve">/assessment/attempt</t>
  </si>
  <si>
    <t xml:space="preserve">Start an attempt. The timer starts here, not on page load.</t>
  </si>
  <si>
    <t xml:space="preserve">[[PH-RL-STANDARD]]</t>
  </si>
  <si>
    <t xml:space="preserve">/assessment/attempt/:id/draft</t>
  </si>
  <si>
    <t xml:space="preserve">Auto-save a draft</t>
  </si>
  <si>
    <t xml:space="preserve">/assessment/attempt/:id/submit</t>
  </si>
  <si>
    <t xml:space="preserve">Submit for scoring</t>
  </si>
  <si>
    <t xml:space="preserve">/assessment/attempt/:id/feedback</t>
  </si>
  <si>
    <t xml:space="preserve">Full scoring sheet, released on any outcome</t>
  </si>
  <si>
    <t xml:space="preserve">/interview/slots</t>
  </si>
  <si>
    <t xml:space="preserve">Open slots in the applicant time zone</t>
  </si>
  <si>
    <t xml:space="preserve">/interview/booking</t>
  </si>
  <si>
    <t xml:space="preserve">Book, reschedule or cancel</t>
  </si>
  <si>
    <t xml:space="preserve">/reference/request</t>
  </si>
  <si>
    <t xml:space="preserve">Submit referee details with consent</t>
  </si>
  <si>
    <t xml:space="preserve">/reference/respond/:token</t>
  </si>
  <si>
    <t xml:space="preserve">Public, tokenised</t>
  </si>
  <si>
    <t xml:space="preserve">Referee submits the structured response</t>
  </si>
  <si>
    <t xml:space="preserve">[[PH-RL-PUBLIC]]</t>
  </si>
  <si>
    <t xml:space="preserve">/application/status</t>
  </si>
  <si>
    <t xml:space="preserve">Full status tracker with blockers</t>
  </si>
  <si>
    <t xml:space="preserve">/application/withdraw</t>
  </si>
  <si>
    <t xml:space="preserve">Withdraw and request erasure</t>
  </si>
  <si>
    <t xml:space="preserve">/space/standing</t>
  </si>
  <si>
    <t xml:space="preserve">Authenticated, T1 and above</t>
  </si>
  <si>
    <t xml:space="preserve">Tier, axis levels and what the next tier needs</t>
  </si>
  <si>
    <t xml:space="preserve">/space/invitations</t>
  </si>
  <si>
    <t xml:space="preserve">Open pod invitations</t>
  </si>
  <si>
    <t xml:space="preserve">/space/invitations/:id/respond</t>
  </si>
  <si>
    <t xml:space="preserve">Accept or decline</t>
  </si>
  <si>
    <t xml:space="preserve">/space/pods</t>
  </si>
  <si>
    <t xml:space="preserve">Live pods and the talent's own tasks</t>
  </si>
  <si>
    <t xml:space="preserve">/space/earnings</t>
  </si>
  <si>
    <t xml:space="preserve">Accepted, held and released amounts</t>
  </si>
  <si>
    <t xml:space="preserve">/space/record</t>
  </si>
  <si>
    <t xml:space="preserve">The performance record</t>
  </si>
  <si>
    <t xml:space="preserve">/space/calls</t>
  </si>
  <si>
    <t xml:space="preserve">Open calls filtered by tier and specialisation</t>
  </si>
  <si>
    <t xml:space="preserve">/volunteer/profile</t>
  </si>
  <si>
    <t xml:space="preserve">Join the civic track</t>
  </si>
  <si>
    <t xml:space="preserve">/volunteer/shift/scan</t>
  </si>
  <si>
    <t xml:space="preserve">Staff device</t>
  </si>
  <si>
    <t xml:space="preserve">Scan in or scan out at the Hub</t>
  </si>
  <si>
    <t xml:space="preserve">/points/balance</t>
  </si>
  <si>
    <t xml:space="preserve">Points earned, spent and available</t>
  </si>
  <si>
    <t xml:space="preserve">/points/redeem</t>
  </si>
  <si>
    <t xml:space="preserve">Redeem against a published option</t>
  </si>
  <si>
    <t xml:space="preserve">/card/me</t>
  </si>
  <si>
    <t xml:space="preserve">The holder's own card and its state</t>
  </si>
  <si>
    <t xml:space="preserve">/card/physical</t>
  </si>
  <si>
    <t xml:space="preserve">Request a physical card</t>
  </si>
  <si>
    <t xml:space="preserve">/card/report</t>
  </si>
  <si>
    <t xml:space="preserve">Report lost or damaged. Suspends immediately.</t>
  </si>
  <si>
    <t xml:space="preserve">/v/:slug</t>
  </si>
  <si>
    <t xml:space="preserve">Public, signed</t>
  </si>
  <si>
    <t xml:space="preserve">Public card verification page</t>
  </si>
  <si>
    <t xml:space="preserve">[[PH-RL-VERIFY]]</t>
  </si>
  <si>
    <t xml:space="preserve">/ops/verification/:id/decide</t>
  </si>
  <si>
    <t xml:space="preserve">Staff, POS-TAL-VER</t>
  </si>
  <si>
    <t xml:space="preserve">Close a verification case</t>
  </si>
  <si>
    <t xml:space="preserve">/ops/assessment/:id/score</t>
  </si>
  <si>
    <t xml:space="preserve">Staff, POS-TAL-ASM</t>
  </si>
  <si>
    <t xml:space="preserve">Record rubric scores and feedback</t>
  </si>
  <si>
    <t xml:space="preserve">/ops/tier/:talentId/decide</t>
  </si>
  <si>
    <t xml:space="preserve">Staff, POS-TAL-LEAD</t>
  </si>
  <si>
    <t xml:space="preserve">Award or reduce a tier with reason</t>
  </si>
  <si>
    <t xml:space="preserve">/ops/pod/shortlist</t>
  </si>
  <si>
    <t xml:space="preserve">Staff, POS-MD-LEAD</t>
  </si>
  <si>
    <t xml:space="preserve">Generate configurations against a pod specification</t>
  </si>
  <si>
    <t xml:space="preserve">/ops/pod/:id/invite</t>
  </si>
  <si>
    <t xml:space="preserve">Staff, POS-MD-CO</t>
  </si>
  <si>
    <t xml:space="preserve">Issue pod invitations</t>
  </si>
  <si>
    <t xml:space="preserve">/ops/sanction</t>
  </si>
  <si>
    <t xml:space="preserve">Open a sanction with evidence</t>
  </si>
  <si>
    <t xml:space="preserve">/ops/queues</t>
  </si>
  <si>
    <t xml:space="preserve">Staff</t>
  </si>
  <si>
    <t xml:space="preserve">Every queue with age and breach status</t>
  </si>
  <si>
    <t xml:space="preserve">queue_view</t>
  </si>
  <si>
    <t xml:space="preserve">Event catalogue</t>
  </si>
  <si>
    <t xml:space="preserve">Thirty domain events. Every one writes an immutable audit row. If something happened and there is no event, the system is wrong, not the record.</t>
  </si>
  <si>
    <t xml:space="preserve">Event</t>
  </si>
  <si>
    <t xml:space="preserve">Downstream effect</t>
  </si>
  <si>
    <t xml:space="preserve">Emitted by</t>
  </si>
  <si>
    <t xml:space="preserve">EV-ACCOUNT-CREATED</t>
  </si>
  <si>
    <t xml:space="preserve">Send code, start the resume timer</t>
  </si>
  <si>
    <t xml:space="preserve">EV-CHANNEL-VERIFIED</t>
  </si>
  <si>
    <t xml:space="preserve">Open orientation</t>
  </si>
  <si>
    <t xml:space="preserve">EV-ORIENTATION-COMPLETE</t>
  </si>
  <si>
    <t xml:space="preserve">All six cards acknowledged and the check passed</t>
  </si>
  <si>
    <t xml:space="preserve">Open the profile screens</t>
  </si>
  <si>
    <t xml:space="preserve">EV-REGISTRATION-SUBMITTED</t>
  </si>
  <si>
    <t xml:space="preserve">T0 reached</t>
  </si>
  <si>
    <t xml:space="preserve">Open a verification case</t>
  </si>
  <si>
    <t xml:space="preserve">EV-IDENTITY-SUBMITTED</t>
  </si>
  <si>
    <t xml:space="preserve">Evidence submitted</t>
  </si>
  <si>
    <t xml:space="preserve">Queue for review</t>
  </si>
  <si>
    <t xml:space="preserve">EV-IDENTITY-PASSED</t>
  </si>
  <si>
    <t xml:space="preserve">Identity axis at L1</t>
  </si>
  <si>
    <t xml:space="preserve">Invite to assessment</t>
  </si>
  <si>
    <t xml:space="preserve">EV-IDENTITY-REVIEW</t>
  </si>
  <si>
    <t xml:space="preserve">Human review required</t>
  </si>
  <si>
    <t xml:space="preserve">Assign to the verification queue</t>
  </si>
  <si>
    <t xml:space="preserve">EV-SCREENING-HIT</t>
  </si>
  <si>
    <t xml:space="preserve">Screening returned a match</t>
  </si>
  <si>
    <t xml:space="preserve">Suspend, notify counsel</t>
  </si>
  <si>
    <t xml:space="preserve">EV-ASSESSMENT-STARTED</t>
  </si>
  <si>
    <t xml:space="preserve">Timer started</t>
  </si>
  <si>
    <t xml:space="preserve">Begin auto-save</t>
  </si>
  <si>
    <t xml:space="preserve">EV-ASSESSMENT-SUBMITTED</t>
  </si>
  <si>
    <t xml:space="preserve">Submitted</t>
  </si>
  <si>
    <t xml:space="preserve">Assign a scorer without conflict</t>
  </si>
  <si>
    <t xml:space="preserve">EV-ASSESSMENT-SCORED</t>
  </si>
  <si>
    <t xml:space="preserve">Rubric complete</t>
  </si>
  <si>
    <t xml:space="preserve">Release feedback, evaluate tier</t>
  </si>
  <si>
    <t xml:space="preserve">EV-TIER-AWARDED</t>
  </si>
  <si>
    <t xml:space="preserve">Tier granted</t>
  </si>
  <si>
    <t xml:space="preserve">Issue card, update listing, notify</t>
  </si>
  <si>
    <t xml:space="preserve">EV-TIER-REDUCED</t>
  </si>
  <si>
    <t xml:space="preserve">Tier reduced</t>
  </si>
  <si>
    <t xml:space="preserve">Reissue card, notify with reason and appeal route</t>
  </si>
  <si>
    <t xml:space="preserve">EV-INTERVIEW-BOOKED</t>
  </si>
  <si>
    <t xml:space="preserve">Slot held</t>
  </si>
  <si>
    <t xml:space="preserve">Confirm and schedule the reminder</t>
  </si>
  <si>
    <t xml:space="preserve">EV-INTERVIEW-SCORED</t>
  </si>
  <si>
    <t xml:space="preserve">Two scores recorded</t>
  </si>
  <si>
    <t xml:space="preserve">Evaluate the skill axis</t>
  </si>
  <si>
    <t xml:space="preserve">EV-REFERENCE-RETURNED</t>
  </si>
  <si>
    <t xml:space="preserve">Referee responded</t>
  </si>
  <si>
    <t xml:space="preserve">Evaluate the track record axis</t>
  </si>
  <si>
    <t xml:space="preserve">EV-POD-FORMED</t>
  </si>
  <si>
    <t xml:space="preserve">Pod assembled and brief signed</t>
  </si>
  <si>
    <t xml:space="preserve">Open the delivery workspace</t>
  </si>
  <si>
    <t xml:space="preserve">EV-INVITATION-SENT</t>
  </si>
  <si>
    <t xml:space="preserve">Invitation issued</t>
  </si>
  <si>
    <t xml:space="preserve">Start the expiry clock</t>
  </si>
  <si>
    <t xml:space="preserve">EV-INVITATION-EXPIRED</t>
  </si>
  <si>
    <t xml:space="preserve">No response by expiry</t>
  </si>
  <si>
    <t xml:space="preserve">Offer onward, record a conduct signal</t>
  </si>
  <si>
    <t xml:space="preserve">EV-MILESTONE-ACCEPTED</t>
  </si>
  <si>
    <t xml:space="preserve">Client accepted</t>
  </si>
  <si>
    <t xml:space="preserve">Write the ledger, instruct payout, start holdback</t>
  </si>
  <si>
    <t xml:space="preserve">EV-PAYOUT-RELEASED</t>
  </si>
  <si>
    <t xml:space="preserve">Funds released</t>
  </si>
  <si>
    <t xml:space="preserve">Notify with amount and date</t>
  </si>
  <si>
    <t xml:space="preserve">EV-HOLDBACK-RELEASED</t>
  </si>
  <si>
    <t xml:space="preserve">Holdback matured with no reversal</t>
  </si>
  <si>
    <t xml:space="preserve">Release and notify</t>
  </si>
  <si>
    <t xml:space="preserve">EV-SANCTION-OPENED</t>
  </si>
  <si>
    <t xml:space="preserve">Sanction opened</t>
  </si>
  <si>
    <t xml:space="preserve">Notify the talent with the evidence and appeal route</t>
  </si>
  <si>
    <t xml:space="preserve">EV-APPEAL-LODGED</t>
  </si>
  <si>
    <t xml:space="preserve">Appeal received</t>
  </si>
  <si>
    <t xml:space="preserve">Route to the appeal authority</t>
  </si>
  <si>
    <t xml:space="preserve">EV-VOLUNTEER-HOUR</t>
  </si>
  <si>
    <t xml:space="preserve">Hour validated</t>
  </si>
  <si>
    <t xml:space="preserve">Award points, check the fast-track threshold</t>
  </si>
  <si>
    <t xml:space="preserve">EV-FASTTRACK-OFFERED</t>
  </si>
  <si>
    <t xml:space="preserve">Threshold reached</t>
  </si>
  <si>
    <t xml:space="preserve">Offer conversion. The volunteer chooses.</t>
  </si>
  <si>
    <t xml:space="preserve">EV-CARD-ISSUED</t>
  </si>
  <si>
    <t xml:space="preserve">Card live</t>
  </si>
  <si>
    <t xml:space="preserve">Send the credential and the verification link</t>
  </si>
  <si>
    <t xml:space="preserve">EV-CARD-SUSPENDED</t>
  </si>
  <si>
    <t xml:space="preserve">Card suspended</t>
  </si>
  <si>
    <t xml:space="preserve">Notify, publish the state on the verification page</t>
  </si>
  <si>
    <t xml:space="preserve">EV-DORMANCY</t>
  </si>
  <si>
    <t xml:space="preserve">Dormancy window reached</t>
  </si>
  <si>
    <t xml:space="preserve">Run re-engagement, then reduce</t>
  </si>
  <si>
    <t xml:space="preserve">EV-ERASURE-EXECUTED</t>
  </si>
  <si>
    <t xml:space="preserve">Erasure complete</t>
  </si>
  <si>
    <t xml:space="preserve">Confirm in writing, naming what was retained and why</t>
  </si>
  <si>
    <t xml:space="preserve">Who can see what. Identity documents are visible to two position codes only, and every single view is logged and reviewed monthly.</t>
  </si>
  <si>
    <t xml:space="preserve">Area</t>
  </si>
  <si>
    <t xml:space="preserve">Write</t>
  </si>
  <si>
    <t xml:space="preserve">Decide</t>
  </si>
  <si>
    <t xml:space="preserve">Restriction</t>
  </si>
  <si>
    <t xml:space="preserve">Applicant status and support</t>
  </si>
  <si>
    <t xml:space="preserve">Support thread only</t>
  </si>
  <si>
    <t xml:space="preserve">No document images. No payment data.</t>
  </si>
  <si>
    <t xml:space="preserve">Close a case at L1 and L2</t>
  </si>
  <si>
    <t xml:space="preserve">Document images visible and every view logged</t>
  </si>
  <si>
    <t xml:space="preserve">Assessments</t>
  </si>
  <si>
    <t xml:space="preserve">Score and feedback</t>
  </si>
  <si>
    <t xml:space="preserve">No identity documents. No payment data.</t>
  </si>
  <si>
    <t xml:space="preserve">Talent registry and tiers</t>
  </si>
  <si>
    <t xml:space="preserve">Tiers up to T3, sanctions, appeals at first instance</t>
  </si>
  <si>
    <t xml:space="preserve">Full talent visibility. No payment execution.</t>
  </si>
  <si>
    <t xml:space="preserve">Pods and invitations</t>
  </si>
  <si>
    <t xml:space="preserve">Invitations and scheduling</t>
  </si>
  <si>
    <t xml:space="preserve">Pool visibility only, no verification evidence</t>
  </si>
  <si>
    <t xml:space="preserve">Pods and delivery</t>
  </si>
  <si>
    <t xml:space="preserve">Pod composition and acceptance</t>
  </si>
  <si>
    <t xml:space="preserve">Quality gates</t>
  </si>
  <si>
    <t xml:space="preserve">Deliverables only</t>
  </si>
  <si>
    <t xml:space="preserve">Gate outcome</t>
  </si>
  <si>
    <t xml:space="preserve">Gate pass or fail</t>
  </si>
  <si>
    <t xml:space="preserve">No talent personal data</t>
  </si>
  <si>
    <t xml:space="preserve">Payment routes and payouts</t>
  </si>
  <si>
    <t xml:space="preserve">Payout instruction</t>
  </si>
  <si>
    <t xml:space="preserve">Second signature on release</t>
  </si>
  <si>
    <t xml:space="preserve">Account references masked to the last four</t>
  </si>
  <si>
    <t xml:space="preserve">Volunteers and hours</t>
  </si>
  <si>
    <t xml:space="preserve">Hour validation</t>
  </si>
  <si>
    <t xml:space="preserve">Volunteer scope only</t>
  </si>
  <si>
    <t xml:space="preserve">Card scanning and shifts</t>
  </si>
  <si>
    <t xml:space="preserve">Card state only</t>
  </si>
  <si>
    <t xml:space="preserve">Scan events</t>
  </si>
  <si>
    <t xml:space="preserve">Name, photograph and card state only</t>
  </si>
  <si>
    <t xml:space="preserve">Public surfaces and cards</t>
  </si>
  <si>
    <t xml:space="preserve">Card production data</t>
  </si>
  <si>
    <t xml:space="preserve">Card production</t>
  </si>
  <si>
    <t xml:space="preserve">No verification evidence</t>
  </si>
  <si>
    <t xml:space="preserve">Forge cohorts and graduates</t>
  </si>
  <si>
    <t xml:space="preserve">Cohort records</t>
  </si>
  <si>
    <t xml:space="preserve">Graduate uplift evidence</t>
  </si>
  <si>
    <t xml:space="preserve">Cohort scope only</t>
  </si>
  <si>
    <t xml:space="preserve">System configuration</t>
  </si>
  <si>
    <t xml:space="preserve">Configuration</t>
  </si>
  <si>
    <t xml:space="preserve">Release</t>
  </si>
  <si>
    <t xml:space="preserve">No production personal data outside an approved incident</t>
  </si>
  <si>
    <t xml:space="preserve">Non-production only</t>
  </si>
  <si>
    <t xml:space="preserve">No production personal data</t>
  </si>
  <si>
    <t xml:space="preserve">All</t>
  </si>
  <si>
    <t xml:space="preserve">T4, revocation, final appeal</t>
  </si>
  <si>
    <t xml:space="preserve">Every access logged and reviewed</t>
  </si>
  <si>
    <t xml:space="preserve">Screening hits and disputes</t>
  </si>
  <si>
    <t xml:space="preserve">Case scope</t>
  </si>
  <si>
    <t xml:space="preserve">Opinion</t>
  </si>
  <si>
    <t xml:space="preserve">Legal opinion</t>
  </si>
  <si>
    <t xml:space="preserve">Case scope only</t>
  </si>
  <si>
    <t xml:space="preserve">Data protection controls</t>
  </si>
  <si>
    <t xml:space="preserve">This system holds identity documents belonging to people in a conflict setting. The controls below are not optional and are not deferred to a later phase.</t>
  </si>
  <si>
    <t xml:space="preserve">Applies to</t>
  </si>
  <si>
    <t xml:space="preserve">Two-bucket separation</t>
  </si>
  <si>
    <t xml:space="preserve">Identity documents and biometrics sit in a restricted bucket with its own key, separate from all other assets.</t>
  </si>
  <si>
    <t xml:space="preserve">Quarterly access review</t>
  </si>
  <si>
    <t xml:space="preserve">Encryption at rest and in transit</t>
  </si>
  <si>
    <t xml:space="preserve">All data encrypted. Payment references and document numbers encrypted at field level.</t>
  </si>
  <si>
    <t xml:space="preserve">Configuration audit</t>
  </si>
  <si>
    <t xml:space="preserve">Access logging</t>
  </si>
  <si>
    <t xml:space="preserve">Every view of an identity document is logged with the position, the case and the timestamp.</t>
  </si>
  <si>
    <t xml:space="preserve">Restricted bucket</t>
  </si>
  <si>
    <t xml:space="preserve">Monthly review</t>
  </si>
  <si>
    <t xml:space="preserve">Scheduled purge</t>
  </si>
  <si>
    <t xml:space="preserve">Document images are purged [[PH-DOC-RETENTION]] after the case closes. The outcome and a hash remain.</t>
  </si>
  <si>
    <t xml:space="preserve">Alert AL-10 if the job does not run</t>
  </si>
  <si>
    <t xml:space="preserve">Minimum collection</t>
  </si>
  <si>
    <t xml:space="preserve">Nothing is collected without a stated purpose on the screen where it is asked.</t>
  </si>
  <si>
    <t xml:space="preserve">All forms</t>
  </si>
  <si>
    <t xml:space="preserve">Field specification review</t>
  </si>
  <si>
    <t xml:space="preserve">Separate consent</t>
  </si>
  <si>
    <t xml:space="preserve">One consent, one record, one version. Optional consents are refusable with no consequence.</t>
  </si>
  <si>
    <t xml:space="preserve">Subject access</t>
  </si>
  <si>
    <t xml:space="preserve">Any person may export everything held about them in a portable form, from their own space.</t>
  </si>
  <si>
    <t xml:space="preserve">Tested each release</t>
  </si>
  <si>
    <t xml:space="preserve">Erasure</t>
  </si>
  <si>
    <t xml:space="preserve">Executed within [[PH-ERASURE]]. The confirmation names exactly what was retained and the legal basis for it.</t>
  </si>
  <si>
    <t xml:space="preserve">Retention after exit</t>
  </si>
  <si>
    <t xml:space="preserve">Financial and audit records only, for the statutory period. Nothing else.</t>
  </si>
  <si>
    <t xml:space="preserve">Annual review</t>
  </si>
  <si>
    <t xml:space="preserve">No production data outside production</t>
  </si>
  <si>
    <t xml:space="preserve">Development and testing use synthetic data. No exceptions, no temporary ones.</t>
  </si>
  <si>
    <t xml:space="preserve">Release checklist</t>
  </si>
  <si>
    <t xml:space="preserve">Do no harm</t>
  </si>
  <si>
    <t xml:space="preserve">No field is collected that could expose a person to risk if the record were compromised. Political affiliation, ethnicity and tribal identity are never collected.</t>
  </si>
  <si>
    <t xml:space="preserve">Breach route</t>
  </si>
  <si>
    <t xml:space="preserve">Any suspected breach goes to the chief executive within the hour, and to counsel the same day.</t>
  </si>
  <si>
    <t xml:space="preserve">Drilled annually</t>
  </si>
  <si>
    <t xml:space="preserve">KAYAN  ·  KAY-TOS-001  ·  REGISTER — LIVE</t>
  </si>
  <si>
    <t xml:space="preserve">Talent register</t>
  </si>
  <si>
    <t xml:space="preserve">The master record. The rows below are illustrative so the dashboard computes. They are replaced entirely at go-live and are never published. No personal names appear in this workbook at any time.</t>
  </si>
  <si>
    <t xml:space="preserve">Talent ID</t>
  </si>
  <si>
    <t xml:space="preserve">Location</t>
  </si>
  <si>
    <t xml:space="preserve">Diaspora</t>
  </si>
  <si>
    <t xml:space="preserve">Weekly hours</t>
  </si>
  <si>
    <t xml:space="preserve">Pods completed</t>
  </si>
  <si>
    <t xml:space="preserve">Average rating</t>
  </si>
  <si>
    <t xml:space="preserve">Last active</t>
  </si>
  <si>
    <t xml:space="preserve">Card state</t>
  </si>
  <si>
    <t xml:space="preserve">TAL-0001</t>
  </si>
  <si>
    <t xml:space="preserve">Woman</t>
  </si>
  <si>
    <t xml:space="preserve">Abyan</t>
  </si>
  <si>
    <t xml:space="preserve">Active</t>
  </si>
  <si>
    <t xml:space="preserve">Not issued</t>
  </si>
  <si>
    <t xml:space="preserve">Search</t>
  </si>
  <si>
    <t xml:space="preserve">TAL-0002</t>
  </si>
  <si>
    <t xml:space="preserve">Man</t>
  </si>
  <si>
    <t xml:space="preserve">Aden</t>
  </si>
  <si>
    <t xml:space="preserve">TAL-0003</t>
  </si>
  <si>
    <t xml:space="preserve">Outside Yemen</t>
  </si>
  <si>
    <t xml:space="preserve">Social media</t>
  </si>
  <si>
    <t xml:space="preserve">TAL-0004</t>
  </si>
  <si>
    <t xml:space="preserve">Lahj</t>
  </si>
  <si>
    <t xml:space="preserve">Employer or client</t>
  </si>
  <si>
    <t xml:space="preserve">TAL-0005</t>
  </si>
  <si>
    <t xml:space="preserve">Community organisation</t>
  </si>
  <si>
    <t xml:space="preserve">TAL-0006</t>
  </si>
  <si>
    <t xml:space="preserve">Kayan Hub</t>
  </si>
  <si>
    <t xml:space="preserve">TAL-0007</t>
  </si>
  <si>
    <t xml:space="preserve">Referral</t>
  </si>
  <si>
    <t xml:space="preserve">TAL-0008</t>
  </si>
  <si>
    <t xml:space="preserve">Prefer not to say</t>
  </si>
  <si>
    <t xml:space="preserve">TAL-0009</t>
  </si>
  <si>
    <t xml:space="preserve">TAL-0010</t>
  </si>
  <si>
    <t xml:space="preserve">TAL-0011</t>
  </si>
  <si>
    <t xml:space="preserve">TAL-0012</t>
  </si>
  <si>
    <t xml:space="preserve">TAL-0013</t>
  </si>
  <si>
    <t xml:space="preserve">Taiz</t>
  </si>
  <si>
    <t xml:space="preserve">TAL-0014</t>
  </si>
  <si>
    <t xml:space="preserve">TAL-0015</t>
  </si>
  <si>
    <t xml:space="preserve">TAL-0016</t>
  </si>
  <si>
    <t xml:space="preserve">TAL-0017</t>
  </si>
  <si>
    <t xml:space="preserve">TAL-0018</t>
  </si>
  <si>
    <t xml:space="preserve">Al Mukalla</t>
  </si>
  <si>
    <t xml:space="preserve">TAL-0019</t>
  </si>
  <si>
    <t xml:space="preserve">Hadhramaut</t>
  </si>
  <si>
    <t xml:space="preserve">TAL-0020</t>
  </si>
  <si>
    <t xml:space="preserve">TAL-0021</t>
  </si>
  <si>
    <t xml:space="preserve">TAL-0022</t>
  </si>
  <si>
    <t xml:space="preserve">TAL-0023</t>
  </si>
  <si>
    <t xml:space="preserve">TAL-0024</t>
  </si>
  <si>
    <t xml:space="preserve">TAL-0025</t>
  </si>
  <si>
    <t xml:space="preserve">TAL-0026</t>
  </si>
  <si>
    <t xml:space="preserve">TAL-0027</t>
  </si>
  <si>
    <t xml:space="preserve">TAL-0028</t>
  </si>
  <si>
    <t xml:space="preserve">TAL-0029</t>
  </si>
  <si>
    <t xml:space="preserve">TAL-0030</t>
  </si>
  <si>
    <t xml:space="preserve">TAL-0031</t>
  </si>
  <si>
    <t xml:space="preserve">TAL-0032</t>
  </si>
  <si>
    <t xml:space="preserve">TAL-0033</t>
  </si>
  <si>
    <t xml:space="preserve">TAL-0034</t>
  </si>
  <si>
    <t xml:space="preserve">TAL-0035</t>
  </si>
  <si>
    <t xml:space="preserve">TAL-0036</t>
  </si>
  <si>
    <t xml:space="preserve">TAL-0037</t>
  </si>
  <si>
    <t xml:space="preserve">Suspended</t>
  </si>
  <si>
    <t xml:space="preserve">TAL-0038</t>
  </si>
  <si>
    <t xml:space="preserve">TAL-0039</t>
  </si>
  <si>
    <t xml:space="preserve">TAL-0040</t>
  </si>
  <si>
    <t xml:space="preserve">TAL-0041</t>
  </si>
  <si>
    <t xml:space="preserve">TAL-0042</t>
  </si>
  <si>
    <t xml:space="preserve">TAL-0043</t>
  </si>
  <si>
    <t xml:space="preserve">TAL-0044</t>
  </si>
  <si>
    <t xml:space="preserve">TAL-0045</t>
  </si>
  <si>
    <t xml:space="preserve">TAL-0046</t>
  </si>
  <si>
    <t xml:space="preserve">TAL-0047</t>
  </si>
  <si>
    <t xml:space="preserve">TAL-0048</t>
  </si>
  <si>
    <t xml:space="preserve">TAL-0049</t>
  </si>
  <si>
    <t xml:space="preserve">TAL-0050</t>
  </si>
  <si>
    <t xml:space="preserve">TAL-0051</t>
  </si>
  <si>
    <t xml:space="preserve">TAL-0052</t>
  </si>
  <si>
    <t xml:space="preserve">TAL-0053</t>
  </si>
  <si>
    <t xml:space="preserve">TAL-0054</t>
  </si>
  <si>
    <t xml:space="preserve">TAL-0055</t>
  </si>
  <si>
    <t xml:space="preserve">TAL-0056</t>
  </si>
  <si>
    <t xml:space="preserve">TAL-0057</t>
  </si>
  <si>
    <t xml:space="preserve">TAL-0058</t>
  </si>
  <si>
    <t xml:space="preserve">TAL-0059</t>
  </si>
  <si>
    <t xml:space="preserve">TAL-0060</t>
  </si>
  <si>
    <t xml:space="preserve">TAL-0061</t>
  </si>
  <si>
    <t xml:space="preserve">TAL-0062</t>
  </si>
  <si>
    <t xml:space="preserve">TAL-0063</t>
  </si>
  <si>
    <t xml:space="preserve">TAL-0064</t>
  </si>
  <si>
    <t xml:space="preserve">TAL-0065</t>
  </si>
  <si>
    <t xml:space="preserve">TAL-0066</t>
  </si>
  <si>
    <t xml:space="preserve">TAL-0067</t>
  </si>
  <si>
    <t xml:space="preserve">TAL-0068</t>
  </si>
  <si>
    <t xml:space="preserve">TAL-0069</t>
  </si>
  <si>
    <t xml:space="preserve">TAL-0070</t>
  </si>
  <si>
    <t xml:space="preserve">TAL-0071</t>
  </si>
  <si>
    <t xml:space="preserve">TAL-0072</t>
  </si>
  <si>
    <t xml:space="preserve">TAL-0073</t>
  </si>
  <si>
    <t xml:space="preserve">TAL-0074</t>
  </si>
  <si>
    <t xml:space="preserve">TAL-0075</t>
  </si>
  <si>
    <t xml:space="preserve">TAL-0076</t>
  </si>
  <si>
    <t xml:space="preserve">TAL-0077</t>
  </si>
  <si>
    <t xml:space="preserve">TAL-0078</t>
  </si>
  <si>
    <t xml:space="preserve">TAL-0079</t>
  </si>
  <si>
    <t xml:space="preserve">TAL-0080</t>
  </si>
  <si>
    <t xml:space="preserve">Verification log</t>
  </si>
  <si>
    <t xml:space="preserve">Every identity case: who opened it, when, how long it took, what was decided. Days open is a formula, so it recalculates against real dates.</t>
  </si>
  <si>
    <t xml:space="preserve">Case</t>
  </si>
  <si>
    <t xml:space="preserve">Opened</t>
  </si>
  <si>
    <t xml:space="preserve">Closed</t>
  </si>
  <si>
    <t xml:space="preserve">Days open</t>
  </si>
  <si>
    <t xml:space="preserve">Officer</t>
  </si>
  <si>
    <t xml:space="preserve">VC-0001</t>
  </si>
  <si>
    <t xml:space="preserve">Passed</t>
  </si>
  <si>
    <t xml:space="preserve">Family record</t>
  </si>
  <si>
    <t xml:space="preserve">VC-0002</t>
  </si>
  <si>
    <t xml:space="preserve">Driving licence</t>
  </si>
  <si>
    <t xml:space="preserve">VC-0003</t>
  </si>
  <si>
    <t xml:space="preserve">Passport</t>
  </si>
  <si>
    <t xml:space="preserve">VC-0004</t>
  </si>
  <si>
    <t xml:space="preserve">National identity card</t>
  </si>
  <si>
    <t xml:space="preserve">VC-0005</t>
  </si>
  <si>
    <t xml:space="preserve">VC-0006</t>
  </si>
  <si>
    <t xml:space="preserve">VC-0007</t>
  </si>
  <si>
    <t xml:space="preserve">VC-0008</t>
  </si>
  <si>
    <t xml:space="preserve">VC-0009</t>
  </si>
  <si>
    <t xml:space="preserve">Escalated</t>
  </si>
  <si>
    <t xml:space="preserve">VC-0010</t>
  </si>
  <si>
    <t xml:space="preserve">VC-0011</t>
  </si>
  <si>
    <t xml:space="preserve">VC-0012</t>
  </si>
  <si>
    <t xml:space="preserve">VC-0013</t>
  </si>
  <si>
    <t xml:space="preserve">VC-0014</t>
  </si>
  <si>
    <t xml:space="preserve">VC-0015</t>
  </si>
  <si>
    <t xml:space="preserve">VC-0016</t>
  </si>
  <si>
    <t xml:space="preserve">VC-0017</t>
  </si>
  <si>
    <t xml:space="preserve">VC-0018</t>
  </si>
  <si>
    <t xml:space="preserve">VC-0019</t>
  </si>
  <si>
    <t xml:space="preserve">VC-0020</t>
  </si>
  <si>
    <t xml:space="preserve">VC-0021</t>
  </si>
  <si>
    <t xml:space="preserve">VC-0022</t>
  </si>
  <si>
    <t xml:space="preserve">VC-0023</t>
  </si>
  <si>
    <t xml:space="preserve">VC-0024</t>
  </si>
  <si>
    <t xml:space="preserve">VC-0025</t>
  </si>
  <si>
    <t xml:space="preserve">VC-0026</t>
  </si>
  <si>
    <t xml:space="preserve">VC-0027</t>
  </si>
  <si>
    <t xml:space="preserve">VC-0028</t>
  </si>
  <si>
    <t xml:space="preserve">VC-0029</t>
  </si>
  <si>
    <t xml:space="preserve">VC-0030</t>
  </si>
  <si>
    <t xml:space="preserve">VC-0031</t>
  </si>
  <si>
    <t xml:space="preserve">VC-0032</t>
  </si>
  <si>
    <t xml:space="preserve">VC-0033</t>
  </si>
  <si>
    <t xml:space="preserve">VC-0034</t>
  </si>
  <si>
    <t xml:space="preserve">VC-0035</t>
  </si>
  <si>
    <t xml:space="preserve">VC-0036</t>
  </si>
  <si>
    <t xml:space="preserve">VC-0037</t>
  </si>
  <si>
    <t xml:space="preserve">VC-0038</t>
  </si>
  <si>
    <t xml:space="preserve">VC-0039</t>
  </si>
  <si>
    <t xml:space="preserve">VC-0040</t>
  </si>
  <si>
    <t xml:space="preserve">VC-0041</t>
  </si>
  <si>
    <t xml:space="preserve">VC-0042</t>
  </si>
  <si>
    <t xml:space="preserve">VC-0043</t>
  </si>
  <si>
    <t xml:space="preserve">VC-0044</t>
  </si>
  <si>
    <t xml:space="preserve">VC-0045</t>
  </si>
  <si>
    <t xml:space="preserve">VC-0046</t>
  </si>
  <si>
    <t xml:space="preserve">VC-0047</t>
  </si>
  <si>
    <t xml:space="preserve">VC-0048</t>
  </si>
  <si>
    <t xml:space="preserve">VC-0049</t>
  </si>
  <si>
    <t xml:space="preserve">VC-0050</t>
  </si>
  <si>
    <t xml:space="preserve">Assessment log</t>
  </si>
  <si>
    <t xml:space="preserve">Every attempt, its score, its outcome and whether it was moderated. Every failure is moderated without exception.</t>
  </si>
  <si>
    <t xml:space="preserve">Attempt</t>
  </si>
  <si>
    <t xml:space="preserve">Task</t>
  </si>
  <si>
    <t xml:space="preserve">Scored</t>
  </si>
  <si>
    <t xml:space="preserve">Turnaround days</t>
  </si>
  <si>
    <t xml:space="preserve">Score</t>
  </si>
  <si>
    <t xml:space="preserve">Scorer</t>
  </si>
  <si>
    <t xml:space="preserve">Moderated</t>
  </si>
  <si>
    <t xml:space="preserve">AT-0001</t>
  </si>
  <si>
    <t xml:space="preserve">TSK-04</t>
  </si>
  <si>
    <t xml:space="preserve">AT-0002</t>
  </si>
  <si>
    <t xml:space="preserve">TSK-07</t>
  </si>
  <si>
    <t xml:space="preserve">AT-0003</t>
  </si>
  <si>
    <t xml:space="preserve">TSK-01</t>
  </si>
  <si>
    <t xml:space="preserve">AT-0004</t>
  </si>
  <si>
    <t xml:space="preserve">AT-0005</t>
  </si>
  <si>
    <t xml:space="preserve">AT-0006</t>
  </si>
  <si>
    <t xml:space="preserve">AT-0007</t>
  </si>
  <si>
    <t xml:space="preserve">AT-0008</t>
  </si>
  <si>
    <t xml:space="preserve">AT-0009</t>
  </si>
  <si>
    <t xml:space="preserve">AT-0010</t>
  </si>
  <si>
    <t xml:space="preserve">AT-0011</t>
  </si>
  <si>
    <t xml:space="preserve">AT-0012</t>
  </si>
  <si>
    <t xml:space="preserve">AT-0013</t>
  </si>
  <si>
    <t xml:space="preserve">AT-0014</t>
  </si>
  <si>
    <t xml:space="preserve">AT-0015</t>
  </si>
  <si>
    <t xml:space="preserve">AT-0016</t>
  </si>
  <si>
    <t xml:space="preserve">AT-0017</t>
  </si>
  <si>
    <t xml:space="preserve">AT-0018</t>
  </si>
  <si>
    <t xml:space="preserve">AT-0019</t>
  </si>
  <si>
    <t xml:space="preserve">AT-0020</t>
  </si>
  <si>
    <t xml:space="preserve">AT-0021</t>
  </si>
  <si>
    <t xml:space="preserve">AT-0022</t>
  </si>
  <si>
    <t xml:space="preserve">AT-0023</t>
  </si>
  <si>
    <t xml:space="preserve">AT-0024</t>
  </si>
  <si>
    <t xml:space="preserve">AT-0025</t>
  </si>
  <si>
    <t xml:space="preserve">AT-0026</t>
  </si>
  <si>
    <t xml:space="preserve">AT-0027</t>
  </si>
  <si>
    <t xml:space="preserve">AT-0028</t>
  </si>
  <si>
    <t xml:space="preserve">AT-0029</t>
  </si>
  <si>
    <t xml:space="preserve">AT-0030</t>
  </si>
  <si>
    <t xml:space="preserve">AT-0031</t>
  </si>
  <si>
    <t xml:space="preserve">AT-0032</t>
  </si>
  <si>
    <t xml:space="preserve">AT-0033</t>
  </si>
  <si>
    <t xml:space="preserve">AT-0034</t>
  </si>
  <si>
    <t xml:space="preserve">AT-0035</t>
  </si>
  <si>
    <t xml:space="preserve">AT-0036</t>
  </si>
  <si>
    <t xml:space="preserve">AT-0037</t>
  </si>
  <si>
    <t xml:space="preserve">AT-0038</t>
  </si>
  <si>
    <t xml:space="preserve">AT-0039</t>
  </si>
  <si>
    <t xml:space="preserve">AT-0040</t>
  </si>
  <si>
    <t xml:space="preserve">AT-0041</t>
  </si>
  <si>
    <t xml:space="preserve">AT-0042</t>
  </si>
  <si>
    <t xml:space="preserve">AT-0043</t>
  </si>
  <si>
    <t xml:space="preserve">AT-0044</t>
  </si>
  <si>
    <t xml:space="preserve">AT-0045</t>
  </si>
  <si>
    <t xml:space="preserve">AT-0046</t>
  </si>
  <si>
    <t xml:space="preserve">AT-0047</t>
  </si>
  <si>
    <t xml:space="preserve">AT-0048</t>
  </si>
  <si>
    <t xml:space="preserve">AT-0049</t>
  </si>
  <si>
    <t xml:space="preserve">AT-0050</t>
  </si>
  <si>
    <t xml:space="preserve">AT-0051</t>
  </si>
  <si>
    <t xml:space="preserve">AT-0052</t>
  </si>
  <si>
    <t xml:space="preserve">AT-0053</t>
  </si>
  <si>
    <t xml:space="preserve">AT-0054</t>
  </si>
  <si>
    <t xml:space="preserve">AT-0055</t>
  </si>
  <si>
    <t xml:space="preserve">AT-0056</t>
  </si>
  <si>
    <t xml:space="preserve">AT-0057</t>
  </si>
  <si>
    <t xml:space="preserve">AT-0058</t>
  </si>
  <si>
    <t xml:space="preserve">AT-0059</t>
  </si>
  <si>
    <t xml:space="preserve">AT-0060</t>
  </si>
  <si>
    <t xml:space="preserve">Every pod formed: its size, its composition against the rules, and how it performed. Composition compliance is a formula, so it cannot be fudged.</t>
  </si>
  <si>
    <t xml:space="preserve">Engagement</t>
  </si>
  <si>
    <t xml:space="preserve">Formed</t>
  </si>
  <si>
    <t xml:space="preserve">Members</t>
  </si>
  <si>
    <t xml:space="preserve">Lead tier</t>
  </si>
  <si>
    <t xml:space="preserve">Woman on pod</t>
  </si>
  <si>
    <t xml:space="preserve">Aden presence</t>
  </si>
  <si>
    <t xml:space="preserve">First-pass gate</t>
  </si>
  <si>
    <t xml:space="preserve">Composition compliant</t>
  </si>
  <si>
    <t xml:space="preserve">POD-0001</t>
  </si>
  <si>
    <t xml:space="preserve">ENG-0001</t>
  </si>
  <si>
    <t xml:space="preserve">POD-0002</t>
  </si>
  <si>
    <t xml:space="preserve">ENG-0002</t>
  </si>
  <si>
    <t xml:space="preserve">POD-0003</t>
  </si>
  <si>
    <t xml:space="preserve">ENG-0003</t>
  </si>
  <si>
    <t xml:space="preserve">Delivered</t>
  </si>
  <si>
    <t xml:space="preserve">POD-0004</t>
  </si>
  <si>
    <t xml:space="preserve">ENG-0004</t>
  </si>
  <si>
    <t xml:space="preserve">POD-0005</t>
  </si>
  <si>
    <t xml:space="preserve">ENG-0005</t>
  </si>
  <si>
    <t xml:space="preserve">POD-0006</t>
  </si>
  <si>
    <t xml:space="preserve">ENG-0006</t>
  </si>
  <si>
    <t xml:space="preserve">POD-0007</t>
  </si>
  <si>
    <t xml:space="preserve">ENG-0007</t>
  </si>
  <si>
    <t xml:space="preserve">POD-0008</t>
  </si>
  <si>
    <t xml:space="preserve">ENG-0008</t>
  </si>
  <si>
    <t xml:space="preserve">POD-0009</t>
  </si>
  <si>
    <t xml:space="preserve">ENG-0009</t>
  </si>
  <si>
    <t xml:space="preserve">POD-0010</t>
  </si>
  <si>
    <t xml:space="preserve">ENG-0010</t>
  </si>
  <si>
    <t xml:space="preserve">POD-0011</t>
  </si>
  <si>
    <t xml:space="preserve">ENG-0011</t>
  </si>
  <si>
    <t xml:space="preserve">POD-0012</t>
  </si>
  <si>
    <t xml:space="preserve">ENG-0012</t>
  </si>
  <si>
    <t xml:space="preserve">POD-0013</t>
  </si>
  <si>
    <t xml:space="preserve">ENG-0013</t>
  </si>
  <si>
    <t xml:space="preserve">POD-0014</t>
  </si>
  <si>
    <t xml:space="preserve">ENG-0014</t>
  </si>
  <si>
    <t xml:space="preserve">POD-0015</t>
  </si>
  <si>
    <t xml:space="preserve">ENG-0015</t>
  </si>
  <si>
    <t xml:space="preserve">POD-0016</t>
  </si>
  <si>
    <t xml:space="preserve">ENG-0016</t>
  </si>
  <si>
    <t xml:space="preserve">POD-0017</t>
  </si>
  <si>
    <t xml:space="preserve">ENG-0017</t>
  </si>
  <si>
    <t xml:space="preserve">POD-0018</t>
  </si>
  <si>
    <t xml:space="preserve">ENG-0018</t>
  </si>
  <si>
    <t xml:space="preserve">POD-0019</t>
  </si>
  <si>
    <t xml:space="preserve">ENG-0019</t>
  </si>
  <si>
    <t xml:space="preserve">POD-0020</t>
  </si>
  <si>
    <t xml:space="preserve">ENG-0020</t>
  </si>
  <si>
    <t xml:space="preserve">POD-0021</t>
  </si>
  <si>
    <t xml:space="preserve">ENG-0021</t>
  </si>
  <si>
    <t xml:space="preserve">POD-0022</t>
  </si>
  <si>
    <t xml:space="preserve">ENG-0022</t>
  </si>
  <si>
    <t xml:space="preserve">POD-0023</t>
  </si>
  <si>
    <t xml:space="preserve">ENG-0023</t>
  </si>
  <si>
    <t xml:space="preserve">POD-0024</t>
  </si>
  <si>
    <t xml:space="preserve">ENG-0024</t>
  </si>
  <si>
    <t xml:space="preserve">POD-0025</t>
  </si>
  <si>
    <t xml:space="preserve">ENG-0025</t>
  </si>
  <si>
    <t xml:space="preserve">POD-0026</t>
  </si>
  <si>
    <t xml:space="preserve">ENG-0026</t>
  </si>
  <si>
    <t xml:space="preserve">POD-0027</t>
  </si>
  <si>
    <t xml:space="preserve">ENG-0027</t>
  </si>
  <si>
    <t xml:space="preserve">POD-0028</t>
  </si>
  <si>
    <t xml:space="preserve">ENG-0028</t>
  </si>
  <si>
    <t xml:space="preserve">POD-0029</t>
  </si>
  <si>
    <t xml:space="preserve">ENG-0029</t>
  </si>
  <si>
    <t xml:space="preserve">POD-0030</t>
  </si>
  <si>
    <t xml:space="preserve">ENG-0030</t>
  </si>
  <si>
    <t xml:space="preserve">Points ledger</t>
  </si>
  <si>
    <t xml:space="preserve">Append only. Corrections are new rows with a reason, never edits. Balances are computed, never stored.</t>
  </si>
  <si>
    <t xml:space="preserve">Entry</t>
  </si>
  <si>
    <t xml:space="preserve">Direction</t>
  </si>
  <si>
    <t xml:space="preserve">PL-0001</t>
  </si>
  <si>
    <t xml:space="preserve">Earned</t>
  </si>
  <si>
    <t xml:space="preserve">Validated</t>
  </si>
  <si>
    <t xml:space="preserve">PL-0002</t>
  </si>
  <si>
    <t xml:space="preserve">PL-0003</t>
  </si>
  <si>
    <t xml:space="preserve">PL-0004</t>
  </si>
  <si>
    <t xml:space="preserve">Redeemed</t>
  </si>
  <si>
    <t xml:space="preserve">PL-0005</t>
  </si>
  <si>
    <t xml:space="preserve">PL-0006</t>
  </si>
  <si>
    <t xml:space="preserve">PL-0007</t>
  </si>
  <si>
    <t xml:space="preserve">PL-0008</t>
  </si>
  <si>
    <t xml:space="preserve">PL-0009</t>
  </si>
  <si>
    <t xml:space="preserve">PL-0010</t>
  </si>
  <si>
    <t xml:space="preserve">PL-0011</t>
  </si>
  <si>
    <t xml:space="preserve">PL-0012</t>
  </si>
  <si>
    <t xml:space="preserve">PL-0013</t>
  </si>
  <si>
    <t xml:space="preserve">PL-0014</t>
  </si>
  <si>
    <t xml:space="preserve">PL-0015</t>
  </si>
  <si>
    <t xml:space="preserve">PL-0016</t>
  </si>
  <si>
    <t xml:space="preserve">PL-0017</t>
  </si>
  <si>
    <t xml:space="preserve">PL-0018</t>
  </si>
  <si>
    <t xml:space="preserve">PL-0019</t>
  </si>
  <si>
    <t xml:space="preserve">PL-0020</t>
  </si>
  <si>
    <t xml:space="preserve">PL-0021</t>
  </si>
  <si>
    <t xml:space="preserve">PL-0022</t>
  </si>
  <si>
    <t xml:space="preserve">PL-0023</t>
  </si>
  <si>
    <t xml:space="preserve">PL-0024</t>
  </si>
  <si>
    <t xml:space="preserve">PL-0025</t>
  </si>
  <si>
    <t xml:space="preserve">PL-0026</t>
  </si>
  <si>
    <t xml:space="preserve">PL-0027</t>
  </si>
  <si>
    <t xml:space="preserve">PL-0028</t>
  </si>
  <si>
    <t xml:space="preserve">PL-0029</t>
  </si>
  <si>
    <t xml:space="preserve">PL-0030</t>
  </si>
  <si>
    <t xml:space="preserve">PL-0031</t>
  </si>
  <si>
    <t xml:space="preserve">PL-0032</t>
  </si>
  <si>
    <t xml:space="preserve">PL-0033</t>
  </si>
  <si>
    <t xml:space="preserve">PL-0034</t>
  </si>
  <si>
    <t xml:space="preserve">PL-0035</t>
  </si>
  <si>
    <t xml:space="preserve">PL-0036</t>
  </si>
  <si>
    <t xml:space="preserve">PL-0037</t>
  </si>
  <si>
    <t xml:space="preserve">PL-0038</t>
  </si>
  <si>
    <t xml:space="preserve">PL-0039</t>
  </si>
  <si>
    <t xml:space="preserve">PL-0040</t>
  </si>
  <si>
    <t xml:space="preserve">PL-0041</t>
  </si>
  <si>
    <t xml:space="preserve">PL-0042</t>
  </si>
  <si>
    <t xml:space="preserve">PL-0043</t>
  </si>
  <si>
    <t xml:space="preserve">PL-0044</t>
  </si>
  <si>
    <t xml:space="preserve">PL-0045</t>
  </si>
  <si>
    <t xml:space="preserve">PL-0046</t>
  </si>
  <si>
    <t xml:space="preserve">PL-0047</t>
  </si>
  <si>
    <t xml:space="preserve">PL-0048</t>
  </si>
  <si>
    <t xml:space="preserve">PL-0049</t>
  </si>
  <si>
    <t xml:space="preserve">PL-0050</t>
  </si>
  <si>
    <t xml:space="preserve">PL-0051</t>
  </si>
  <si>
    <t xml:space="preserve">PL-0052</t>
  </si>
  <si>
    <t xml:space="preserve">PL-0053</t>
  </si>
  <si>
    <t xml:space="preserve">PL-0054</t>
  </si>
  <si>
    <t xml:space="preserve">PL-0055</t>
  </si>
  <si>
    <t xml:space="preserve">PL-0056</t>
  </si>
  <si>
    <t xml:space="preserve">PL-0057</t>
  </si>
  <si>
    <t xml:space="preserve">PL-0058</t>
  </si>
  <si>
    <t xml:space="preserve">PL-0059</t>
  </si>
  <si>
    <t xml:space="preserve">PL-0060</t>
  </si>
  <si>
    <t xml:space="preserve">Card register</t>
  </si>
  <si>
    <t xml:space="preserve">Every credential and its state. Validity is computed against today, so an expired card shows as expired the moment it is.</t>
  </si>
  <si>
    <t xml:space="preserve">Issued</t>
  </si>
  <si>
    <t xml:space="preserve">Expires</t>
  </si>
  <si>
    <t xml:space="preserve">KC-T-0001</t>
  </si>
  <si>
    <t xml:space="preserve">KC-T-0002</t>
  </si>
  <si>
    <t xml:space="preserve">KC-T-0003</t>
  </si>
  <si>
    <t xml:space="preserve">KC-T-0004</t>
  </si>
  <si>
    <t xml:space="preserve">KC-T-0005</t>
  </si>
  <si>
    <t xml:space="preserve">KC-T-0006</t>
  </si>
  <si>
    <t xml:space="preserve">KC-T-0007</t>
  </si>
  <si>
    <t xml:space="preserve">KC-T-0008</t>
  </si>
  <si>
    <t xml:space="preserve">KC-T-0009</t>
  </si>
  <si>
    <t xml:space="preserve">KC-T-0010</t>
  </si>
  <si>
    <t xml:space="preserve">KC-T-0011</t>
  </si>
  <si>
    <t xml:space="preserve">KC-T-0012</t>
  </si>
  <si>
    <t xml:space="preserve">KC-T-0013</t>
  </si>
  <si>
    <t xml:space="preserve">KC-T-0014</t>
  </si>
  <si>
    <t xml:space="preserve">KC-T-0015</t>
  </si>
  <si>
    <t xml:space="preserve">KC-T-0016</t>
  </si>
  <si>
    <t xml:space="preserve">KC-T-0017</t>
  </si>
  <si>
    <t xml:space="preserve">KC-T-0018</t>
  </si>
  <si>
    <t xml:space="preserve">KC-T-0019</t>
  </si>
  <si>
    <t xml:space="preserve">KC-T-0020</t>
  </si>
  <si>
    <t xml:space="preserve">KC-T-0021</t>
  </si>
  <si>
    <t xml:space="preserve">KC-T-0022</t>
  </si>
  <si>
    <t xml:space="preserve">KC-T-0023</t>
  </si>
  <si>
    <t xml:space="preserve">KC-T-0024</t>
  </si>
  <si>
    <t xml:space="preserve">KC-T-0025</t>
  </si>
  <si>
    <t xml:space="preserve">KC-T-0026</t>
  </si>
  <si>
    <t xml:space="preserve">KC-T-0027</t>
  </si>
  <si>
    <t xml:space="preserve">KC-T-0028</t>
  </si>
  <si>
    <t xml:space="preserve">KC-T-0029</t>
  </si>
  <si>
    <t xml:space="preserve">KC-T-0030</t>
  </si>
  <si>
    <t xml:space="preserve">KC-T-0031</t>
  </si>
  <si>
    <t xml:space="preserve">KC-T-0032</t>
  </si>
  <si>
    <t xml:space="preserve">KC-T-0033</t>
  </si>
  <si>
    <t xml:space="preserve">KC-T-0034</t>
  </si>
  <si>
    <t xml:space="preserve">KC-T-0035</t>
  </si>
  <si>
    <t xml:space="preserve">KC-T-0036</t>
  </si>
  <si>
    <t xml:space="preserve">KC-T-0037</t>
  </si>
  <si>
    <t xml:space="preserve">KC-T-0038</t>
  </si>
  <si>
    <t xml:space="preserve">KC-T-0039</t>
  </si>
  <si>
    <t xml:space="preserve">KC-T-0040</t>
  </si>
  <si>
    <t xml:space="preserve">KC-T-0041</t>
  </si>
  <si>
    <t xml:space="preserve">KC-T-0042</t>
  </si>
  <si>
    <t xml:space="preserve">KC-T-0043</t>
  </si>
  <si>
    <t xml:space="preserve">KC-T-0044</t>
  </si>
  <si>
    <t xml:space="preserve">KC-T-0045</t>
  </si>
  <si>
    <t xml:space="preserve">KC-T-0046</t>
  </si>
  <si>
    <t xml:space="preserve">KC-T-0047</t>
  </si>
  <si>
    <t xml:space="preserve">KC-T-0048</t>
  </si>
  <si>
    <t xml:space="preserve">KC-T-0049</t>
  </si>
  <si>
    <t xml:space="preserve">KC-T-0050</t>
  </si>
  <si>
    <t xml:space="preserve">KAYAN  ·  KAY-TOS-001  ·  DASHBOARD</t>
  </si>
  <si>
    <t xml:space="preserve">Talent system dashboard</t>
  </si>
  <si>
    <t xml:space="preserve">Every figure is a live formula reading the registers. Change a register row and this recalculates. Targets are placeholders until the first quarter of real data exists, because a target invented before the data is a guess with a decimal point.</t>
  </si>
  <si>
    <t xml:space="preserve">Indicator</t>
  </si>
  <si>
    <t xml:space="preserve">How it is read</t>
  </si>
  <si>
    <t xml:space="preserve">POPULATION</t>
  </si>
  <si>
    <t xml:space="preserve">K-01</t>
  </si>
  <si>
    <t xml:space="preserve">Registry, all tiers</t>
  </si>
  <si>
    <t xml:space="preserve">[[PH-T-T0]]</t>
  </si>
  <si>
    <t xml:space="preserve">Everyone with a record, including T0.</t>
  </si>
  <si>
    <t xml:space="preserve">At T0 — registered, unverified</t>
  </si>
  <si>
    <t xml:space="preserve">Not yet placeable. A large number here is a warning, not an achievement.</t>
  </si>
  <si>
    <t xml:space="preserve">At T1 — identified</t>
  </si>
  <si>
    <t xml:space="preserve">At T2 — verified</t>
  </si>
  <si>
    <t xml:space="preserve">At T3 — proven</t>
  </si>
  <si>
    <t xml:space="preserve">The pod-lead pool. This number caps how many pods can run at once.</t>
  </si>
  <si>
    <t xml:space="preserve">At T4 — trusted</t>
  </si>
  <si>
    <t xml:space="preserve">Annual renewal. Never permanent.</t>
  </si>
  <si>
    <t xml:space="preserve">Placeable, T1 and above</t>
  </si>
  <si>
    <t xml:space="preserve">The only figure that may be quoted to a client.</t>
  </si>
  <si>
    <t xml:space="preserve">FUNNEL AND CONVERSION</t>
  </si>
  <si>
    <t xml:space="preserve">K-08</t>
  </si>
  <si>
    <t xml:space="preserve">T0 to T1 conversion</t>
  </si>
  <si>
    <t xml:space="preserve">[[PH-T-CONV1]]</t>
  </si>
  <si>
    <t xml:space="preserve">Share of the registry that has cleared identity and skill.</t>
  </si>
  <si>
    <t xml:space="preserve">K-09</t>
  </si>
  <si>
    <t xml:space="preserve">T2 and above as a share</t>
  </si>
  <si>
    <t xml:space="preserve">[[PH-T-CONV2]]</t>
  </si>
  <si>
    <t xml:space="preserve">The commercially useful core of the registry.</t>
  </si>
  <si>
    <t xml:space="preserve">K-04</t>
  </si>
  <si>
    <t xml:space="preserve">Identity pass rate</t>
  </si>
  <si>
    <t xml:space="preserve">[[PH-T-IDV]]</t>
  </si>
  <si>
    <t xml:space="preserve">A very high rate may mean the check is not real.</t>
  </si>
  <si>
    <t xml:space="preserve">K-05</t>
  </si>
  <si>
    <t xml:space="preserve">Median identity turnaround, days</t>
  </si>
  <si>
    <t xml:space="preserve">[[PH-T-IDV-HRS]]</t>
  </si>
  <si>
    <t xml:space="preserve">Against the published service level.</t>
  </si>
  <si>
    <t xml:space="preserve">K-06</t>
  </si>
  <si>
    <t xml:space="preserve">Assessment pass rate</t>
  </si>
  <si>
    <t xml:space="preserve">[[PH-T-ASM]]</t>
  </si>
  <si>
    <t xml:space="preserve">Outside the band for two cycles means the rubric or the task is wrong, not the applicants.</t>
  </si>
  <si>
    <t xml:space="preserve">K-07</t>
  </si>
  <si>
    <t xml:space="preserve">Median scoring turnaround, days</t>
  </si>
  <si>
    <t xml:space="preserve">[[PH-T-ASM-HRS]]</t>
  </si>
  <si>
    <t xml:space="preserve">Mean assessment score</t>
  </si>
  <si>
    <t xml:space="preserve">Drift over time signals task inflation or rubric drift.</t>
  </si>
  <si>
    <t xml:space="preserve">Attempts moderated</t>
  </si>
  <si>
    <t xml:space="preserve">Every failure plus a fixed sample.</t>
  </si>
  <si>
    <t xml:space="preserve">ACTIVATION AND DELIVERY</t>
  </si>
  <si>
    <t xml:space="preserve">K-11</t>
  </si>
  <si>
    <t xml:space="preserve">Share of registry ever placed</t>
  </si>
  <si>
    <t xml:space="preserve">[[PH-T-PLACED]]</t>
  </si>
  <si>
    <t xml:space="preserve">The single most important number in this workbook. A registry nobody works in is a list.</t>
  </si>
  <si>
    <t xml:space="preserve">Total accepted deliveries</t>
  </si>
  <si>
    <t xml:space="preserve">Mean rating across placed talent</t>
  </si>
  <si>
    <t xml:space="preserve">Pods formed</t>
  </si>
  <si>
    <t xml:space="preserve">Pods live now</t>
  </si>
  <si>
    <t xml:space="preserve">K-13</t>
  </si>
  <si>
    <t xml:space="preserve">On-time milestone rate</t>
  </si>
  <si>
    <t xml:space="preserve">K-14</t>
  </si>
  <si>
    <t xml:space="preserve">First-pass quality gate rate</t>
  </si>
  <si>
    <t xml:space="preserve">Pods compliant on composition</t>
  </si>
  <si>
    <t xml:space="preserve">100%</t>
  </si>
  <si>
    <t xml:space="preserve">Anything below one hundred needs a recorded reason for each exception.</t>
  </si>
  <si>
    <t xml:space="preserve">INCLUSION</t>
  </si>
  <si>
    <t xml:space="preserve">K-15</t>
  </si>
  <si>
    <t xml:space="preserve">Women as a share of the registry</t>
  </si>
  <si>
    <t xml:space="preserve">[[PH-T-WOMEN]]</t>
  </si>
  <si>
    <t xml:space="preserve">Gender is never a matching input. This is measured, never engineered into placement.</t>
  </si>
  <si>
    <t xml:space="preserve">Women at T2 and above</t>
  </si>
  <si>
    <t xml:space="preserve">If this lags the registry share, the funnel is losing women somewhere. Find where.</t>
  </si>
  <si>
    <t xml:space="preserve">K-16</t>
  </si>
  <si>
    <t xml:space="preserve">Pods meeting the inclusion target</t>
  </si>
  <si>
    <t xml:space="preserve">[[PH-T-PODINC]]</t>
  </si>
  <si>
    <t xml:space="preserve">K-17</t>
  </si>
  <si>
    <t xml:space="preserve">Registry outside Aden</t>
  </si>
  <si>
    <t xml:space="preserve">[[PH-T-GEO]]</t>
  </si>
  <si>
    <t xml:space="preserve">Reach beyond the city Kayan sits in.</t>
  </si>
  <si>
    <t xml:space="preserve">Yemenis registered from abroad</t>
  </si>
  <si>
    <t xml:space="preserve">The diaspora track. Different hours, different payment routes, same ladder.</t>
  </si>
  <si>
    <t xml:space="preserve">HEALTH AND INTEGRITY</t>
  </si>
  <si>
    <t xml:space="preserve">K-18</t>
  </si>
  <si>
    <t xml:space="preserve">[[PH-T-DORM]]</t>
  </si>
  <si>
    <t xml:space="preserve">Reversible. Re-engagement runs before any reduction.</t>
  </si>
  <si>
    <t xml:space="preserve">Every one has an open case and a named owner.</t>
  </si>
  <si>
    <t xml:space="preserve">Verification cases over service level</t>
  </si>
  <si>
    <t xml:space="preserve">0</t>
  </si>
  <si>
    <t xml:space="preserve">Alert AL-01. Any figure above zero is a breach with a name against it.</t>
  </si>
  <si>
    <t xml:space="preserve">Cases escalated</t>
  </si>
  <si>
    <t xml:space="preserve">CREDENTIAL AND CIVIC</t>
  </si>
  <si>
    <t xml:space="preserve">K-24</t>
  </si>
  <si>
    <t xml:space="preserve">Cards issued</t>
  </si>
  <si>
    <t xml:space="preserve">[[PH-T-CARDS]]</t>
  </si>
  <si>
    <t xml:space="preserve">Cards valid</t>
  </si>
  <si>
    <t xml:space="preserve">Cards due for renewal</t>
  </si>
  <si>
    <t xml:space="preserve">Notice goes out at [[PH-CARD-NOTICE]].</t>
  </si>
  <si>
    <t xml:space="preserve">Cards expired</t>
  </si>
  <si>
    <t xml:space="preserve">An expired card on an active talent is an operational failure.</t>
  </si>
  <si>
    <t xml:space="preserve">Points earned to date</t>
  </si>
  <si>
    <t xml:space="preserve">Points redeemed to date</t>
  </si>
  <si>
    <t xml:space="preserve">Points outstanding</t>
  </si>
  <si>
    <t xml:space="preserve">A real liability. It is carried as one.</t>
  </si>
  <si>
    <t xml:space="preserve">Conversion funnel</t>
  </si>
  <si>
    <t xml:space="preserve">Where people are lost. Every stage shows how many reached it and what share of the previous stage that is. The largest fall is the only thing worth working on this month.</t>
  </si>
  <si>
    <t xml:space="preserve">Reaching this stage</t>
  </si>
  <si>
    <t xml:space="preserve">Share of previous</t>
  </si>
  <si>
    <t xml:space="preserve">Live count from the registers</t>
  </si>
  <si>
    <t xml:space="preserve">What drives the loss</t>
  </si>
  <si>
    <t xml:space="preserve">Accounts created</t>
  </si>
  <si>
    <t xml:space="preserve">[[PH-M-ACCOUNTS]]</t>
  </si>
  <si>
    <t xml:space="preserve">Acquisition</t>
  </si>
  <si>
    <t xml:space="preserve">[[PH-M-CHANNEL]]</t>
  </si>
  <si>
    <t xml:space="preserve">Deliverability</t>
  </si>
  <si>
    <t xml:space="preserve">Orientation completed</t>
  </si>
  <si>
    <t xml:space="preserve">[[PH-M-ORIENT]]</t>
  </si>
  <si>
    <t xml:space="preserve">Comprehension</t>
  </si>
  <si>
    <t xml:space="preserve">[[PH-M-REGISTER]]</t>
  </si>
  <si>
    <t xml:space="preserve">Form burden</t>
  </si>
  <si>
    <t xml:space="preserve">[[PH-M-IDSUB]]</t>
  </si>
  <si>
    <t xml:space="preserve">Document anxiety and image quality</t>
  </si>
  <si>
    <t xml:space="preserve">[[PH-M-IDPASS]]</t>
  </si>
  <si>
    <t xml:space="preserve">Queue speed</t>
  </si>
  <si>
    <t xml:space="preserve">[[PH-M-ASMSUB]]</t>
  </si>
  <si>
    <t xml:space="preserve">Task difficulty and connectivity</t>
  </si>
  <si>
    <t xml:space="preserve">[[PH-M-T1]]</t>
  </si>
  <si>
    <t xml:space="preserve">First pod joined</t>
  </si>
  <si>
    <t xml:space="preserve">[[PH-M-POD]]</t>
  </si>
  <si>
    <t xml:space="preserve">Demand, not supply</t>
  </si>
  <si>
    <t xml:space="preserve">[[PH-M-T2]]</t>
  </si>
  <si>
    <t xml:space="preserve">Delivery volume</t>
  </si>
  <si>
    <t xml:space="preserve">Monthly volume targets are placeholders. Live counts read the registers directly. Where a stage has no live source yet, the count appears once the portal is instrumented at phase P7.</t>
  </si>
  <si>
    <t xml:space="preserve">Alert register</t>
  </si>
  <si>
    <t xml:space="preserve">Fifteen alerts. Each names its condition, the position it reaches, the action required and its severity. An alert with no named position is noise.</t>
  </si>
  <si>
    <t xml:space="preserve">Condition</t>
  </si>
  <si>
    <t xml:space="preserve">Goes to</t>
  </si>
  <si>
    <t xml:space="preserve">Required action</t>
  </si>
  <si>
    <t xml:space="preserve">Severity</t>
  </si>
  <si>
    <t xml:space="preserve">AL-01</t>
  </si>
  <si>
    <t xml:space="preserve">Verification case older than the service level</t>
  </si>
  <si>
    <t xml:space="preserve">Queue age exceeds [[PH-SLA-IDV]]</t>
  </si>
  <si>
    <t xml:space="preserve">Reassign or escalate the same day</t>
  </si>
  <si>
    <t xml:space="preserve">AL-02</t>
  </si>
  <si>
    <t xml:space="preserve">Assessment unscored beyond the service level</t>
  </si>
  <si>
    <t xml:space="preserve">Age exceeds [[PH-SLA-ASM]]</t>
  </si>
  <si>
    <t xml:space="preserve">Reassign to the moderator</t>
  </si>
  <si>
    <t xml:space="preserve">AL-03</t>
  </si>
  <si>
    <t xml:space="preserve">Screening hit unresolved</t>
  </si>
  <si>
    <t xml:space="preserve">Open beyond [[PH-SLA-SCREEN]]</t>
  </si>
  <si>
    <t xml:space="preserve">POS-COUNSEL and POS-CEO</t>
  </si>
  <si>
    <t xml:space="preserve">Counsel decision required</t>
  </si>
  <si>
    <t xml:space="preserve">Critical</t>
  </si>
  <si>
    <t xml:space="preserve">AL-04</t>
  </si>
  <si>
    <t xml:space="preserve">Support thread unanswered</t>
  </si>
  <si>
    <t xml:space="preserve">Age exceeds [[PH-SLA-SUPPORT]]</t>
  </si>
  <si>
    <t xml:space="preserve">Answer or escalate</t>
  </si>
  <si>
    <t xml:space="preserve">AL-05</t>
  </si>
  <si>
    <t xml:space="preserve">Registry growth outpacing placement</t>
  </si>
  <si>
    <t xml:space="preserve">Ratio breaches [[PH-T-RATIO]]</t>
  </si>
  <si>
    <t xml:space="preserve">POS-TAL-LEAD and POS-CEO</t>
  </si>
  <si>
    <t xml:space="preserve">Pause recruitment, open Forge and volunteer routes</t>
  </si>
  <si>
    <t xml:space="preserve">AL-06</t>
  </si>
  <si>
    <t xml:space="preserve">Assessment pass rate outside the band</t>
  </si>
  <si>
    <t xml:space="preserve">Outside [[PH-T-ASM-BAND]] for two cycles</t>
  </si>
  <si>
    <t xml:space="preserve">Review rubric calibration and task difficulty</t>
  </si>
  <si>
    <t xml:space="preserve">AL-07</t>
  </si>
  <si>
    <t xml:space="preserve">Scoring variance between assessors</t>
  </si>
  <si>
    <t xml:space="preserve">Above [[PH-T-VARIANCE]]</t>
  </si>
  <si>
    <t xml:space="preserve">Moderation session</t>
  </si>
  <si>
    <t xml:space="preserve">AL-08</t>
  </si>
  <si>
    <t xml:space="preserve">Pod without the inclusion target and no recorded reason</t>
  </si>
  <si>
    <t xml:space="preserve">Any occurrence</t>
  </si>
  <si>
    <t xml:space="preserve">Record the reason or re-form the pod</t>
  </si>
  <si>
    <t xml:space="preserve">AL-09</t>
  </si>
  <si>
    <t xml:space="preserve">Payment name mismatch</t>
  </si>
  <si>
    <t xml:space="preserve">Hold the payout, contact the talent</t>
  </si>
  <si>
    <t xml:space="preserve">AL-10</t>
  </si>
  <si>
    <t xml:space="preserve">Document images past the purge date</t>
  </si>
  <si>
    <t xml:space="preserve">Run the purge, investigate why the job did not</t>
  </si>
  <si>
    <t xml:space="preserve">AL-11</t>
  </si>
  <si>
    <t xml:space="preserve">Restricted bucket accessed outside an open case</t>
  </si>
  <si>
    <t xml:space="preserve">Access review the same day</t>
  </si>
  <si>
    <t xml:space="preserve">AL-12</t>
  </si>
  <si>
    <t xml:space="preserve">Invitation expired without response, twice for one talent</t>
  </si>
  <si>
    <t xml:space="preserve">Second occurrence</t>
  </si>
  <si>
    <t xml:space="preserve">Capacity conversation with the talent</t>
  </si>
  <si>
    <t xml:space="preserve">AL-13</t>
  </si>
  <si>
    <t xml:space="preserve">Card verification rate spike from one source</t>
  </si>
  <si>
    <t xml:space="preserve">Above [[PH-T-VERIFY-SPIKE]]</t>
  </si>
  <si>
    <t xml:space="preserve">Rate limit and investigate scraping</t>
  </si>
  <si>
    <t xml:space="preserve">AL-14</t>
  </si>
  <si>
    <t xml:space="preserve">Safeguarding report received</t>
  </si>
  <si>
    <t xml:space="preserve">Immediate suspension pending investigation</t>
  </si>
  <si>
    <t xml:space="preserve">AL-15</t>
  </si>
  <si>
    <t xml:space="preserve">Erasure request past the legal window</t>
  </si>
  <si>
    <t xml:space="preserve">Age exceeds [[PH-ERASURE]]</t>
  </si>
  <si>
    <t xml:space="preserve">Execute the same day</t>
  </si>
  <si>
    <t xml:space="preserve">Live alert status</t>
  </si>
  <si>
    <t xml:space="preserve">Live value</t>
  </si>
  <si>
    <t xml:space="preserve">Verification cases over the service level</t>
  </si>
  <si>
    <t xml:space="preserve">Assessments awaiting a score beyond the level</t>
  </si>
  <si>
    <t xml:space="preserve">Expired cards still against active talent</t>
  </si>
  <si>
    <t xml:space="preserve">Pods failing composition compliance</t>
  </si>
  <si>
    <t xml:space="preserve">Suspended talent with an open case</t>
  </si>
  <si>
    <t xml:space="preserve">Capacity and load</t>
  </si>
  <si>
    <t xml:space="preserve">What the team can actually hold. This system is run by interns supervised by assistant-level leads, so capacity is the binding constraint on how fast the registry may grow.</t>
  </si>
  <si>
    <t xml:space="preserve">Heads</t>
  </si>
  <si>
    <t xml:space="preserve">Hours a day</t>
  </si>
  <si>
    <t xml:space="preserve">Unit of work</t>
  </si>
  <si>
    <t xml:space="preserve">Units a day per head</t>
  </si>
  <si>
    <t xml:space="preserve">Monthly ceiling</t>
  </si>
  <si>
    <t xml:space="preserve">Applicant support</t>
  </si>
  <si>
    <t xml:space="preserve">[[PH-CAP-SUP-N]]</t>
  </si>
  <si>
    <t xml:space="preserve">[[PH-CAP-HOURS]]</t>
  </si>
  <si>
    <t xml:space="preserve">Support thread</t>
  </si>
  <si>
    <t xml:space="preserve">[[PH-CAP-SUP-U]]</t>
  </si>
  <si>
    <t xml:space="preserve">[[PH-CAP-SUP-M]]</t>
  </si>
  <si>
    <t xml:space="preserve">[[PH-CAP-VER-N]]</t>
  </si>
  <si>
    <t xml:space="preserve">Verification case</t>
  </si>
  <si>
    <t xml:space="preserve">[[PH-CAP-VER-U]]</t>
  </si>
  <si>
    <t xml:space="preserve">[[PH-CAP-VER-M]]</t>
  </si>
  <si>
    <t xml:space="preserve">[[PH-CAP-ASM-N]]</t>
  </si>
  <si>
    <t xml:space="preserve">Scored attempt</t>
  </si>
  <si>
    <t xml:space="preserve">[[PH-CAP-ASM-U]]</t>
  </si>
  <si>
    <t xml:space="preserve">[[PH-CAP-ASM-M]]</t>
  </si>
  <si>
    <t xml:space="preserve">Verification interviews</t>
  </si>
  <si>
    <t xml:space="preserve">[[PH-CAP-INT-N]]</t>
  </si>
  <si>
    <t xml:space="preserve">Interview</t>
  </si>
  <si>
    <t xml:space="preserve">[[PH-CAP-INT-U]]</t>
  </si>
  <si>
    <t xml:space="preserve">[[PH-CAP-INT-M]]</t>
  </si>
  <si>
    <t xml:space="preserve">[[PH-CAP-REF-N]]</t>
  </si>
  <si>
    <t xml:space="preserve">Reference set</t>
  </si>
  <si>
    <t xml:space="preserve">[[PH-CAP-REF-U]]</t>
  </si>
  <si>
    <t xml:space="preserve">[[PH-CAP-REF-M]]</t>
  </si>
  <si>
    <t xml:space="preserve">1</t>
  </si>
  <si>
    <t xml:space="preserve">Decision</t>
  </si>
  <si>
    <t xml:space="preserve">[[PH-CAP-TIER-U]]</t>
  </si>
  <si>
    <t xml:space="preserve">[[PH-CAP-TIER-M]]</t>
  </si>
  <si>
    <t xml:space="preserve">Pod assembly</t>
  </si>
  <si>
    <t xml:space="preserve">[[PH-CAP-POD-N]]</t>
  </si>
  <si>
    <t xml:space="preserve">Pod assembled</t>
  </si>
  <si>
    <t xml:space="preserve">[[PH-CAP-POD-U]]</t>
  </si>
  <si>
    <t xml:space="preserve">[[PH-CAP-POD-M]]</t>
  </si>
  <si>
    <t xml:space="preserve">Volunteer coordination</t>
  </si>
  <si>
    <t xml:space="preserve">[[PH-CAP-VOL-N]]</t>
  </si>
  <si>
    <t xml:space="preserve">Shift validated</t>
  </si>
  <si>
    <t xml:space="preserve">[[PH-CAP-VOL-U]]</t>
  </si>
  <si>
    <t xml:space="preserve">[[PH-CAP-VOL-M]]</t>
  </si>
  <si>
    <t xml:space="preserve">Recruit against capacity, not against ambition</t>
  </si>
  <si>
    <t xml:space="preserve">Registration is throttled to what the verification queue can clear inside its service level. A queue that grows faster than it clears destroys trust faster than a closed door.</t>
  </si>
  <si>
    <t xml:space="preserve">Interns run this, and that is a design input</t>
  </si>
  <si>
    <t xml:space="preserve">Every procedure is written to be executed by someone in their second week. Where a task cannot be, it is not given to an intern.</t>
  </si>
  <si>
    <t xml:space="preserve">Cross-train every function to two people</t>
  </si>
  <si>
    <t xml:space="preserve">No single position code may be the only one able to clear a queue. Handover packs are mandatory at every change.</t>
  </si>
  <si>
    <t xml:space="preserve">Assistant level first</t>
  </si>
  <si>
    <t xml:space="preserve">Lead roles are filled at assistant grade and upgraded to Lead only when the revenue trigger is met. Every job announcement states the grade plainly.</t>
  </si>
  <si>
    <t xml:space="preserve">Throttle, never silently queue</t>
  </si>
  <si>
    <t xml:space="preserve">When capacity is reached, registration for the affected specialisation is paused with an honest message and a date, not left open to accumulate.</t>
  </si>
  <si>
    <t xml:space="preserve">Demand governs supply</t>
  </si>
  <si>
    <t xml:space="preserve">The registry grows against live pod demand. Recruitment pauses when the ratio of placeable talent to live seats breaches its threshold.</t>
  </si>
  <si>
    <t xml:space="preserve">KAYAN  ·  KAY-TOS-001  ·  PLAN</t>
  </si>
  <si>
    <t xml:space="preserve">Build phases</t>
  </si>
  <si>
    <t xml:space="preserve">Nine phases. Automation comes late on purpose: it must automate a process that already works by hand, otherwise it automates a mistake and makes it fast.</t>
  </si>
  <si>
    <t xml:space="preserve">Phase</t>
  </si>
  <si>
    <t xml:space="preserve">Why in this order</t>
  </si>
  <si>
    <t xml:space="preserve">Duration</t>
  </si>
  <si>
    <t xml:space="preserve">Done when</t>
  </si>
  <si>
    <t xml:space="preserve">P0</t>
  </si>
  <si>
    <t xml:space="preserve">Foundation</t>
  </si>
  <si>
    <t xml:space="preserve">Data model, authentication, account and channel verification, audit event spine, the taxonomy as reference data.</t>
  </si>
  <si>
    <t xml:space="preserve">Nothing else can be built on sand. The audit table exists before the first record it will describe.</t>
  </si>
  <si>
    <t xml:space="preserve">[[PH-P0-WEEKS]]</t>
  </si>
  <si>
    <t xml:space="preserve">A person can create an account, prove their channel, and every action is already audited.</t>
  </si>
  <si>
    <t xml:space="preserve">P1</t>
  </si>
  <si>
    <t xml:space="preserve">The front door</t>
  </si>
  <si>
    <t xml:space="preserve">Gateway, orientation, profile, specialisation, evidence, capacity, payment route, consent. Full status tracker.</t>
  </si>
  <si>
    <t xml:space="preserve">This is the whole of T0. It is also the whole of the acquisition funnel.</t>
  </si>
  <si>
    <t xml:space="preserve">[[PH-P1-WEEKS]]</t>
  </si>
  <si>
    <t xml:space="preserve">A person completes registration end to end and can see exactly where they stand.</t>
  </si>
  <si>
    <t xml:space="preserve">P2</t>
  </si>
  <si>
    <t xml:space="preserve">Document capture with browser-side quality gates, live capture, liveness, face match, screening, the verification queue and the case workflow.</t>
  </si>
  <si>
    <t xml:space="preserve">T1 is the tier that makes the whole proposition real. Nothing may be promised to a client before it works.</t>
  </si>
  <si>
    <t xml:space="preserve">[[PH-P2-WEEKS]]</t>
  </si>
  <si>
    <t xml:space="preserve">Identity verified end to end with a full audit trail and a purge job proven in test.</t>
  </si>
  <si>
    <t xml:space="preserve">P3</t>
  </si>
  <si>
    <t xml:space="preserve">Assessment</t>
  </si>
  <si>
    <t xml:space="preserve">Task bank, timed attempt with auto-save, submission, scoring interface, rubric lines, moderation, feedback release.</t>
  </si>
  <si>
    <t xml:space="preserve">Skill evidence is the second half of T1 and the thing no competitor in this market does properly.</t>
  </si>
  <si>
    <t xml:space="preserve">[[PH-P3-WEEKS]]</t>
  </si>
  <si>
    <t xml:space="preserve">An assessment is taken, scored, moderated and returned with written feedback.</t>
  </si>
  <si>
    <t xml:space="preserve">P4</t>
  </si>
  <si>
    <t xml:space="preserve">The talent space</t>
  </si>
  <si>
    <t xml:space="preserve">Standing, invitations, live pods, earnings, record, open calls, learning, settings, data export.</t>
  </si>
  <si>
    <t xml:space="preserve">Registration without a destination produces a dead registry. The space is the relationship.</t>
  </si>
  <si>
    <t xml:space="preserve">[[PH-P4-WEEKS]]</t>
  </si>
  <si>
    <t xml:space="preserve">A verified talent logs in and sees a live, useful home.</t>
  </si>
  <si>
    <t xml:space="preserve">P5</t>
  </si>
  <si>
    <t xml:space="preserve">Pods and matching</t>
  </si>
  <si>
    <t xml:space="preserve">Pod specification, shortlist with reasons and multiple configurations, invitations, memberships, performance ledger.</t>
  </si>
  <si>
    <t xml:space="preserve">Where the registry becomes revenue.</t>
  </si>
  <si>
    <t xml:space="preserve">[[PH-P5-WEEKS]]</t>
  </si>
  <si>
    <t xml:space="preserve">A pod is assembled from the registry and delivers against a real engagement.</t>
  </si>
  <si>
    <t xml:space="preserve">P6</t>
  </si>
  <si>
    <t xml:space="preserve">Cards and civic</t>
  </si>
  <si>
    <t xml:space="preserve">Card issuance, states, public verification page, volunteer track, hour ledger, points and redemption.</t>
  </si>
  <si>
    <t xml:space="preserve">The credential and the civic loop. Retention, not acquisition.</t>
  </si>
  <si>
    <t xml:space="preserve">[[PH-P6-WEEKS]]</t>
  </si>
  <si>
    <t xml:space="preserve">A card is issued, verified publicly, and a volunteer hour converts into points.</t>
  </si>
  <si>
    <t xml:space="preserve">P7</t>
  </si>
  <si>
    <t xml:space="preserve">Automation and instrumentation</t>
  </si>
  <si>
    <t xml:space="preserve">Every automation in the register, the notification matrix, queue dashboards, alert thresholds, the messaging integration.</t>
  </si>
  <si>
    <t xml:space="preserve">Manual operation does not survive volume. Automation last, because it must automate a process that already works.</t>
  </si>
  <si>
    <t xml:space="preserve">[[PH-P7-WEEKS]]</t>
  </si>
  <si>
    <t xml:space="preserve">Every queue is instrumented and every SLA breach raises an alert to a named position.</t>
  </si>
  <si>
    <t xml:space="preserve">P8</t>
  </si>
  <si>
    <t xml:space="preserve">Hardening</t>
  </si>
  <si>
    <t xml:space="preserve">Penetration test, load test, data protection review, disaster recovery drill, accessibility audit, bilingual review.</t>
  </si>
  <si>
    <t xml:space="preserve">A system holding identity documents for displaced people is tested before it is trusted, not after.</t>
  </si>
  <si>
    <t xml:space="preserve">[[PH-P8-WEEKS]]</t>
  </si>
  <si>
    <t xml:space="preserve">External test passed with findings closed. Recovery drill completed and timed.</t>
  </si>
  <si>
    <t xml:space="preserve">Month by month</t>
  </si>
  <si>
    <t xml:space="preserve">From August 2026. Each month names what is built, what is run by hand in the meantime, what is decided, and the one thing that would mean the month failed.</t>
  </si>
  <si>
    <t xml:space="preserve">Month</t>
  </si>
  <si>
    <t xml:space="preserve">Theme</t>
  </si>
  <si>
    <t xml:space="preserve">Built</t>
  </si>
  <si>
    <t xml:space="preserve">Run by hand in the meantime</t>
  </si>
  <si>
    <t xml:space="preserve">Decided this month</t>
  </si>
  <si>
    <t xml:space="preserve">How the month fails</t>
  </si>
  <si>
    <t xml:space="preserve">Aug 2026</t>
  </si>
  <si>
    <t xml:space="preserve">Foundation and the front door</t>
  </si>
  <si>
    <t xml:space="preserve">Data model, authentication, account and channel verification, audit spine. Gateway, orientation and profile screens.</t>
  </si>
  <si>
    <t xml:space="preserve">Registration taken on the messaging channel by POS-TAL-SUP against a printed field list. Every record entered into the register the same day.</t>
  </si>
  <si>
    <t xml:space="preserve">Resolve the placeholder register in one session. Set every service level to what two interns can hold.</t>
  </si>
  <si>
    <t xml:space="preserve">The month fails if placeholders are still open at the end of it. Everything downstream waits on them.</t>
  </si>
  <si>
    <t xml:space="preserve">Sep 2026</t>
  </si>
  <si>
    <t xml:space="preserve">Registration complete</t>
  </si>
  <si>
    <t xml:space="preserve">Specialisation, evidence, capacity, payment route, consent and the status tracker. First fifty real registrations.</t>
  </si>
  <si>
    <t xml:space="preserve">Verification run entirely by hand against the written procedure. Every case timed, so the service level is set from evidence.</t>
  </si>
  <si>
    <t xml:space="preserve">Confirm the assessment bank has [[PH-TASKS-PER-SPEC]] tasks for the first six specialisations. Nothing else opens.</t>
  </si>
  <si>
    <t xml:space="preserve">The month fails if a person completes registration and hears nothing for a week.</t>
  </si>
  <si>
    <t xml:space="preserve">Oct 2026</t>
  </si>
  <si>
    <t xml:space="preserve">Verification live</t>
  </si>
  <si>
    <t xml:space="preserve">Document capture with browser-side quality gates, live capture, liveness, face match, screening, the case workflow and the purge job.</t>
  </si>
  <si>
    <t xml:space="preserve">Interviews and references stay manual and stay logged.</t>
  </si>
  <si>
    <t xml:space="preserve">Prove the purge job in test before a single real document is accepted.</t>
  </si>
  <si>
    <t xml:space="preserve">The month fails if a real identity document is stored without a proven purge.</t>
  </si>
  <si>
    <t xml:space="preserve">Nov 2026</t>
  </si>
  <si>
    <t xml:space="preserve">Assessment live</t>
  </si>
  <si>
    <t xml:space="preserve">Task bank, timed attempt with auto-save, scoring interface, rubric lines, moderation and feedback release.</t>
  </si>
  <si>
    <t xml:space="preserve">First calibration cohort scored twice, independently, to set the pass mark from data rather than from opinion.</t>
  </si>
  <si>
    <t xml:space="preserve">Set [[PH-SCORE-T1]] and [[PH-SCORE-T2]] from the calibration cohort.</t>
  </si>
  <si>
    <t xml:space="preserve">The month fails if the pass mark is set before the calibration data exists.</t>
  </si>
  <si>
    <t xml:space="preserve">Dec 2026</t>
  </si>
  <si>
    <t xml:space="preserve">Standing, record, earnings, settings, data export. First cards issued.</t>
  </si>
  <si>
    <t xml:space="preserve">Pod invitations issued by hand on the messaging channel.</t>
  </si>
  <si>
    <t xml:space="preserve">Card design and production route confirmed with the vendor.</t>
  </si>
  <si>
    <t xml:space="preserve">The month fails if verified talent log in and find nothing worth returning for.</t>
  </si>
  <si>
    <t xml:space="preserve">Jan 2027</t>
  </si>
  <si>
    <t xml:space="preserve">Pod specification, shortlist with reasons, configurations, invitations, memberships and the performance ledger.</t>
  </si>
  <si>
    <t xml:space="preserve">Quality gates run in the delivery workspace as they already do.</t>
  </si>
  <si>
    <t xml:space="preserve">Confirm the share basis and the pod-lead threshold with finance.</t>
  </si>
  <si>
    <t xml:space="preserve">The month fails if a pod is assembled without a signed scope and secured funds.</t>
  </si>
  <si>
    <t xml:space="preserve">Feb 2027</t>
  </si>
  <si>
    <t xml:space="preserve">Civic and credential</t>
  </si>
  <si>
    <t xml:space="preserve">Volunteer track, hour ledger, points, redemption, the public verification page.</t>
  </si>
  <si>
    <t xml:space="preserve">Hours logged on paper at reception until the scanner is live, then reconciled.</t>
  </si>
  <si>
    <t xml:space="preserve">Set every points and redemption value with finance, once.</t>
  </si>
  <si>
    <t xml:space="preserve">The month fails if points are awarded without validation by a named position.</t>
  </si>
  <si>
    <t xml:space="preserve">Mar 2027</t>
  </si>
  <si>
    <t xml:space="preserve">Every automation in the register, the notification matrix, queue dashboards and alert thresholds.</t>
  </si>
  <si>
    <t xml:space="preserve">Nothing. This is the month manual operation ends.</t>
  </si>
  <si>
    <t xml:space="preserve">Confirm every alert reaches a named position and that the position knows it.</t>
  </si>
  <si>
    <t xml:space="preserve">The month fails if an alert fires and nobody owns it.</t>
  </si>
  <si>
    <t xml:space="preserve">Apr 2027</t>
  </si>
  <si>
    <t xml:space="preserve">Penetration test, load test, data protection review, recovery drill, accessibility audit and a full bilingual review.</t>
  </si>
  <si>
    <t xml:space="preserve">Normal operation continues throughout.</t>
  </si>
  <si>
    <t xml:space="preserve">Close every finding before the next intake opens.</t>
  </si>
  <si>
    <t xml:space="preserve">The month fails if a finding is carried forward rather than closed.</t>
  </si>
  <si>
    <t xml:space="preserve">Accountability matrix</t>
  </si>
  <si>
    <t xml:space="preserve">Who decides, who does, who is consulted, who is told. One accountable position per row, never two. If two positions are accountable, nobody is.</t>
  </si>
  <si>
    <t xml:space="preserve">Activity</t>
  </si>
  <si>
    <t xml:space="preserve">Accountable</t>
  </si>
  <si>
    <t xml:space="preserve">Does the work</t>
  </si>
  <si>
    <t xml:space="preserve">Consulted</t>
  </si>
  <si>
    <t xml:space="preserve">Informed</t>
  </si>
  <si>
    <t xml:space="preserve">Cadence</t>
  </si>
  <si>
    <t xml:space="preserve">Trust Ladder design and revision</t>
  </si>
  <si>
    <t xml:space="preserve">POS-MD-LEAD, POS-COUNSEL</t>
  </si>
  <si>
    <t xml:space="preserve">All positions</t>
  </si>
  <si>
    <t xml:space="preserve">Annual, and on any material change</t>
  </si>
  <si>
    <t xml:space="preserve">Tier award up to T3</t>
  </si>
  <si>
    <t xml:space="preserve">POS-TAL-VER, POS-TAL-ASM</t>
  </si>
  <si>
    <t xml:space="preserve">Tier award at T4</t>
  </si>
  <si>
    <t xml:space="preserve">On nomination</t>
  </si>
  <si>
    <t xml:space="preserve">Screening escalation</t>
  </si>
  <si>
    <t xml:space="preserve">On occurrence</t>
  </si>
  <si>
    <t xml:space="preserve">Assessment authoring</t>
  </si>
  <si>
    <t xml:space="preserve">POS-TAL-ASM and T3 talent</t>
  </si>
  <si>
    <t xml:space="preserve">Quarterly</t>
  </si>
  <si>
    <t xml:space="preserve">POS-TAL-LEAD as moderator</t>
  </si>
  <si>
    <t xml:space="preserve">Moderation</t>
  </si>
  <si>
    <t xml:space="preserve">Per engagement</t>
  </si>
  <si>
    <t xml:space="preserve">Pod composition</t>
  </si>
  <si>
    <t xml:space="preserve">Quality gate</t>
  </si>
  <si>
    <t xml:space="preserve">Per milestone</t>
  </si>
  <si>
    <t xml:space="preserve">Payout release</t>
  </si>
  <si>
    <t xml:space="preserve">Per milestone, two signatures</t>
  </si>
  <si>
    <t xml:space="preserve">Sanctions</t>
  </si>
  <si>
    <t xml:space="preserve">POS-MD-LEAD, POS-COUNSEL where legal</t>
  </si>
  <si>
    <t xml:space="preserve">As appointed</t>
  </si>
  <si>
    <t xml:space="preserve">On lodgement</t>
  </si>
  <si>
    <t xml:space="preserve">Safeguarding</t>
  </si>
  <si>
    <t xml:space="preserve">Board</t>
  </si>
  <si>
    <t xml:space="preserve">Volunteer hours</t>
  </si>
  <si>
    <t xml:space="preserve">Volunteer</t>
  </si>
  <si>
    <t xml:space="preserve">Points and redemption</t>
  </si>
  <si>
    <t xml:space="preserve">Batched</t>
  </si>
  <si>
    <t xml:space="preserve">Card revocation</t>
  </si>
  <si>
    <t xml:space="preserve">Talent, in writing</t>
  </si>
  <si>
    <t xml:space="preserve">Portal build and release</t>
  </si>
  <si>
    <t xml:space="preserve">POS-TAL-LEAD, POS-BRD-LEAD</t>
  </si>
  <si>
    <t xml:space="preserve">Per release</t>
  </si>
  <si>
    <t xml:space="preserve">Quarterly review</t>
  </si>
  <si>
    <t xml:space="preserve">Access log review</t>
  </si>
  <si>
    <t xml:space="preserve">Requester, in writing</t>
  </si>
  <si>
    <t xml:space="preserve">This workbook</t>
  </si>
  <si>
    <t xml:space="preserve">All function leads</t>
  </si>
  <si>
    <t xml:space="preserve">Risk register</t>
  </si>
  <si>
    <t xml:space="preserve">Fourteen risks, each with a mitigation that is already built into this system rather than promised for later, and a measure that tells you whether the mitigation is working.</t>
  </si>
  <si>
    <t xml:space="preserve">Risk</t>
  </si>
  <si>
    <t xml:space="preserve">Likelihood</t>
  </si>
  <si>
    <t xml:space="preserve">Impact</t>
  </si>
  <si>
    <t xml:space="preserve">Mitigation, already designed in</t>
  </si>
  <si>
    <t xml:space="preserve">RK-01</t>
  </si>
  <si>
    <t xml:space="preserve">Applicants abandon during identity verification</t>
  </si>
  <si>
    <t xml:space="preserve">Browser-side quality gates, plain reasons, the alternative attestation route, a person reachable on the messaging channel</t>
  </si>
  <si>
    <t xml:space="preserve">Drop-off rate between J06 and J07</t>
  </si>
  <si>
    <t xml:space="preserve">RK-02</t>
  </si>
  <si>
    <t xml:space="preserve">Registry grows faster than delivery demand</t>
  </si>
  <si>
    <t xml:space="preserve">Recruit against pipeline, not against ambition. Publish honest expectations at orientation. Open the volunteer and Forge routes as real alternatives.</t>
  </si>
  <si>
    <t xml:space="preserve">Ratio of T1 and above to live pod seats</t>
  </si>
  <si>
    <t xml:space="preserve">RK-03</t>
  </si>
  <si>
    <t xml:space="preserve">Verification queue exceeds its service level</t>
  </si>
  <si>
    <t xml:space="preserve">Queue instrumented from day one. Two interns cross-trained. Triage rule published.</t>
  </si>
  <si>
    <t xml:space="preserve">Median case age and breach count</t>
  </si>
  <si>
    <t xml:space="preserve">RK-04</t>
  </si>
  <si>
    <t xml:space="preserve">Identity document data exposed</t>
  </si>
  <si>
    <t xml:space="preserve">Severe</t>
  </si>
  <si>
    <t xml:space="preserve">Separate encrypted bucket with its own key, two position codes with access, every view logged, scheduled purge, annual penetration test</t>
  </si>
  <si>
    <t xml:space="preserve">Access log review and purge job success</t>
  </si>
  <si>
    <t xml:space="preserve">RK-05</t>
  </si>
  <si>
    <t xml:space="preserve">Assessment integrity undermined by undisclosed generation</t>
  </si>
  <si>
    <t xml:space="preserve">Disclosure is permitted and never penalised. Concealment is a sanction. Approach note and interview cross-check the submission.</t>
  </si>
  <si>
    <t xml:space="preserve">Rate of integrity findings at interview</t>
  </si>
  <si>
    <t xml:space="preserve">RK-06</t>
  </si>
  <si>
    <t xml:space="preserve">Scoring inconsistency between assessors</t>
  </si>
  <si>
    <t xml:space="preserve">Published rubric, moderation of a fixed sample, two scorers at interview, gap threshold triggers review</t>
  </si>
  <si>
    <t xml:space="preserve">Moderation variance</t>
  </si>
  <si>
    <t xml:space="preserve">RK-07</t>
  </si>
  <si>
    <t xml:space="preserve">Payment diverted to a third-party account</t>
  </si>
  <si>
    <t xml:space="preserve">Own-name rule, name matching against the legal name, re-confirmation on change, two-signature release</t>
  </si>
  <si>
    <t xml:space="preserve">Payment exception count</t>
  </si>
  <si>
    <t xml:space="preserve">RK-08</t>
  </si>
  <si>
    <t xml:space="preserve">Connectivity failure during assessment</t>
  </si>
  <si>
    <t xml:space="preserve">Auto-save, resumable drafts, late submission flagged not voided, Hub as a fallback venue</t>
  </si>
  <si>
    <t xml:space="preserve">Abandoned attempt rate</t>
  </si>
  <si>
    <t xml:space="preserve">RK-09</t>
  </si>
  <si>
    <t xml:space="preserve">Safeguarding incident involving a volunteer</t>
  </si>
  <si>
    <t xml:space="preserve">Orientation before any activity without exception, no unsupervised contact, clear reporting route, immediate suspension</t>
  </si>
  <si>
    <t xml:space="preserve">Orientation completion, time to report</t>
  </si>
  <si>
    <t xml:space="preserve">RK-10</t>
  </si>
  <si>
    <t xml:space="preserve">Bias in matching against women or people outside Aden</t>
  </si>
  <si>
    <t xml:space="preserve">Gender excluded from matching inputs. Inclusion target on every pod with recorded exceptions. Monthly review of shortlist composition.</t>
  </si>
  <si>
    <t xml:space="preserve">Shortlist and pod composition by gender and location</t>
  </si>
  <si>
    <t xml:space="preserve">RK-11</t>
  </si>
  <si>
    <t xml:space="preserve">Intern turnover removes operating knowledge</t>
  </si>
  <si>
    <t xml:space="preserve">Every process is a written procedure keyed to a position code, not a person. Handover pack mandatory. Overlap week at every change.</t>
  </si>
  <si>
    <t xml:space="preserve">Procedure coverage and handover completion</t>
  </si>
  <si>
    <t xml:space="preserve">RK-12</t>
  </si>
  <si>
    <t xml:space="preserve">Registry data becomes stale and unusable</t>
  </si>
  <si>
    <t xml:space="preserve">Capacity re-declaration on a cycle, dormancy rule with re-engagement, annual profile confirmation</t>
  </si>
  <si>
    <t xml:space="preserve">Share of profiles confirmed within the cycle</t>
  </si>
  <si>
    <t xml:space="preserve">RK-13</t>
  </si>
  <si>
    <t xml:space="preserve">A promise is made to a client that the registry cannot meet</t>
  </si>
  <si>
    <t xml:space="preserve">Delivery leads see live capacity, not headline registry counts. Pod specification queries return real availability.</t>
  </si>
  <si>
    <t xml:space="preserve">Gap between shortlist size and required roles</t>
  </si>
  <si>
    <t xml:space="preserve">RK-14</t>
  </si>
  <si>
    <t xml:space="preserve">Sanctions screening false positive stalls a legitimate applicant</t>
  </si>
  <si>
    <t xml:space="preserve">Named service level on counsel review, applicant told a review is under way, resolution target published internally</t>
  </si>
  <si>
    <t xml:space="preserve">Median time to resolve a hit</t>
  </si>
  <si>
    <t xml:space="preserve">Indicator definitions</t>
  </si>
  <si>
    <t xml:space="preserve">Twenty-five indicators defined precisely enough that two people computing them independently get the same number. An indicator without a definition is an argument waiting to happen.</t>
  </si>
  <si>
    <t xml:space="preserve">Family</t>
  </si>
  <si>
    <t xml:space="preserve">Registrations reaching T0</t>
  </si>
  <si>
    <t xml:space="preserve">Funnel</t>
  </si>
  <si>
    <t xml:space="preserve">Count of profiles at T0 or above</t>
  </si>
  <si>
    <t xml:space="preserve">K-02</t>
  </si>
  <si>
    <t xml:space="preserve">Orientation completed divided by accounts created</t>
  </si>
  <si>
    <t xml:space="preserve">[[PH-T-ORI]]</t>
  </si>
  <si>
    <t xml:space="preserve">K-03</t>
  </si>
  <si>
    <t xml:space="preserve">Registration completion rate</t>
  </si>
  <si>
    <t xml:space="preserve">T0 reached divided by orientation completed</t>
  </si>
  <si>
    <t xml:space="preserve">[[PH-T-REG]]</t>
  </si>
  <si>
    <t xml:space="preserve">Identity verification pass rate</t>
  </si>
  <si>
    <t xml:space="preserve">Quality</t>
  </si>
  <si>
    <t xml:space="preserve">Cases passed divided by cases closed</t>
  </si>
  <si>
    <t xml:space="preserve">Median hours from case open to close</t>
  </si>
  <si>
    <t xml:space="preserve">Attempts passed divided by attempts scored</t>
  </si>
  <si>
    <t xml:space="preserve">Median hours from submission to feedback release</t>
  </si>
  <si>
    <t xml:space="preserve">T1 awarded divided by T0 registered in the cohort</t>
  </si>
  <si>
    <t xml:space="preserve">T1 to T2 conversion</t>
  </si>
  <si>
    <t xml:space="preserve">T2 awarded divided by T1 population</t>
  </si>
  <si>
    <t xml:space="preserve">K-10</t>
  </si>
  <si>
    <t xml:space="preserve">Activation</t>
  </si>
  <si>
    <t xml:space="preserve">Median days</t>
  </si>
  <si>
    <t xml:space="preserve">[[PH-T-FIRSTPOD]]</t>
  </si>
  <si>
    <t xml:space="preserve">Talents with at least one pod divided by T1 and above</t>
  </si>
  <si>
    <t xml:space="preserve">K-12</t>
  </si>
  <si>
    <t xml:space="preserve">Pod invitation acceptance rate</t>
  </si>
  <si>
    <t xml:space="preserve">Accepted divided by sent</t>
  </si>
  <si>
    <t xml:space="preserve">[[PH-T-ACCEPT]]</t>
  </si>
  <si>
    <t xml:space="preserve">Milestones accepted on or before date divided by all accepted</t>
  </si>
  <si>
    <t xml:space="preserve">Gates passed first time divided by gates run</t>
  </si>
  <si>
    <t xml:space="preserve">Women as a share of T1 and above</t>
  </si>
  <si>
    <t xml:space="preserve">Women divided by all at T1 and above</t>
  </si>
  <si>
    <t xml:space="preserve">Pods with at least one woman divided by all pods formed</t>
  </si>
  <si>
    <t xml:space="preserve">Talent outside Aden as a share of the registry</t>
  </si>
  <si>
    <t xml:space="preserve">Non-Aden divided by all at T1 and above</t>
  </si>
  <si>
    <t xml:space="preserve">Health</t>
  </si>
  <si>
    <t xml:space="preserve">Dormant divided by T1 and above</t>
  </si>
  <si>
    <t xml:space="preserve">K-19</t>
  </si>
  <si>
    <t xml:space="preserve">Volunteer hours validated</t>
  </si>
  <si>
    <t xml:space="preserve">Sum of validated hours</t>
  </si>
  <si>
    <t xml:space="preserve">[[PH-T-VOLHRS]]</t>
  </si>
  <si>
    <t xml:space="preserve">K-20</t>
  </si>
  <si>
    <t xml:space="preserve">Volunteer to talent conversions</t>
  </si>
  <si>
    <t xml:space="preserve">Fast-track offers accepted</t>
  </si>
  <si>
    <t xml:space="preserve">[[PH-T-VOLCONV]]</t>
  </si>
  <si>
    <t xml:space="preserve">K-21</t>
  </si>
  <si>
    <t xml:space="preserve">Support first response within service level</t>
  </si>
  <si>
    <t xml:space="preserve">Threads answered within the level divided by threads opened</t>
  </si>
  <si>
    <t xml:space="preserve">[[PH-T-SUPPORT]]</t>
  </si>
  <si>
    <t xml:space="preserve">K-22</t>
  </si>
  <si>
    <t xml:space="preserve">Sanctions opened</t>
  </si>
  <si>
    <t xml:space="preserve">Count by code</t>
  </si>
  <si>
    <t xml:space="preserve">[[PH-T-SANCTION]]</t>
  </si>
  <si>
    <t xml:space="preserve">K-23</t>
  </si>
  <si>
    <t xml:space="preserve">Appeals upheld</t>
  </si>
  <si>
    <t xml:space="preserve">Upheld divided by lodged</t>
  </si>
  <si>
    <t xml:space="preserve">[[PH-T-APPEAL]]</t>
  </si>
  <si>
    <t xml:space="preserve">Cards active and valid</t>
  </si>
  <si>
    <t xml:space="preserve">Credential</t>
  </si>
  <si>
    <t xml:space="preserve">Cards in an issued state and unexpired</t>
  </si>
  <si>
    <t xml:space="preserve">K-25</t>
  </si>
  <si>
    <t xml:space="preserve">Public card verifications</t>
  </si>
  <si>
    <t xml:space="preserve">Count of verification page loads</t>
  </si>
  <si>
    <t xml:space="preserve">[[PH-T-VERIFY]]</t>
  </si>
  <si>
    <t xml:space="preserve">Open forks</t>
  </si>
  <si>
    <t xml:space="preserve">Decisions that only the chief executive can take, what each blocks, and what happens if it stays open. These are the only questions this build asks.</t>
  </si>
  <si>
    <t xml:space="preserve">Fork</t>
  </si>
  <si>
    <t xml:space="preserve">The decision</t>
  </si>
  <si>
    <t xml:space="preserve">What it blocks</t>
  </si>
  <si>
    <t xml:space="preserve">If it stays open</t>
  </si>
  <si>
    <t xml:space="preserve">F-01</t>
  </si>
  <si>
    <t xml:space="preserve">Every value in the placeholder register, resolved in one session against real Aden conditions.</t>
  </si>
  <si>
    <t xml:space="preserve">Pass marks, service levels, rate bands, points values, card fees, capacity ceilings, every KPI target.</t>
  </si>
  <si>
    <t xml:space="preserve">The system can be built and can be operated by hand, but it cannot be published to applicants, because the promises it makes would not be honest ones.</t>
  </si>
  <si>
    <t xml:space="preserve">F-02</t>
  </si>
  <si>
    <t xml:space="preserve">Whether the volunteer track opens at T0 or only after identity verification.</t>
  </si>
  <si>
    <t xml:space="preserve">The civic pipeline and the fast-track. It is the difference between the widest possible door and the safest one.</t>
  </si>
  <si>
    <t xml:space="preserve">Built as designed, open at T0, because exclusion at the door defeats the civic purpose. Reversible before phase P6.</t>
  </si>
  <si>
    <t xml:space="preserve">F-03</t>
  </si>
  <si>
    <t xml:space="preserve">Whether talent outside Yemen may hold T3 and T4, or whether the top of the ladder requires presence.</t>
  </si>
  <si>
    <t xml:space="preserve">Diaspora positioning, pod-lead supply and the products aimed at Yemenis abroad.</t>
  </si>
  <si>
    <t xml:space="preserve">Built with no presence requirement above T2, because the axes measure evidence and evidence does not have a postcode. Reversible.</t>
  </si>
  <si>
    <t xml:space="preserve">F-04</t>
  </si>
  <si>
    <t xml:space="preserve">Whether a Forge graduate enters at T1 automatically or still sits the practical task.</t>
  </si>
  <si>
    <t xml:space="preserve">The Forge-to-talent pathway and the meaning of the capstone.</t>
  </si>
  <si>
    <t xml:space="preserve">Built so the capstone counts as evidence toward the skill axis but does not replace the task, because the same standard must apply to everyone or it is not a standard.</t>
  </si>
  <si>
    <t xml:space="preserve">F-05</t>
  </si>
  <si>
    <t xml:space="preserve">Whether the public verification page shows the tier, or only that the card is valid.</t>
  </si>
  <si>
    <t xml:space="preserve">How much the credential is worth in the market, set against how much it exposes about the holder.</t>
  </si>
  <si>
    <t xml:space="preserve">Built showing the tier, because a credential that says nothing verifies nothing. Reversible before phase P6.</t>
  </si>
</sst>
</file>

<file path=xl/styles.xml><?xml version="1.0" encoding="utf-8"?>
<styleSheet xmlns="http://schemas.openxmlformats.org/spreadsheetml/2006/main">
  <numFmts count="7">
    <numFmt numFmtId="164" formatCode="General"/>
    <numFmt numFmtId="165" formatCode="dd\ mmm\ yyyy"/>
    <numFmt numFmtId="166" formatCode="0.0"/>
    <numFmt numFmtId="167" formatCode="0.00"/>
    <numFmt numFmtId="168" formatCode="0"/>
    <numFmt numFmtId="169" formatCode="0.0%"/>
    <numFmt numFmtId="170" formatCode="General"/>
  </numFmts>
  <fonts count="28">
    <font>
      <sz val="11"/>
      <color theme="1"/>
      <name val="Calibri"/>
      <family val="2"/>
      <charset val="1"/>
    </font>
    <font>
      <sz val="10"/>
      <name val="Arial"/>
      <family val="0"/>
    </font>
    <font>
      <sz val="10"/>
      <name val="Arial"/>
      <family val="0"/>
    </font>
    <font>
      <sz val="10"/>
      <name val="Arial"/>
      <family val="0"/>
    </font>
    <font>
      <b val="true"/>
      <sz val="8"/>
      <color rgb="FFFFFFFF"/>
      <name val="Arial"/>
      <family val="0"/>
      <charset val="1"/>
    </font>
    <font>
      <b val="true"/>
      <sz val="15"/>
      <color rgb="FF2F3640"/>
      <name val="Arial"/>
      <family val="0"/>
      <charset val="1"/>
    </font>
    <font>
      <i val="true"/>
      <sz val="9"/>
      <color rgb="FF55585F"/>
      <name val="Arial"/>
      <family val="0"/>
      <charset val="1"/>
    </font>
    <font>
      <b val="true"/>
      <sz val="9"/>
      <color rgb="FFFFFFFF"/>
      <name val="Arial"/>
      <family val="0"/>
      <charset val="1"/>
    </font>
    <font>
      <sz val="9"/>
      <color rgb="FF1B1B1F"/>
      <name val="Arial"/>
      <family val="0"/>
      <charset val="1"/>
    </font>
    <font>
      <i val="true"/>
      <sz val="8"/>
      <color rgb="FF6B6E76"/>
      <name val="Arial"/>
      <family val="0"/>
      <charset val="1"/>
    </font>
    <font>
      <b val="true"/>
      <sz val="10"/>
      <color rgb="FF2F3640"/>
      <name val="Arial"/>
      <family val="0"/>
      <charset val="1"/>
    </font>
    <font>
      <b val="true"/>
      <sz val="15"/>
      <color rgb="FF0E5E5E"/>
      <name val="Arial"/>
      <family val="0"/>
      <charset val="1"/>
    </font>
    <font>
      <b val="true"/>
      <sz val="15"/>
      <color rgb="FF31417F"/>
      <name val="Arial"/>
      <family val="0"/>
      <charset val="1"/>
    </font>
    <font>
      <b val="true"/>
      <sz val="15"/>
      <color rgb="FF8A5A00"/>
      <name val="Arial"/>
      <family val="0"/>
      <charset val="1"/>
    </font>
    <font>
      <b val="true"/>
      <sz val="15"/>
      <color rgb="FFA34A16"/>
      <name val="Arial"/>
      <family val="0"/>
      <charset val="1"/>
    </font>
    <font>
      <b val="true"/>
      <sz val="15"/>
      <color rgb="FF8A1F3D"/>
      <name val="Arial"/>
      <family val="0"/>
      <charset val="1"/>
    </font>
    <font>
      <b val="true"/>
      <sz val="10"/>
      <color rgb="FF8A1F3D"/>
      <name val="Arial"/>
      <family val="0"/>
      <charset val="1"/>
    </font>
    <font>
      <b val="true"/>
      <sz val="15"/>
      <color rgb="FF5B3A8C"/>
      <name val="Arial"/>
      <family val="0"/>
      <charset val="1"/>
    </font>
    <font>
      <b val="true"/>
      <sz val="15"/>
      <color rgb="FF1B6B3C"/>
      <name val="Arial"/>
      <family val="0"/>
      <charset val="1"/>
    </font>
    <font>
      <b val="true"/>
      <sz val="10"/>
      <color rgb="FF1B6B3C"/>
      <name val="Arial"/>
      <family val="0"/>
      <charset val="1"/>
    </font>
    <font>
      <b val="true"/>
      <sz val="15"/>
      <color rgb="FF6E5322"/>
      <name val="Arial"/>
      <family val="0"/>
      <charset val="1"/>
    </font>
    <font>
      <b val="true"/>
      <sz val="15"/>
      <color rgb="FF1B3358"/>
      <name val="Arial"/>
      <family val="0"/>
      <charset val="1"/>
    </font>
    <font>
      <b val="true"/>
      <sz val="15"/>
      <color rgb="FF1F6FA8"/>
      <name val="Arial"/>
      <family val="0"/>
      <charset val="1"/>
    </font>
    <font>
      <b val="true"/>
      <sz val="15"/>
      <color rgb="FF9B1C1C"/>
      <name val="Arial"/>
      <family val="0"/>
      <charset val="1"/>
    </font>
    <font>
      <b val="true"/>
      <sz val="10"/>
      <color rgb="FFFFFFFF"/>
      <name val="Arial"/>
      <family val="0"/>
      <charset val="1"/>
    </font>
    <font>
      <b val="true"/>
      <sz val="11"/>
      <color rgb="FF9B1C1C"/>
      <name val="Arial"/>
      <family val="0"/>
      <charset val="1"/>
    </font>
    <font>
      <b val="true"/>
      <sz val="10"/>
      <color rgb="FF9B1C1C"/>
      <name val="Arial"/>
      <family val="0"/>
      <charset val="1"/>
    </font>
    <font>
      <b val="true"/>
      <sz val="15"/>
      <color rgb="FF2A4A32"/>
      <name val="Arial"/>
      <family val="0"/>
      <charset val="1"/>
    </font>
  </fonts>
  <fills count="29">
    <fill>
      <patternFill patternType="none"/>
    </fill>
    <fill>
      <patternFill patternType="gray125"/>
    </fill>
    <fill>
      <patternFill patternType="solid">
        <fgColor rgb="FF2F3640"/>
        <bgColor rgb="FF1B3358"/>
      </patternFill>
    </fill>
    <fill>
      <patternFill patternType="solid">
        <fgColor rgb="FFE8EAED"/>
        <bgColor rgb="FFDDEDED"/>
      </patternFill>
    </fill>
    <fill>
      <patternFill patternType="solid">
        <fgColor rgb="FFF7F8FA"/>
        <bgColor rgb="FFFFFFFF"/>
      </patternFill>
    </fill>
    <fill>
      <patternFill patternType="solid">
        <fgColor rgb="FF0E5E5E"/>
        <bgColor rgb="FF1B6B3C"/>
      </patternFill>
    </fill>
    <fill>
      <patternFill patternType="solid">
        <fgColor rgb="FFDDEDED"/>
        <bgColor rgb="FFDCEEE3"/>
      </patternFill>
    </fill>
    <fill>
      <patternFill patternType="solid">
        <fgColor rgb="FF31417F"/>
        <bgColor rgb="FF1B3358"/>
      </patternFill>
    </fill>
    <fill>
      <patternFill patternType="solid">
        <fgColor rgb="FFDFE3F2"/>
        <bgColor rgb="FFDCE4F0"/>
      </patternFill>
    </fill>
    <fill>
      <patternFill patternType="solid">
        <fgColor rgb="FF8A5A00"/>
        <bgColor rgb="FF6E5322"/>
      </patternFill>
    </fill>
    <fill>
      <patternFill patternType="solid">
        <fgColor rgb="FFF6EBD5"/>
        <bgColor rgb="FFF1E9D6"/>
      </patternFill>
    </fill>
    <fill>
      <patternFill patternType="solid">
        <fgColor rgb="FFA34A16"/>
        <bgColor rgb="FF8A5A00"/>
      </patternFill>
    </fill>
    <fill>
      <patternFill patternType="solid">
        <fgColor rgb="FFF8E4D8"/>
        <bgColor rgb="FFF5E4E4"/>
      </patternFill>
    </fill>
    <fill>
      <patternFill patternType="solid">
        <fgColor rgb="FF8A1F3D"/>
        <bgColor rgb="FF9B1C1C"/>
      </patternFill>
    </fill>
    <fill>
      <patternFill patternType="solid">
        <fgColor rgb="FFF5DDE4"/>
        <bgColor rgb="FFF7DEDE"/>
      </patternFill>
    </fill>
    <fill>
      <patternFill patternType="solid">
        <fgColor rgb="FF5B3A8C"/>
        <bgColor rgb="FF31417F"/>
      </patternFill>
    </fill>
    <fill>
      <patternFill patternType="solid">
        <fgColor rgb="FFEAE1F5"/>
        <bgColor rgb="FFE8E0F2"/>
      </patternFill>
    </fill>
    <fill>
      <patternFill patternType="solid">
        <fgColor rgb="FF1B6B3C"/>
        <bgColor rgb="FF0E5E5E"/>
      </patternFill>
    </fill>
    <fill>
      <patternFill patternType="solid">
        <fgColor rgb="FFDCEEE3"/>
        <bgColor rgb="FFDDEDED"/>
      </patternFill>
    </fill>
    <fill>
      <patternFill patternType="solid">
        <fgColor rgb="FF6E5322"/>
        <bgColor rgb="FF8A5A00"/>
      </patternFill>
    </fill>
    <fill>
      <patternFill patternType="solid">
        <fgColor rgb="FFF1E9D6"/>
        <bgColor rgb="FFF6EBD5"/>
      </patternFill>
    </fill>
    <fill>
      <patternFill patternType="solid">
        <fgColor rgb="FF1B3358"/>
        <bgColor rgb="FF2F3640"/>
      </patternFill>
    </fill>
    <fill>
      <patternFill patternType="solid">
        <fgColor rgb="FFDCE4F0"/>
        <bgColor rgb="FFDFE3F2"/>
      </patternFill>
    </fill>
    <fill>
      <patternFill patternType="solid">
        <fgColor rgb="FF1F6FA8"/>
        <bgColor rgb="FF008080"/>
      </patternFill>
    </fill>
    <fill>
      <patternFill patternType="solid">
        <fgColor rgb="FFDBEAF5"/>
        <bgColor rgb="FFDDEDED"/>
      </patternFill>
    </fill>
    <fill>
      <patternFill patternType="solid">
        <fgColor rgb="FF9B1C1C"/>
        <bgColor rgb="FF8A1F3D"/>
      </patternFill>
    </fill>
    <fill>
      <patternFill patternType="solid">
        <fgColor rgb="FFF7DEDE"/>
        <bgColor rgb="FFF5DDE4"/>
      </patternFill>
    </fill>
    <fill>
      <patternFill patternType="solid">
        <fgColor rgb="FF2A4A32"/>
        <bgColor rgb="FF2F3640"/>
      </patternFill>
    </fill>
    <fill>
      <patternFill patternType="solid">
        <fgColor rgb="FFDEEADF"/>
        <bgColor rgb="FFDCEEE3"/>
      </patternFill>
    </fill>
  </fills>
  <borders count="2">
    <border diagonalUp="false" diagonalDown="false">
      <left/>
      <right/>
      <top/>
      <bottom/>
      <diagonal/>
    </border>
    <border diagonalUp="false" diagonalDown="false">
      <left style="thin">
        <color rgb="FFD4D6DB"/>
      </left>
      <right style="thin">
        <color rgb="FFD4D6DB"/>
      </right>
      <top style="thin">
        <color rgb="FFD4D6DB"/>
      </top>
      <bottom style="thin">
        <color rgb="FFD4D6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3" borderId="0" xfId="0" applyFont="true" applyBorder="true" applyAlignment="true" applyProtection="false">
      <alignment horizontal="general" vertical="center" textRotation="0" wrapText="true" indent="1" shrinkToFit="false"/>
      <protection locked="true" hidden="false"/>
    </xf>
    <xf numFmtId="164" fontId="7" fillId="2" borderId="1" xfId="0" applyFont="true" applyBorder="true" applyAlignment="true" applyProtection="false">
      <alignment horizontal="left" vertical="center" textRotation="0" wrapText="true" indent="1" shrinkToFit="false"/>
      <protection locked="true" hidden="false"/>
    </xf>
    <xf numFmtId="164" fontId="8" fillId="0" borderId="1" xfId="0" applyFont="true" applyBorder="true" applyAlignment="true" applyProtection="false">
      <alignment horizontal="general" vertical="top" textRotation="0" wrapText="false" indent="1" shrinkToFit="false"/>
      <protection locked="true" hidden="false"/>
    </xf>
    <xf numFmtId="164" fontId="8" fillId="0" borderId="1" xfId="0" applyFont="true" applyBorder="true" applyAlignment="true" applyProtection="false">
      <alignment horizontal="general" vertical="top" textRotation="0" wrapText="true" indent="1" shrinkToFit="false"/>
      <protection locked="true" hidden="false"/>
    </xf>
    <xf numFmtId="164" fontId="8" fillId="4" borderId="1" xfId="0" applyFont="true" applyBorder="true" applyAlignment="true" applyProtection="false">
      <alignment horizontal="general" vertical="top" textRotation="0" wrapText="false" indent="1" shrinkToFit="false"/>
      <protection locked="true" hidden="false"/>
    </xf>
    <xf numFmtId="164" fontId="8" fillId="4" borderId="1" xfId="0" applyFont="true" applyBorder="true" applyAlignment="true" applyProtection="false">
      <alignment horizontal="general" vertical="top" textRotation="0" wrapText="true" indent="1" shrinkToFit="false"/>
      <protection locked="true" hidden="false"/>
    </xf>
    <xf numFmtId="164" fontId="9" fillId="0" borderId="0" xfId="0" applyFont="true" applyBorder="true" applyAlignment="true" applyProtection="false">
      <alignment horizontal="general" vertical="center" textRotation="0" wrapText="true" indent="1"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true" applyAlignment="true" applyProtection="false">
      <alignment horizontal="general" vertical="center" textRotation="0" wrapText="false" indent="1" shrinkToFit="false"/>
      <protection locked="true" hidden="false"/>
    </xf>
    <xf numFmtId="164" fontId="11" fillId="0" borderId="0" xfId="0" applyFont="true" applyBorder="true" applyAlignment="true" applyProtection="false">
      <alignment horizontal="general" vertical="center" textRotation="0" wrapText="false" indent="1" shrinkToFit="false"/>
      <protection locked="true" hidden="false"/>
    </xf>
    <xf numFmtId="164" fontId="6" fillId="6" borderId="0" xfId="0" applyFont="true" applyBorder="true" applyAlignment="true" applyProtection="false">
      <alignment horizontal="general" vertical="center" textRotation="0" wrapText="true" indent="1" shrinkToFit="false"/>
      <protection locked="true" hidden="false"/>
    </xf>
    <xf numFmtId="164" fontId="7" fillId="5" borderId="1" xfId="0" applyFont="true" applyBorder="true" applyAlignment="true" applyProtection="false">
      <alignment horizontal="left" vertical="center" textRotation="0" wrapText="true" indent="1"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4" fillId="7" borderId="0" xfId="0" applyFont="true" applyBorder="true" applyAlignment="true" applyProtection="false">
      <alignment horizontal="general" vertical="center" textRotation="0" wrapText="false" indent="1" shrinkToFit="false"/>
      <protection locked="true" hidden="false"/>
    </xf>
    <xf numFmtId="164" fontId="12" fillId="0" borderId="0" xfId="0" applyFont="true" applyBorder="true" applyAlignment="true" applyProtection="false">
      <alignment horizontal="general" vertical="center" textRotation="0" wrapText="false" indent="1" shrinkToFit="false"/>
      <protection locked="true" hidden="false"/>
    </xf>
    <xf numFmtId="164" fontId="6" fillId="8" borderId="0" xfId="0" applyFont="true" applyBorder="true" applyAlignment="true" applyProtection="false">
      <alignment horizontal="general" vertical="center" textRotation="0" wrapText="true" indent="1" shrinkToFit="false"/>
      <protection locked="true" hidden="false"/>
    </xf>
    <xf numFmtId="164" fontId="7" fillId="7" borderId="1" xfId="0" applyFont="true" applyBorder="true" applyAlignment="true" applyProtection="false">
      <alignment horizontal="left" vertical="center" textRotation="0" wrapText="true" indent="1" shrinkToFit="false"/>
      <protection locked="true" hidden="false"/>
    </xf>
    <xf numFmtId="164" fontId="4" fillId="9" borderId="0" xfId="0" applyFont="true" applyBorder="true" applyAlignment="true" applyProtection="false">
      <alignment horizontal="general" vertical="center" textRotation="0" wrapText="false" indent="1" shrinkToFit="false"/>
      <protection locked="true" hidden="false"/>
    </xf>
    <xf numFmtId="164" fontId="13" fillId="0" borderId="0" xfId="0" applyFont="true" applyBorder="true" applyAlignment="true" applyProtection="false">
      <alignment horizontal="general" vertical="center" textRotation="0" wrapText="false" indent="1" shrinkToFit="false"/>
      <protection locked="true" hidden="false"/>
    </xf>
    <xf numFmtId="164" fontId="6" fillId="10" borderId="0" xfId="0" applyFont="true" applyBorder="true" applyAlignment="true" applyProtection="false">
      <alignment horizontal="general" vertical="center" textRotation="0" wrapText="true" indent="1" shrinkToFit="false"/>
      <protection locked="true" hidden="false"/>
    </xf>
    <xf numFmtId="164" fontId="7" fillId="9" borderId="1" xfId="0" applyFont="true" applyBorder="true" applyAlignment="true" applyProtection="false">
      <alignment horizontal="left" vertical="center" textRotation="0" wrapText="true" indent="1" shrinkToFit="false"/>
      <protection locked="true" hidden="false"/>
    </xf>
    <xf numFmtId="164" fontId="4" fillId="11"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true" applyAlignment="true" applyProtection="false">
      <alignment horizontal="general" vertical="center" textRotation="0" wrapText="false" indent="1" shrinkToFit="false"/>
      <protection locked="true" hidden="false"/>
    </xf>
    <xf numFmtId="164" fontId="6" fillId="12" borderId="0" xfId="0" applyFont="true" applyBorder="true" applyAlignment="true" applyProtection="false">
      <alignment horizontal="general" vertical="center" textRotation="0" wrapText="true" indent="1" shrinkToFit="false"/>
      <protection locked="true" hidden="false"/>
    </xf>
    <xf numFmtId="164" fontId="7" fillId="11" borderId="1" xfId="0" applyFont="true" applyBorder="true" applyAlignment="true" applyProtection="false">
      <alignment horizontal="left" vertical="center" textRotation="0" wrapText="true" indent="1" shrinkToFit="false"/>
      <protection locked="true" hidden="false"/>
    </xf>
    <xf numFmtId="164" fontId="4" fillId="13" borderId="0" xfId="0" applyFont="true" applyBorder="true" applyAlignment="true" applyProtection="false">
      <alignment horizontal="general" vertical="center" textRotation="0" wrapText="false" indent="1" shrinkToFit="false"/>
      <protection locked="true" hidden="false"/>
    </xf>
    <xf numFmtId="164" fontId="15" fillId="0" borderId="0" xfId="0" applyFont="true" applyBorder="true" applyAlignment="true" applyProtection="false">
      <alignment horizontal="general" vertical="center" textRotation="0" wrapText="false" indent="1" shrinkToFit="false"/>
      <protection locked="true" hidden="false"/>
    </xf>
    <xf numFmtId="164" fontId="6" fillId="14" borderId="0" xfId="0" applyFont="true" applyBorder="true" applyAlignment="true" applyProtection="false">
      <alignment horizontal="general" vertical="center" textRotation="0" wrapText="true" indent="1" shrinkToFit="false"/>
      <protection locked="true" hidden="false"/>
    </xf>
    <xf numFmtId="164" fontId="7" fillId="13" borderId="1" xfId="0" applyFont="true" applyBorder="true" applyAlignment="true" applyProtection="false">
      <alignment horizontal="left" vertical="center" textRotation="0" wrapText="true" indent="1"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4" fillId="15" borderId="0" xfId="0" applyFont="true" applyBorder="true" applyAlignment="true" applyProtection="false">
      <alignment horizontal="general" vertical="center" textRotation="0" wrapText="false" indent="1" shrinkToFit="false"/>
      <protection locked="true" hidden="false"/>
    </xf>
    <xf numFmtId="164" fontId="17" fillId="0" borderId="0" xfId="0" applyFont="true" applyBorder="true" applyAlignment="true" applyProtection="false">
      <alignment horizontal="general" vertical="center" textRotation="0" wrapText="false" indent="1" shrinkToFit="false"/>
      <protection locked="true" hidden="false"/>
    </xf>
    <xf numFmtId="164" fontId="6" fillId="16" borderId="0" xfId="0" applyFont="true" applyBorder="true" applyAlignment="true" applyProtection="false">
      <alignment horizontal="general" vertical="center" textRotation="0" wrapText="true" indent="1" shrinkToFit="false"/>
      <protection locked="true" hidden="false"/>
    </xf>
    <xf numFmtId="164" fontId="7" fillId="15" borderId="1" xfId="0" applyFont="true" applyBorder="true" applyAlignment="true" applyProtection="false">
      <alignment horizontal="left" vertical="center" textRotation="0" wrapText="true" indent="1" shrinkToFit="false"/>
      <protection locked="true" hidden="false"/>
    </xf>
    <xf numFmtId="164" fontId="4" fillId="17" borderId="0" xfId="0" applyFont="true" applyBorder="true" applyAlignment="true" applyProtection="false">
      <alignment horizontal="general" vertical="center" textRotation="0" wrapText="false" indent="1" shrinkToFit="false"/>
      <protection locked="true" hidden="false"/>
    </xf>
    <xf numFmtId="164" fontId="18" fillId="0" borderId="0" xfId="0" applyFont="true" applyBorder="true" applyAlignment="true" applyProtection="false">
      <alignment horizontal="general" vertical="center" textRotation="0" wrapText="false" indent="1" shrinkToFit="false"/>
      <protection locked="true" hidden="false"/>
    </xf>
    <xf numFmtId="164" fontId="6" fillId="18" borderId="0" xfId="0" applyFont="true" applyBorder="true" applyAlignment="true" applyProtection="false">
      <alignment horizontal="general" vertical="center" textRotation="0" wrapText="true" indent="1" shrinkToFit="false"/>
      <protection locked="true" hidden="false"/>
    </xf>
    <xf numFmtId="164" fontId="7" fillId="17" borderId="1" xfId="0" applyFont="true" applyBorder="true" applyAlignment="true" applyProtection="false">
      <alignment horizontal="left" vertical="center" textRotation="0" wrapText="true" indent="1"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4" fillId="19"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6" fillId="20" borderId="0" xfId="0" applyFont="true" applyBorder="true" applyAlignment="true" applyProtection="false">
      <alignment horizontal="general" vertical="center" textRotation="0" wrapText="true" indent="1" shrinkToFit="false"/>
      <protection locked="true" hidden="false"/>
    </xf>
    <xf numFmtId="164" fontId="7" fillId="19" borderId="1" xfId="0" applyFont="true" applyBorder="true" applyAlignment="true" applyProtection="false">
      <alignment horizontal="left" vertical="center" textRotation="0" wrapText="true" indent="1" shrinkToFit="false"/>
      <protection locked="true" hidden="false"/>
    </xf>
    <xf numFmtId="164" fontId="4" fillId="21" borderId="0" xfId="0" applyFont="true" applyBorder="true" applyAlignment="true" applyProtection="false">
      <alignment horizontal="general" vertical="center" textRotation="0" wrapText="false" indent="1" shrinkToFit="false"/>
      <protection locked="true" hidden="false"/>
    </xf>
    <xf numFmtId="164" fontId="21" fillId="0" borderId="0" xfId="0" applyFont="true" applyBorder="true" applyAlignment="true" applyProtection="false">
      <alignment horizontal="general" vertical="center" textRotation="0" wrapText="false" indent="1" shrinkToFit="false"/>
      <protection locked="true" hidden="false"/>
    </xf>
    <xf numFmtId="164" fontId="6" fillId="22" borderId="0" xfId="0" applyFont="true" applyBorder="true" applyAlignment="true" applyProtection="false">
      <alignment horizontal="general" vertical="center" textRotation="0" wrapText="true" indent="1" shrinkToFit="false"/>
      <protection locked="true" hidden="false"/>
    </xf>
    <xf numFmtId="164" fontId="7" fillId="21" borderId="1" xfId="0" applyFont="true" applyBorder="true" applyAlignment="true" applyProtection="false">
      <alignment horizontal="left" vertical="center" textRotation="0" wrapText="true" indent="1" shrinkToFit="false"/>
      <protection locked="true" hidden="false"/>
    </xf>
    <xf numFmtId="164" fontId="4" fillId="23" borderId="0" xfId="0" applyFont="true" applyBorder="true" applyAlignment="true" applyProtection="false">
      <alignment horizontal="general" vertical="center" textRotation="0" wrapText="false" indent="1" shrinkToFit="false"/>
      <protection locked="true" hidden="false"/>
    </xf>
    <xf numFmtId="164" fontId="22" fillId="0" borderId="0" xfId="0" applyFont="true" applyBorder="true" applyAlignment="true" applyProtection="false">
      <alignment horizontal="general" vertical="center" textRotation="0" wrapText="false" indent="1" shrinkToFit="false"/>
      <protection locked="true" hidden="false"/>
    </xf>
    <xf numFmtId="164" fontId="6" fillId="24" borderId="0" xfId="0" applyFont="true" applyBorder="true" applyAlignment="true" applyProtection="false">
      <alignment horizontal="general" vertical="center" textRotation="0" wrapText="true" indent="1" shrinkToFit="false"/>
      <protection locked="true" hidden="false"/>
    </xf>
    <xf numFmtId="164" fontId="7" fillId="23" borderId="1" xfId="0" applyFont="true" applyBorder="true" applyAlignment="true" applyProtection="false">
      <alignment horizontal="left" vertical="center" textRotation="0" wrapText="true" indent="1" shrinkToFit="false"/>
      <protection locked="true" hidden="false"/>
    </xf>
    <xf numFmtId="165" fontId="8" fillId="0" borderId="1" xfId="0" applyFont="true" applyBorder="true" applyAlignment="true" applyProtection="false">
      <alignment horizontal="general" vertical="top" textRotation="0" wrapText="false" indent="1"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general" vertical="top" textRotation="0" wrapText="false" indent="1"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64" fontId="4" fillId="25" borderId="0" xfId="0" applyFont="true" applyBorder="true" applyAlignment="true" applyProtection="false">
      <alignment horizontal="general" vertical="center" textRotation="0" wrapText="false" indent="1" shrinkToFit="false"/>
      <protection locked="true" hidden="false"/>
    </xf>
    <xf numFmtId="164" fontId="23" fillId="0" borderId="0" xfId="0" applyFont="true" applyBorder="true" applyAlignment="true" applyProtection="false">
      <alignment horizontal="general" vertical="center" textRotation="0" wrapText="false" indent="1" shrinkToFit="false"/>
      <protection locked="true" hidden="false"/>
    </xf>
    <xf numFmtId="164" fontId="6" fillId="26" borderId="0" xfId="0" applyFont="true" applyBorder="true" applyAlignment="true" applyProtection="false">
      <alignment horizontal="general" vertical="center" textRotation="0" wrapText="true" indent="1" shrinkToFit="false"/>
      <protection locked="true" hidden="false"/>
    </xf>
    <xf numFmtId="164" fontId="7" fillId="25" borderId="1" xfId="0" applyFont="true" applyBorder="true" applyAlignment="true" applyProtection="false">
      <alignment horizontal="general" vertical="center" textRotation="0" wrapText="false" indent="1" shrinkToFit="false"/>
      <protection locked="true" hidden="false"/>
    </xf>
    <xf numFmtId="164" fontId="24" fillId="25" borderId="0" xfId="0" applyFont="true" applyBorder="true" applyAlignment="true" applyProtection="false">
      <alignment horizontal="general" vertical="center" textRotation="0" wrapText="false" indent="1" shrinkToFit="false"/>
      <protection locked="true" hidden="false"/>
    </xf>
    <xf numFmtId="164" fontId="8" fillId="0" borderId="1" xfId="0" applyFont="true" applyBorder="true" applyAlignment="true" applyProtection="false">
      <alignment horizontal="general" vertical="center" textRotation="0" wrapText="false" indent="1" shrinkToFit="false"/>
      <protection locked="true" hidden="false"/>
    </xf>
    <xf numFmtId="168" fontId="25"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1" shrinkToFit="false"/>
      <protection locked="true" hidden="false"/>
    </xf>
    <xf numFmtId="169" fontId="25" fillId="0" borderId="1" xfId="0" applyFont="true" applyBorder="true" applyAlignment="true" applyProtection="false">
      <alignment horizontal="center" vertical="center" textRotation="0" wrapText="false" indent="0" shrinkToFit="false"/>
      <protection locked="true" hidden="false"/>
    </xf>
    <xf numFmtId="166" fontId="25" fillId="0" borderId="1" xfId="0" applyFont="true" applyBorder="true" applyAlignment="true" applyProtection="false">
      <alignment horizontal="center" vertical="center" textRotation="0" wrapText="false" indent="0" shrinkToFit="false"/>
      <protection locked="true" hidden="false"/>
    </xf>
    <xf numFmtId="167" fontId="25" fillId="0" borderId="1" xfId="0" applyFont="true" applyBorder="true" applyAlignment="true" applyProtection="false">
      <alignment horizontal="center" vertical="center" textRotation="0" wrapText="false" indent="0" shrinkToFit="false"/>
      <protection locked="true" hidden="false"/>
    </xf>
    <xf numFmtId="164" fontId="7" fillId="25" borderId="1" xfId="0" applyFont="true" applyBorder="true" applyAlignment="true" applyProtection="false">
      <alignment horizontal="left" vertical="center" textRotation="0" wrapText="true" indent="1" shrinkToFit="false"/>
      <protection locked="true" hidden="false"/>
    </xf>
    <xf numFmtId="170" fontId="26" fillId="0" borderId="1" xfId="0" applyFont="true" applyBorder="true" applyAlignment="true" applyProtection="false">
      <alignment horizontal="center" vertical="center" textRotation="0" wrapText="false" indent="0" shrinkToFit="false"/>
      <protection locked="true" hidden="false"/>
    </xf>
    <xf numFmtId="164" fontId="26" fillId="4" borderId="1"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4" fillId="27" borderId="0" xfId="0" applyFont="true" applyBorder="true" applyAlignment="true" applyProtection="false">
      <alignment horizontal="general" vertical="center" textRotation="0" wrapText="false" indent="1" shrinkToFit="false"/>
      <protection locked="true" hidden="false"/>
    </xf>
    <xf numFmtId="164" fontId="27" fillId="0" borderId="0" xfId="0" applyFont="true" applyBorder="true" applyAlignment="true" applyProtection="false">
      <alignment horizontal="general" vertical="center" textRotation="0" wrapText="false" indent="1" shrinkToFit="false"/>
      <protection locked="true" hidden="false"/>
    </xf>
    <xf numFmtId="164" fontId="6" fillId="28" borderId="0" xfId="0" applyFont="true" applyBorder="true" applyAlignment="true" applyProtection="false">
      <alignment horizontal="general" vertical="center" textRotation="0" wrapText="true" indent="1" shrinkToFit="false"/>
      <protection locked="true" hidden="false"/>
    </xf>
    <xf numFmtId="164" fontId="7" fillId="27" borderId="1" xfId="0" applyFont="true" applyBorder="true" applyAlignment="true" applyProtection="false">
      <alignment horizontal="left" vertical="center" textRotation="0" wrapText="true" indent="1" shrinkToFit="false"/>
      <protection locked="true" hidden="false"/>
    </xf>
    <xf numFmtId="164" fontId="7" fillId="27"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4">
    <dxf>
      <fill>
        <patternFill patternType="solid">
          <fgColor rgb="FF2F3640"/>
          <bgColor rgb="FF000000"/>
        </patternFill>
      </fill>
    </dxf>
    <dxf>
      <fill>
        <patternFill patternType="solid">
          <fgColor rgb="FFF7F8FA"/>
          <bgColor rgb="FF000000"/>
        </patternFill>
      </fill>
    </dxf>
    <dxf>
      <fill>
        <patternFill patternType="solid">
          <bgColor rgb="FF000000"/>
        </patternFill>
      </fill>
    </dxf>
    <dxf>
      <fill>
        <patternFill patternType="solid">
          <fgColor rgb="FF1B1B1F"/>
          <bgColor rgb="FF000000"/>
        </patternFill>
      </fill>
    </dxf>
    <dxf>
      <fill>
        <patternFill patternType="solid">
          <fgColor rgb="FFFFFFFF"/>
          <bgColor rgb="FF000000"/>
        </patternFill>
      </fill>
    </dxf>
    <dxf>
      <fill>
        <patternFill patternType="solid">
          <fgColor rgb="FF0E5E5E"/>
          <bgColor rgb="FF000000"/>
        </patternFill>
      </fill>
    </dxf>
    <dxf>
      <fill>
        <patternFill patternType="solid">
          <fgColor rgb="FFDCEEE3"/>
          <bgColor rgb="FF000000"/>
        </patternFill>
      </fill>
    </dxf>
    <dxf>
      <fill>
        <patternFill patternType="solid">
          <fgColor rgb="FFF5E4E4"/>
          <bgColor rgb="FF000000"/>
        </patternFill>
      </fill>
    </dxf>
    <dxf>
      <fill>
        <patternFill patternType="solid">
          <fgColor rgb="FF1B6B3C"/>
          <bgColor rgb="FF000000"/>
        </patternFill>
      </fill>
    </dxf>
    <dxf>
      <fill>
        <patternFill patternType="solid">
          <fgColor rgb="FF9B1C1C"/>
          <bgColor rgb="FF000000"/>
        </patternFill>
      </fill>
    </dxf>
    <dxf>
      <font>
        <name val="Arial"/>
        <charset val="1"/>
        <family val="0"/>
        <b val="1"/>
        <color rgb="FF1B6B3C"/>
        <sz val="9"/>
      </font>
      <fill>
        <patternFill>
          <bgColor rgb="FFDCEEE3"/>
        </patternFill>
      </fill>
    </dxf>
    <dxf>
      <font>
        <name val="Arial"/>
        <charset val="1"/>
        <family val="0"/>
        <color rgb="FF9B1C1C"/>
        <sz val="9"/>
      </font>
      <fill>
        <patternFill>
          <bgColor rgb="FFF5E4E4"/>
        </patternFill>
      </fill>
    </dxf>
    <dxf>
      <fill>
        <patternFill patternType="solid">
          <fgColor rgb="FF31417F"/>
          <bgColor rgb="FF000000"/>
        </patternFill>
      </fill>
    </dxf>
    <dxf>
      <fill>
        <patternFill patternType="solid">
          <fgColor rgb="FF8A5A00"/>
          <bgColor rgb="FF000000"/>
        </patternFill>
      </fill>
    </dxf>
    <dxf>
      <fill>
        <patternFill patternType="solid">
          <fgColor rgb="FF8A1F3D"/>
          <bgColor rgb="FF000000"/>
        </patternFill>
      </fill>
    </dxf>
    <dxf>
      <font>
        <name val="Arial"/>
        <charset val="1"/>
        <family val="0"/>
        <b val="1"/>
        <color rgb="FF8A1F3D"/>
        <sz val="9"/>
      </font>
    </dxf>
    <dxf>
      <fill>
        <patternFill patternType="solid">
          <fgColor rgb="FFA34A16"/>
          <bgColor rgb="FF000000"/>
        </patternFill>
      </fill>
    </dxf>
    <dxf>
      <fill>
        <patternFill patternType="solid">
          <fgColor rgb="FF5B3A8C"/>
          <bgColor rgb="FF000000"/>
        </patternFill>
      </fill>
    </dxf>
    <dxf>
      <fill>
        <patternFill patternType="solid">
          <fgColor rgb="FF6E5322"/>
          <bgColor rgb="FF000000"/>
        </patternFill>
      </fill>
    </dxf>
    <dxf>
      <fill>
        <patternFill patternType="solid">
          <fgColor rgb="FF1B3358"/>
          <bgColor rgb="FF000000"/>
        </patternFill>
      </fill>
    </dxf>
    <dxf>
      <fill>
        <patternFill patternType="solid">
          <fgColor rgb="FF1F6FA8"/>
          <bgColor rgb="FF000000"/>
        </patternFill>
      </fill>
    </dxf>
    <dxf>
      <fill>
        <patternFill patternType="solid">
          <fgColor rgb="FFE8E0F2"/>
          <bgColor rgb="FF000000"/>
        </patternFill>
      </fill>
    </dxf>
    <dxf>
      <fill>
        <patternFill patternType="solid">
          <fgColor rgb="FFF5D5D5"/>
          <bgColor rgb="FF000000"/>
        </patternFill>
      </fill>
    </dxf>
    <dxf>
      <fill>
        <patternFill patternType="solid">
          <fgColor rgb="FFFBEFD5"/>
          <bgColor rgb="FF000000"/>
        </patternFill>
      </fill>
    </dxf>
    <dxf>
      <fill>
        <patternFill patternType="solid">
          <fgColor rgb="FFEDF1DD"/>
          <bgColor rgb="FF000000"/>
        </patternFill>
      </fill>
    </dxf>
    <dxf>
      <fill>
        <patternFill patternType="solid">
          <fgColor rgb="FFF5DDE4"/>
          <bgColor rgb="FF000000"/>
        </patternFill>
      </fill>
    </dxf>
    <dxf>
      <fill>
        <patternFill patternType="solid">
          <fgColor rgb="FFF9E8DE"/>
          <bgColor rgb="FF000000"/>
        </patternFill>
      </fill>
    </dxf>
    <dxf>
      <fill>
        <patternFill patternType="solid">
          <fgColor rgb="FFFDF3D8"/>
          <bgColor rgb="FF000000"/>
        </patternFill>
      </fill>
    </dxf>
    <dxf>
      <font>
        <name val="Arial"/>
        <charset val="1"/>
        <family val="0"/>
        <b val="1"/>
        <sz val="9"/>
      </font>
      <fill>
        <patternFill>
          <bgColor rgb="FFE8E0F2"/>
        </patternFill>
      </fill>
    </dxf>
    <dxf>
      <font>
        <name val="Arial"/>
        <charset val="1"/>
        <family val="0"/>
        <b val="1"/>
        <color rgb="FF9B1C1C"/>
        <sz val="9"/>
      </font>
      <fill>
        <patternFill>
          <bgColor rgb="FFF5D5D5"/>
        </patternFill>
      </fill>
    </dxf>
    <dxf>
      <font>
        <name val="Arial"/>
        <charset val="1"/>
        <family val="0"/>
        <color rgb="FF8A5A00"/>
        <sz val="9"/>
      </font>
      <fill>
        <patternFill>
          <bgColor rgb="FFFBEFD5"/>
        </patternFill>
      </fill>
    </dxf>
    <dxf>
      <fill>
        <patternFill patternType="solid">
          <fgColor rgb="FFF7DEDE"/>
          <bgColor rgb="FF000000"/>
        </patternFill>
      </fill>
    </dxf>
    <dxf>
      <font>
        <name val="Arial"/>
        <charset val="1"/>
        <family val="0"/>
        <b val="1"/>
        <color rgb="FF9B1C1C"/>
        <sz val="9"/>
      </font>
      <fill>
        <patternFill>
          <bgColor rgb="FFF7DEDE"/>
        </patternFill>
      </fill>
    </dxf>
    <dxf>
      <fill>
        <patternFill patternType="solid">
          <fgColor rgb="FFDEEFE2"/>
          <bgColor rgb="FF000000"/>
        </patternFill>
      </fill>
    </dxf>
    <dxf>
      <fill>
        <patternFill patternType="solid">
          <fgColor rgb="FFDFEFE2"/>
          <bgColor rgb="FF000000"/>
        </patternFill>
      </fill>
    </dxf>
    <dxf>
      <fill>
        <patternFill patternType="solid">
          <fgColor rgb="FFE0EFE1"/>
          <bgColor rgb="FF000000"/>
        </patternFill>
      </fill>
    </dxf>
    <dxf>
      <fill>
        <patternFill patternType="solid">
          <fgColor rgb="FFE1EFE1"/>
          <bgColor rgb="FF000000"/>
        </patternFill>
      </fill>
    </dxf>
    <dxf>
      <fill>
        <patternFill patternType="solid">
          <fgColor rgb="FFE2EFE1"/>
          <bgColor rgb="FF000000"/>
        </patternFill>
      </fill>
    </dxf>
    <dxf>
      <fill>
        <patternFill patternType="solid">
          <fgColor rgb="FFE3EFE0"/>
          <bgColor rgb="FF000000"/>
        </patternFill>
      </fill>
    </dxf>
    <dxf>
      <fill>
        <patternFill patternType="solid">
          <fgColor rgb="FFE4F0E0"/>
          <bgColor rgb="FF000000"/>
        </patternFill>
      </fill>
    </dxf>
    <dxf>
      <fill>
        <patternFill patternType="solid">
          <fgColor rgb="FFE5F0E0"/>
          <bgColor rgb="FF000000"/>
        </patternFill>
      </fill>
    </dxf>
    <dxf>
      <fill>
        <patternFill patternType="solid">
          <fgColor rgb="FFE6F0DF"/>
          <bgColor rgb="FF000000"/>
        </patternFill>
      </fill>
    </dxf>
    <dxf>
      <fill>
        <patternFill patternType="solid">
          <fgColor rgb="FFE7F0DF"/>
          <bgColor rgb="FF000000"/>
        </patternFill>
      </fill>
    </dxf>
    <dxf>
      <fill>
        <patternFill patternType="solid">
          <fgColor rgb="FFE9F0DE"/>
          <bgColor rgb="FF000000"/>
        </patternFill>
      </fill>
    </dxf>
    <dxf>
      <fill>
        <patternFill patternType="solid">
          <fgColor rgb="FFEAF0DE"/>
          <bgColor rgb="FF000000"/>
        </patternFill>
      </fill>
    </dxf>
    <dxf>
      <fill>
        <patternFill patternType="solid">
          <fgColor rgb="FFEBF1DE"/>
          <bgColor rgb="FF000000"/>
        </patternFill>
      </fill>
    </dxf>
    <dxf>
      <fill>
        <patternFill patternType="solid">
          <fgColor rgb="FFECF1DD"/>
          <bgColor rgb="FF000000"/>
        </patternFill>
      </fill>
    </dxf>
    <dxf>
      <fill>
        <patternFill patternType="solid">
          <fgColor rgb="FFEEF1DD"/>
          <bgColor rgb="FF000000"/>
        </patternFill>
      </fill>
    </dxf>
    <dxf>
      <fill>
        <patternFill patternType="solid">
          <fgColor rgb="FFEFF1DC"/>
          <bgColor rgb="FF000000"/>
        </patternFill>
      </fill>
    </dxf>
    <dxf>
      <fill>
        <patternFill patternType="solid">
          <fgColor rgb="FFF0F1DC"/>
          <bgColor rgb="FF000000"/>
        </patternFill>
      </fill>
    </dxf>
    <dxf>
      <fill>
        <patternFill patternType="solid">
          <fgColor rgb="FFF1F2DC"/>
          <bgColor rgb="FF000000"/>
        </patternFill>
      </fill>
    </dxf>
    <dxf>
      <fill>
        <patternFill patternType="solid">
          <fgColor rgb="FFF2F2DB"/>
          <bgColor rgb="FF000000"/>
        </patternFill>
      </fill>
    </dxf>
    <dxf>
      <fill>
        <patternFill patternType="solid">
          <fgColor rgb="FFF4F2DB"/>
          <bgColor rgb="FF000000"/>
        </patternFill>
      </fill>
    </dxf>
    <dxf>
      <fill>
        <patternFill patternType="solid">
          <fgColor rgb="FFF5F2DA"/>
          <bgColor rgb="FF000000"/>
        </patternFill>
      </fill>
    </dxf>
    <dxf>
      <fill>
        <patternFill patternType="solid">
          <fgColor rgb="FFF6E1E2"/>
          <bgColor rgb="FF000000"/>
        </patternFill>
      </fill>
    </dxf>
    <dxf>
      <fill>
        <patternFill patternType="solid">
          <fgColor rgb="FFF6E2E2"/>
          <bgColor rgb="FF000000"/>
        </patternFill>
      </fill>
    </dxf>
    <dxf>
      <fill>
        <patternFill patternType="solid">
          <fgColor rgb="FFF6F2DA"/>
          <bgColor rgb="FF000000"/>
        </patternFill>
      </fill>
    </dxf>
    <dxf>
      <fill>
        <patternFill patternType="solid">
          <fgColor rgb="FFF7E3E1"/>
          <bgColor rgb="FF000000"/>
        </patternFill>
      </fill>
    </dxf>
    <dxf>
      <fill>
        <patternFill patternType="solid">
          <fgColor rgb="FFF7E4E0"/>
          <bgColor rgb="FF000000"/>
        </patternFill>
      </fill>
    </dxf>
    <dxf>
      <fill>
        <patternFill patternType="solid">
          <fgColor rgb="FFF7E4E1"/>
          <bgColor rgb="FF000000"/>
        </patternFill>
      </fill>
    </dxf>
    <dxf>
      <fill>
        <patternFill patternType="solid">
          <fgColor rgb="FFF7F2DA"/>
          <bgColor rgb="FF000000"/>
        </patternFill>
      </fill>
    </dxf>
    <dxf>
      <fill>
        <patternFill patternType="solid">
          <fgColor rgb="FFF8E5E0"/>
          <bgColor rgb="FF000000"/>
        </patternFill>
      </fill>
    </dxf>
    <dxf>
      <fill>
        <patternFill patternType="solid">
          <fgColor rgb="FFF8E6DF"/>
          <bgColor rgb="FF000000"/>
        </patternFill>
      </fill>
    </dxf>
    <dxf>
      <fill>
        <patternFill patternType="solid">
          <fgColor rgb="FFF8E7DF"/>
          <bgColor rgb="FF000000"/>
        </patternFill>
      </fill>
    </dxf>
    <dxf>
      <fill>
        <patternFill patternType="solid">
          <fgColor rgb="FFF8F3D9"/>
          <bgColor rgb="FF000000"/>
        </patternFill>
      </fill>
    </dxf>
    <dxf>
      <fill>
        <patternFill patternType="solid">
          <fgColor rgb="FFF9E9DE"/>
          <bgColor rgb="FF000000"/>
        </patternFill>
      </fill>
    </dxf>
    <dxf>
      <fill>
        <patternFill patternType="solid">
          <fgColor rgb="FFF9EADD"/>
          <bgColor rgb="FF000000"/>
        </patternFill>
      </fill>
    </dxf>
    <dxf>
      <fill>
        <patternFill patternType="solid">
          <fgColor rgb="FFF9F3D9"/>
          <bgColor rgb="FF000000"/>
        </patternFill>
      </fill>
    </dxf>
    <dxf>
      <fill>
        <patternFill patternType="solid">
          <fgColor rgb="FFFAEBDC"/>
          <bgColor rgb="FF000000"/>
        </patternFill>
      </fill>
    </dxf>
    <dxf>
      <fill>
        <patternFill patternType="solid">
          <fgColor rgb="FFFAEBDD"/>
          <bgColor rgb="FF000000"/>
        </patternFill>
      </fill>
    </dxf>
    <dxf>
      <fill>
        <patternFill patternType="solid">
          <fgColor rgb="FFFAECDC"/>
          <bgColor rgb="FF000000"/>
        </patternFill>
      </fill>
    </dxf>
    <dxf>
      <fill>
        <patternFill patternType="solid">
          <fgColor rgb="FFFAF3D9"/>
          <bgColor rgb="FF000000"/>
        </patternFill>
      </fill>
    </dxf>
    <dxf>
      <fill>
        <patternFill patternType="solid">
          <fgColor rgb="FFFBEDDB"/>
          <bgColor rgb="FF000000"/>
        </patternFill>
      </fill>
    </dxf>
    <dxf>
      <fill>
        <patternFill patternType="solid">
          <fgColor rgb="FFFBEEDB"/>
          <bgColor rgb="FF000000"/>
        </patternFill>
      </fill>
    </dxf>
    <dxf>
      <fill>
        <patternFill patternType="solid">
          <fgColor rgb="FFFBEFDA"/>
          <bgColor rgb="FF000000"/>
        </patternFill>
      </fill>
    </dxf>
    <dxf>
      <fill>
        <patternFill patternType="solid">
          <fgColor rgb="FFFBF3D8"/>
          <bgColor rgb="FF000000"/>
        </patternFill>
      </fill>
    </dxf>
    <dxf>
      <fill>
        <patternFill patternType="solid">
          <fgColor rgb="FFFCF0DA"/>
          <bgColor rgb="FF000000"/>
        </patternFill>
      </fill>
    </dxf>
    <dxf>
      <fill>
        <patternFill patternType="solid">
          <fgColor rgb="FFFCF1D9"/>
          <bgColor rgb="FF000000"/>
        </patternFill>
      </fill>
    </dxf>
    <dxf>
      <fill>
        <patternFill patternType="solid">
          <fgColor rgb="FFFCF2D9"/>
          <bgColor rgb="FF000000"/>
        </patternFill>
      </fill>
    </dxf>
    <dxf>
      <fill>
        <patternFill patternType="solid">
          <fgColor rgb="FFFCF3D8"/>
          <bgColor rgb="FF000000"/>
        </patternFill>
      </fill>
    </dxf>
    <dxf>
      <font>
        <name val="Arial"/>
        <charset val="1"/>
        <family val="0"/>
        <color rgb="FF1B6B3C"/>
        <sz val="9"/>
      </font>
      <fill>
        <patternFill>
          <bgColor rgb="FFDCEEE3"/>
        </patternFill>
      </fill>
    </dxf>
    <dxf>
      <font>
        <name val="Arial"/>
        <charset val="1"/>
        <family val="0"/>
        <color rgb="FF9B1C1C"/>
        <sz val="9"/>
      </font>
    </dxf>
    <dxf>
      <font>
        <name val="Arial"/>
        <charset val="1"/>
        <family val="0"/>
        <b val="1"/>
        <color rgb="FFFFFFFF"/>
        <sz val="9"/>
      </font>
      <fill>
        <patternFill>
          <bgColor rgb="FF9B1C1C"/>
        </patternFill>
      </fill>
    </dxf>
    <dxf>
      <fill>
        <patternFill patternType="solid">
          <fgColor rgb="FF2A4A32"/>
          <bgColor rgb="FF000000"/>
        </patternFill>
      </fill>
    </dxf>
  </dxfs>
  <colors>
    <indexedColors>
      <rgbColor rgb="FF000000"/>
      <rgbColor rgb="FFFFFFFF"/>
      <rgbColor rgb="FFFF0000"/>
      <rgbColor rgb="FF00FF00"/>
      <rgbColor rgb="FF0000FF"/>
      <rgbColor rgb="FFF1E9D6"/>
      <rgbColor rgb="FFFF00FF"/>
      <rgbColor rgb="FF00FFFF"/>
      <rgbColor rgb="FF9B1C1C"/>
      <rgbColor rgb="FF1B6B3C"/>
      <rgbColor rgb="FF000080"/>
      <rgbColor rgb="FF8A5A00"/>
      <rgbColor rgb="FF800080"/>
      <rgbColor rgb="FF0E5E5E"/>
      <rgbColor rgb="FFDCE4F0"/>
      <rgbColor rgb="FF55585F"/>
      <rgbColor rgb="FFEAE1F5"/>
      <rgbColor rgb="FF8A1F3D"/>
      <rgbColor rgb="FFFBEFD5"/>
      <rgbColor rgb="FFDDEDED"/>
      <rgbColor rgb="FF660066"/>
      <rgbColor rgb="FFF7DEDE"/>
      <rgbColor rgb="FF1F6FA8"/>
      <rgbColor rgb="FFD4D6DB"/>
      <rgbColor rgb="FF000080"/>
      <rgbColor rgb="FFFF00FF"/>
      <rgbColor rgb="FFDEEADF"/>
      <rgbColor rgb="FF00FFFF"/>
      <rgbColor rgb="FF800080"/>
      <rgbColor rgb="FF6E5322"/>
      <rgbColor rgb="FF008080"/>
      <rgbColor rgb="FF0000FF"/>
      <rgbColor rgb="FF00CCFF"/>
      <rgbColor rgb="FFDBEAF5"/>
      <rgbColor rgb="FFDCEEE3"/>
      <rgbColor rgb="FFF6EBD5"/>
      <rgbColor rgb="FFDFE3F2"/>
      <rgbColor rgb="FFF5DDE4"/>
      <rgbColor rgb="FFE8E0F2"/>
      <rgbColor rgb="FFF5D5D5"/>
      <rgbColor rgb="FF3366FF"/>
      <rgbColor rgb="FF33CCCC"/>
      <rgbColor rgb="FFE8EAED"/>
      <rgbColor rgb="FFF8E4D8"/>
      <rgbColor rgb="FFF7F8FA"/>
      <rgbColor rgb="FFFF6600"/>
      <rgbColor rgb="FF6B6E76"/>
      <rgbColor rgb="FFF5E4E4"/>
      <rgbColor rgb="FF1B3358"/>
      <rgbColor rgb="FF339966"/>
      <rgbColor rgb="FF1B1B1F"/>
      <rgbColor rgb="FF2A4A32"/>
      <rgbColor rgb="FFA34A16"/>
      <rgbColor rgb="FF5B3A8C"/>
      <rgbColor rgb="FF31417F"/>
      <rgbColor rgb="FF2F36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_rels/sheet29.xml.rels><?xml version="1.0" encoding="UTF-8"?>
<Relationships xmlns="http://schemas.openxmlformats.org/package/2006/relationships"><Relationship Id="rId1" Type="http://schemas.openxmlformats.org/officeDocument/2006/relationships/drawing" Target="../drawings/drawing29.xml"/>
</Relationships>
</file>

<file path=xl/worksheets/_rels/sheet30.xml.rels><?xml version="1.0" encoding="UTF-8"?>
<Relationships xmlns="http://schemas.openxmlformats.org/package/2006/relationships"><Relationship Id="rId1" Type="http://schemas.openxmlformats.org/officeDocument/2006/relationships/drawing" Target="../drawings/drawing30.xml"/>
</Relationships>
</file>

<file path=xl/worksheets/_rels/sheet31.xml.rels><?xml version="1.0" encoding="UTF-8"?>
<Relationships xmlns="http://schemas.openxmlformats.org/package/2006/relationships"><Relationship Id="rId1" Type="http://schemas.openxmlformats.org/officeDocument/2006/relationships/drawing" Target="../drawings/drawing31.xml"/>
</Relationships>
</file>

<file path=xl/worksheets/_rels/sheet32.xml.rels><?xml version="1.0" encoding="UTF-8"?>
<Relationships xmlns="http://schemas.openxmlformats.org/package/2006/relationships"><Relationship Id="rId1" Type="http://schemas.openxmlformats.org/officeDocument/2006/relationships/drawing" Target="../drawings/drawing32.xml"/>
</Relationships>
</file>

<file path=xl/worksheets/_rels/sheet33.xml.rels><?xml version="1.0" encoding="UTF-8"?>
<Relationships xmlns="http://schemas.openxmlformats.org/package/2006/relationships"><Relationship Id="rId1" Type="http://schemas.openxmlformats.org/officeDocument/2006/relationships/drawing" Target="../drawings/drawing33.xml"/>
</Relationships>
</file>

<file path=xl/worksheets/_rels/sheet34.xml.rels><?xml version="1.0" encoding="UTF-8"?>
<Relationships xmlns="http://schemas.openxmlformats.org/package/2006/relationships"><Relationship Id="rId1" Type="http://schemas.openxmlformats.org/officeDocument/2006/relationships/drawing" Target="../drawings/drawing34.xml"/>
</Relationships>
</file>

<file path=xl/worksheets/_rels/sheet35.xml.rels><?xml version="1.0" encoding="UTF-8"?>
<Relationships xmlns="http://schemas.openxmlformats.org/package/2006/relationships"><Relationship Id="rId1" Type="http://schemas.openxmlformats.org/officeDocument/2006/relationships/drawing" Target="../drawings/drawing35.xml"/>
</Relationships>
</file>

<file path=xl/worksheets/_rels/sheet36.xml.rels><?xml version="1.0" encoding="UTF-8"?>
<Relationships xmlns="http://schemas.openxmlformats.org/package/2006/relationships"><Relationship Id="rId1" Type="http://schemas.openxmlformats.org/officeDocument/2006/relationships/drawing" Target="../drawings/drawing36.xml"/>
</Relationships>
</file>

<file path=xl/worksheets/_rels/sheet37.xml.rels><?xml version="1.0" encoding="UTF-8"?>
<Relationships xmlns="http://schemas.openxmlformats.org/package/2006/relationships"><Relationship Id="rId1" Type="http://schemas.openxmlformats.org/officeDocument/2006/relationships/drawing" Target="../drawings/drawing37.xml"/>
</Relationships>
</file>

<file path=xl/worksheets/_rels/sheet38.xml.rels><?xml version="1.0" encoding="UTF-8"?>
<Relationships xmlns="http://schemas.openxmlformats.org/package/2006/relationships"><Relationship Id="rId1" Type="http://schemas.openxmlformats.org/officeDocument/2006/relationships/drawing" Target="../drawings/drawing38.xml"/>
</Relationships>
</file>

<file path=xl/worksheets/_rels/sheet39.xml.rels><?xml version="1.0" encoding="UTF-8"?>
<Relationships xmlns="http://schemas.openxmlformats.org/package/2006/relationships"><Relationship Id="rId1" Type="http://schemas.openxmlformats.org/officeDocument/2006/relationships/drawing" Target="../drawings/drawing39.xml"/>
</Relationships>
</file>

<file path=xl/worksheets/_rels/sheet40.xml.rels><?xml version="1.0" encoding="UTF-8"?>
<Relationships xmlns="http://schemas.openxmlformats.org/package/2006/relationships"><Relationship Id="rId1" Type="http://schemas.openxmlformats.org/officeDocument/2006/relationships/drawing" Target="../drawings/drawing40.xml"/>
</Relationships>
</file>

<file path=xl/worksheets/_rels/sheet41.xml.rels><?xml version="1.0" encoding="UTF-8"?>
<Relationships xmlns="http://schemas.openxmlformats.org/package/2006/relationships"><Relationship Id="rId1" Type="http://schemas.openxmlformats.org/officeDocument/2006/relationships/drawing" Target="../drawings/drawing41.xml"/>
</Relationships>
</file>

<file path=xl/worksheets/_rels/sheet42.xml.rels><?xml version="1.0" encoding="UTF-8"?>
<Relationships xmlns="http://schemas.openxmlformats.org/package/2006/relationships"><Relationship Id="rId1" Type="http://schemas.openxmlformats.org/officeDocument/2006/relationships/drawing" Target="../drawings/drawing42.xml"/>
</Relationships>
</file>

<file path=xl/worksheets/_rels/sheet43.xml.rels><?xml version="1.0" encoding="UTF-8"?>
<Relationships xmlns="http://schemas.openxmlformats.org/package/2006/relationships"><Relationship Id="rId1" Type="http://schemas.openxmlformats.org/officeDocument/2006/relationships/drawing" Target="../drawings/drawing43.xml"/>
</Relationships>
</file>

<file path=xl/worksheets/_rels/sheet44.xml.rels><?xml version="1.0" encoding="UTF-8"?>
<Relationships xmlns="http://schemas.openxmlformats.org/package/2006/relationships"><Relationship Id="rId1" Type="http://schemas.openxmlformats.org/officeDocument/2006/relationships/drawing" Target="../drawings/drawing44.xml"/>
</Relationships>
</file>

<file path=xl/worksheets/_rels/sheet45.xml.rels><?xml version="1.0" encoding="UTF-8"?>
<Relationships xmlns="http://schemas.openxmlformats.org/package/2006/relationships"><Relationship Id="rId1" Type="http://schemas.openxmlformats.org/officeDocument/2006/relationships/drawing" Target="../drawings/drawing45.xml"/>
</Relationships>
</file>

<file path=xl/worksheets/_rels/sheet46.xml.rels><?xml version="1.0" encoding="UTF-8"?>
<Relationships xmlns="http://schemas.openxmlformats.org/package/2006/relationships"><Relationship Id="rId1" Type="http://schemas.openxmlformats.org/officeDocument/2006/relationships/drawing" Target="../drawings/drawing46.xml"/>
</Relationships>
</file>

<file path=xl/worksheets/_rels/sheet47.xml.rels><?xml version="1.0" encoding="UTF-8"?>
<Relationships xmlns="http://schemas.openxmlformats.org/package/2006/relationships"><Relationship Id="rId1" Type="http://schemas.openxmlformats.org/officeDocument/2006/relationships/drawing" Target="../drawings/drawing47.xml"/>
</Relationships>
</file>

<file path=xl/worksheets/_rels/sheet48.xml.rels><?xml version="1.0" encoding="UTF-8"?>
<Relationships xmlns="http://schemas.openxmlformats.org/package/2006/relationships"><Relationship Id="rId1" Type="http://schemas.openxmlformats.org/officeDocument/2006/relationships/drawing" Target="../drawings/drawing48.xml"/>
</Relationships>
</file>

<file path=xl/worksheets/_rels/sheet49.xml.rels><?xml version="1.0" encoding="UTF-8"?>
<Relationships xmlns="http://schemas.openxmlformats.org/package/2006/relationships"><Relationship Id="rId1" Type="http://schemas.openxmlformats.org/officeDocument/2006/relationships/drawing" Target="../drawings/drawing49.xml"/>
</Relationships>
</file>

<file path=xl/worksheets/_rels/sheet50.xml.rels><?xml version="1.0" encoding="UTF-8"?>
<Relationships xmlns="http://schemas.openxmlformats.org/package/2006/relationships"><Relationship Id="rId1" Type="http://schemas.openxmlformats.org/officeDocument/2006/relationships/drawing" Target="../drawings/drawing50.xml"/>
</Relationships>
</file>

<file path=xl/worksheets/_rels/sheet52.xml.rels><?xml version="1.0" encoding="UTF-8"?>
<Relationships xmlns="http://schemas.openxmlformats.org/package/2006/relationships"><Relationship Id="rId1" Type="http://schemas.openxmlformats.org/officeDocument/2006/relationships/drawing" Target="../drawings/drawing51.xml"/>
</Relationships>
</file>

<file path=xl/worksheets/_rels/sheet53.xml.rels><?xml version="1.0" encoding="UTF-8"?>
<Relationships xmlns="http://schemas.openxmlformats.org/package/2006/relationships"><Relationship Id="rId1" Type="http://schemas.openxmlformats.org/officeDocument/2006/relationships/drawing" Target="../drawings/drawing52.xml"/>
</Relationships>
</file>

<file path=xl/worksheets/_rels/sheet54.xml.rels><?xml version="1.0" encoding="UTF-8"?>
<Relationships xmlns="http://schemas.openxmlformats.org/package/2006/relationships"><Relationship Id="rId1" Type="http://schemas.openxmlformats.org/officeDocument/2006/relationships/drawing" Target="../drawings/drawing53.xml"/>
</Relationships>
</file>

<file path=xl/worksheets/_rels/sheet55.xml.rels><?xml version="1.0" encoding="UTF-8"?>
<Relationships xmlns="http://schemas.openxmlformats.org/package/2006/relationships"><Relationship Id="rId1" Type="http://schemas.openxmlformats.org/officeDocument/2006/relationships/drawing" Target="../drawings/drawing54.xml"/>
</Relationships>
</file>

<file path=xl/worksheets/_rels/sheet56.xml.rels><?xml version="1.0" encoding="UTF-8"?>
<Relationships xmlns="http://schemas.openxmlformats.org/package/2006/relationships"><Relationship Id="rId1" Type="http://schemas.openxmlformats.org/officeDocument/2006/relationships/drawing" Target="../drawings/drawing55.xml"/>
</Relationships>
</file>

<file path=xl/worksheets/_rels/sheet57.xml.rels><?xml version="1.0" encoding="UTF-8"?>
<Relationships xmlns="http://schemas.openxmlformats.org/package/2006/relationships"><Relationship Id="rId1" Type="http://schemas.openxmlformats.org/officeDocument/2006/relationships/drawing" Target="../drawings/drawing56.xml"/>
</Relationships>
</file>

<file path=xl/worksheets/_rels/sheet58.xml.rels><?xml version="1.0" encoding="UTF-8"?>
<Relationships xmlns="http://schemas.openxmlformats.org/package/2006/relationships"><Relationship Id="rId1" Type="http://schemas.openxmlformats.org/officeDocument/2006/relationships/drawing" Target="../drawings/drawing57.xml"/>
</Relationships>
</file>

<file path=xl/worksheets/_rels/sheet59.xml.rels><?xml version="1.0" encoding="UTF-8"?>
<Relationships xmlns="http://schemas.openxmlformats.org/package/2006/relationships"><Relationship Id="rId1" Type="http://schemas.openxmlformats.org/officeDocument/2006/relationships/drawing" Target="../drawings/drawing58.xml"/>
</Relationships>
</file>

<file path=xl/worksheets/_rels/sheet60.xml.rels><?xml version="1.0" encoding="UTF-8"?>
<Relationships xmlns="http://schemas.openxmlformats.org/package/2006/relationships"><Relationship Id="rId1" Type="http://schemas.openxmlformats.org/officeDocument/2006/relationships/drawing" Target="../drawings/drawing5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640"/>
    <pageSetUpPr fitToPage="true"/>
  </sheetPr>
  <dimension ref="A1:F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6"/>
    <col collapsed="false" customWidth="true" hidden="false" outlineLevel="0" max="3" min="3" style="0" width="14"/>
  </cols>
  <sheetData>
    <row r="1" customFormat="false" ht="19.5" hidden="false" customHeight="true" outlineLevel="0" collapsed="false">
      <c r="A1" s="1" t="s">
        <v>0</v>
      </c>
      <c r="B1" s="1"/>
      <c r="C1" s="1"/>
      <c r="D1" s="1"/>
      <c r="E1" s="1"/>
      <c r="F1" s="1"/>
    </row>
    <row r="2" customFormat="false" ht="27.75" hidden="false" customHeight="true" outlineLevel="0" collapsed="false">
      <c r="A2" s="2" t="s">
        <v>1</v>
      </c>
      <c r="B2" s="2"/>
      <c r="C2" s="2"/>
      <c r="D2" s="2"/>
      <c r="E2" s="2"/>
      <c r="F2" s="2"/>
    </row>
    <row r="3" customFormat="false" ht="30" hidden="false" customHeight="true" outlineLevel="0" collapsed="false">
      <c r="A3" s="3" t="s">
        <v>2</v>
      </c>
      <c r="B3" s="3"/>
      <c r="C3" s="3"/>
      <c r="D3" s="3"/>
      <c r="E3" s="3"/>
      <c r="F3" s="3"/>
    </row>
    <row r="4" customFormat="false" ht="6" hidden="false" customHeight="true" outlineLevel="0" collapsed="false"/>
    <row r="5" customFormat="false" ht="30" hidden="false" customHeight="true" outlineLevel="0" collapsed="false">
      <c r="A5" s="4" t="s">
        <v>3</v>
      </c>
      <c r="B5" s="4" t="s">
        <v>4</v>
      </c>
      <c r="C5" s="4" t="s">
        <v>5</v>
      </c>
    </row>
    <row r="6" customFormat="false" ht="45.75" hidden="false" customHeight="true" outlineLevel="0" collapsed="false">
      <c r="A6" s="5" t="s">
        <v>6</v>
      </c>
      <c r="B6" s="6" t="s">
        <v>7</v>
      </c>
      <c r="C6" s="5" t="s">
        <v>8</v>
      </c>
    </row>
    <row r="7" customFormat="false" ht="45.75" hidden="false" customHeight="true" outlineLevel="0" collapsed="false">
      <c r="A7" s="7" t="s">
        <v>9</v>
      </c>
      <c r="B7" s="8" t="s">
        <v>10</v>
      </c>
      <c r="C7" s="7" t="s">
        <v>8</v>
      </c>
    </row>
    <row r="8" customFormat="false" ht="45.75" hidden="false" customHeight="true" outlineLevel="0" collapsed="false">
      <c r="A8" s="5" t="s">
        <v>11</v>
      </c>
      <c r="B8" s="6" t="s">
        <v>12</v>
      </c>
      <c r="C8" s="5" t="s">
        <v>8</v>
      </c>
    </row>
    <row r="9" customFormat="false" ht="45.75" hidden="false" customHeight="true" outlineLevel="0" collapsed="false">
      <c r="A9" s="7" t="s">
        <v>13</v>
      </c>
      <c r="B9" s="8" t="s">
        <v>14</v>
      </c>
      <c r="C9" s="7" t="s">
        <v>15</v>
      </c>
    </row>
    <row r="10" customFormat="false" ht="45.75" hidden="false" customHeight="true" outlineLevel="0" collapsed="false">
      <c r="A10" s="5" t="s">
        <v>16</v>
      </c>
      <c r="B10" s="6" t="s">
        <v>17</v>
      </c>
      <c r="C10" s="5" t="s">
        <v>18</v>
      </c>
    </row>
    <row r="11" customFormat="false" ht="45.75" hidden="false" customHeight="true" outlineLevel="0" collapsed="false">
      <c r="A11" s="7" t="s">
        <v>19</v>
      </c>
      <c r="B11" s="8" t="s">
        <v>20</v>
      </c>
      <c r="C11" s="7" t="s">
        <v>8</v>
      </c>
    </row>
    <row r="12" customFormat="false" ht="45.75" hidden="false" customHeight="true" outlineLevel="0" collapsed="false">
      <c r="A12" s="5" t="s">
        <v>21</v>
      </c>
      <c r="B12" s="6" t="s">
        <v>22</v>
      </c>
      <c r="C12" s="5" t="s">
        <v>23</v>
      </c>
    </row>
    <row r="13" customFormat="false" ht="45.75" hidden="false" customHeight="true" outlineLevel="0" collapsed="false">
      <c r="A13" s="7" t="s">
        <v>24</v>
      </c>
      <c r="B13" s="8" t="s">
        <v>25</v>
      </c>
      <c r="C13" s="7" t="s">
        <v>23</v>
      </c>
    </row>
    <row r="14" customFormat="false" ht="45.75" hidden="false" customHeight="true" outlineLevel="0" collapsed="false">
      <c r="A14" s="5" t="s">
        <v>26</v>
      </c>
      <c r="B14" s="6" t="s">
        <v>27</v>
      </c>
      <c r="C14" s="5" t="s">
        <v>23</v>
      </c>
    </row>
    <row r="16" customFormat="false" ht="25.5" hidden="false" customHeight="true" outlineLevel="0" collapsed="false">
      <c r="A16" s="9" t="s">
        <v>28</v>
      </c>
      <c r="B16" s="9"/>
      <c r="C16" s="9"/>
      <c r="D16" s="9"/>
      <c r="E16" s="9"/>
      <c r="F16" s="9"/>
    </row>
  </sheetData>
  <autoFilter ref="A5:C14"/>
  <mergeCells count="4">
    <mergeCell ref="A1:F1"/>
    <mergeCell ref="A2:F2"/>
    <mergeCell ref="A3:F3"/>
    <mergeCell ref="A16:F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640"/>
    <pageSetUpPr fitToPage="tru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4"/>
    <col collapsed="false" customWidth="true" hidden="false" outlineLevel="0" max="3" min="3" style="0" width="16"/>
    <col collapsed="false" customWidth="true" hidden="false" outlineLevel="0" max="5" min="4" style="0" width="2"/>
  </cols>
  <sheetData>
    <row r="1" customFormat="false" ht="19.5" hidden="false" customHeight="true" outlineLevel="0" collapsed="false">
      <c r="A1" s="1" t="s">
        <v>0</v>
      </c>
      <c r="B1" s="1"/>
      <c r="C1" s="1"/>
      <c r="D1" s="1"/>
      <c r="E1" s="1"/>
    </row>
    <row r="2" customFormat="false" ht="27.75" hidden="false" customHeight="true" outlineLevel="0" collapsed="false">
      <c r="A2" s="2" t="s">
        <v>29</v>
      </c>
      <c r="B2" s="2"/>
      <c r="C2" s="2"/>
      <c r="D2" s="2"/>
      <c r="E2" s="2"/>
    </row>
    <row r="3" customFormat="false" ht="30" hidden="false" customHeight="true" outlineLevel="0" collapsed="false">
      <c r="A3" s="3" t="s">
        <v>30</v>
      </c>
      <c r="B3" s="3"/>
      <c r="C3" s="3"/>
      <c r="D3" s="3"/>
      <c r="E3" s="3"/>
    </row>
    <row r="4" customFormat="false" ht="6" hidden="false" customHeight="true" outlineLevel="0" collapsed="false"/>
    <row r="5" customFormat="false" ht="30" hidden="false" customHeight="true" outlineLevel="0" collapsed="false">
      <c r="A5" s="4" t="s">
        <v>31</v>
      </c>
      <c r="B5" s="4" t="s">
        <v>32</v>
      </c>
      <c r="C5" s="4"/>
      <c r="D5" s="4"/>
      <c r="E5" s="4"/>
    </row>
    <row r="6" customFormat="false" ht="19.5" hidden="false" customHeight="true" outlineLevel="0" collapsed="false">
      <c r="A6" s="5" t="s">
        <v>33</v>
      </c>
      <c r="B6" s="6" t="s">
        <v>34</v>
      </c>
      <c r="C6" s="5"/>
      <c r="D6" s="5"/>
      <c r="E6" s="5"/>
    </row>
    <row r="7" customFormat="false" ht="19.5" hidden="false" customHeight="true" outlineLevel="0" collapsed="false">
      <c r="A7" s="7" t="s">
        <v>35</v>
      </c>
      <c r="B7" s="8" t="s">
        <v>1</v>
      </c>
      <c r="C7" s="7"/>
      <c r="D7" s="7"/>
      <c r="E7" s="7"/>
    </row>
    <row r="8" customFormat="false" ht="19.5" hidden="false" customHeight="true" outlineLevel="0" collapsed="false">
      <c r="A8" s="5" t="s">
        <v>36</v>
      </c>
      <c r="B8" s="6" t="s">
        <v>37</v>
      </c>
      <c r="C8" s="5"/>
      <c r="D8" s="5"/>
      <c r="E8" s="5"/>
    </row>
    <row r="9" customFormat="false" ht="19.5" hidden="false" customHeight="true" outlineLevel="0" collapsed="false">
      <c r="A9" s="7" t="s">
        <v>38</v>
      </c>
      <c r="B9" s="8" t="s">
        <v>39</v>
      </c>
      <c r="C9" s="7"/>
      <c r="D9" s="7"/>
      <c r="E9" s="7"/>
    </row>
    <row r="10" customFormat="false" ht="19.5" hidden="false" customHeight="true" outlineLevel="0" collapsed="false">
      <c r="A10" s="5" t="s">
        <v>40</v>
      </c>
      <c r="B10" s="6" t="s">
        <v>41</v>
      </c>
      <c r="C10" s="5"/>
      <c r="D10" s="5"/>
      <c r="E10" s="5"/>
    </row>
    <row r="11" customFormat="false" ht="19.5" hidden="false" customHeight="true" outlineLevel="0" collapsed="false">
      <c r="A11" s="7" t="s">
        <v>42</v>
      </c>
      <c r="B11" s="8" t="s">
        <v>43</v>
      </c>
      <c r="C11" s="7"/>
      <c r="D11" s="7"/>
      <c r="E11" s="7"/>
    </row>
    <row r="12" customFormat="false" ht="19.5" hidden="false" customHeight="true" outlineLevel="0" collapsed="false">
      <c r="A12" s="5" t="s">
        <v>44</v>
      </c>
      <c r="B12" s="6" t="s">
        <v>45</v>
      </c>
      <c r="C12" s="5"/>
      <c r="D12" s="5"/>
      <c r="E12" s="5"/>
    </row>
    <row r="13" customFormat="false" ht="19.5" hidden="false" customHeight="true" outlineLevel="0" collapsed="false">
      <c r="A13" s="7" t="s">
        <v>46</v>
      </c>
      <c r="B13" s="8" t="s">
        <v>47</v>
      </c>
      <c r="C13" s="7"/>
      <c r="D13" s="7"/>
      <c r="E13" s="7"/>
    </row>
    <row r="14" customFormat="false" ht="19.5" hidden="false" customHeight="true" outlineLevel="0" collapsed="false">
      <c r="A14" s="5" t="s">
        <v>48</v>
      </c>
      <c r="B14" s="6" t="s">
        <v>49</v>
      </c>
      <c r="C14" s="5"/>
      <c r="D14" s="5"/>
      <c r="E14" s="5"/>
    </row>
    <row r="15" customFormat="false" ht="19.5" hidden="false" customHeight="true" outlineLevel="0" collapsed="false">
      <c r="A15" s="7" t="s">
        <v>50</v>
      </c>
      <c r="B15" s="8" t="s">
        <v>51</v>
      </c>
      <c r="C15" s="7"/>
      <c r="D15" s="7"/>
      <c r="E15" s="7"/>
    </row>
    <row r="17" customFormat="false" ht="15" hidden="false" customHeight="false" outlineLevel="0" collapsed="false">
      <c r="A17" s="10" t="s">
        <v>52</v>
      </c>
    </row>
    <row r="18" customFormat="false" ht="30" hidden="false" customHeight="true" outlineLevel="0" collapsed="false">
      <c r="A18" s="4" t="s">
        <v>53</v>
      </c>
      <c r="B18" s="4" t="s">
        <v>54</v>
      </c>
      <c r="C18" s="4" t="s">
        <v>55</v>
      </c>
    </row>
    <row r="19" customFormat="false" ht="25.5" hidden="false" customHeight="true" outlineLevel="0" collapsed="false">
      <c r="A19" s="5" t="s">
        <v>56</v>
      </c>
      <c r="B19" s="6" t="s">
        <v>57</v>
      </c>
      <c r="C19" s="5" t="s">
        <v>58</v>
      </c>
    </row>
    <row r="20" customFormat="false" ht="25.5" hidden="false" customHeight="true" outlineLevel="0" collapsed="false">
      <c r="A20" s="7" t="s">
        <v>59</v>
      </c>
      <c r="B20" s="8" t="s">
        <v>60</v>
      </c>
      <c r="C20" s="7" t="s">
        <v>58</v>
      </c>
    </row>
    <row r="21" customFormat="false" ht="25.5" hidden="false" customHeight="true" outlineLevel="0" collapsed="false">
      <c r="A21" s="5" t="s">
        <v>61</v>
      </c>
      <c r="B21" s="6" t="s">
        <v>62</v>
      </c>
      <c r="C21" s="5" t="s">
        <v>58</v>
      </c>
    </row>
    <row r="22" customFormat="false" ht="25.5" hidden="false" customHeight="true" outlineLevel="0" collapsed="false">
      <c r="A22" s="7" t="s">
        <v>63</v>
      </c>
      <c r="B22" s="8" t="s">
        <v>64</v>
      </c>
      <c r="C22" s="7" t="s">
        <v>58</v>
      </c>
    </row>
    <row r="23" customFormat="false" ht="25.5" hidden="false" customHeight="true" outlineLevel="0" collapsed="false">
      <c r="A23" s="5" t="s">
        <v>65</v>
      </c>
      <c r="B23" s="6" t="s">
        <v>66</v>
      </c>
      <c r="C23" s="5" t="s">
        <v>58</v>
      </c>
    </row>
    <row r="24" customFormat="false" ht="25.5" hidden="false" customHeight="true" outlineLevel="0" collapsed="false">
      <c r="A24" s="7" t="s">
        <v>67</v>
      </c>
      <c r="B24" s="8" t="s">
        <v>68</v>
      </c>
      <c r="C24" s="7" t="s">
        <v>69</v>
      </c>
    </row>
    <row r="25" customFormat="false" ht="25.5" hidden="false" customHeight="true" outlineLevel="0" collapsed="false">
      <c r="A25" s="5" t="s">
        <v>70</v>
      </c>
      <c r="B25" s="6" t="s">
        <v>71</v>
      </c>
      <c r="C25" s="5" t="s">
        <v>69</v>
      </c>
    </row>
    <row r="26" customFormat="false" ht="25.5" hidden="false" customHeight="true" outlineLevel="0" collapsed="false">
      <c r="A26" s="7" t="s">
        <v>72</v>
      </c>
      <c r="B26" s="8" t="s">
        <v>73</v>
      </c>
      <c r="C26" s="7" t="s">
        <v>69</v>
      </c>
    </row>
    <row r="27" customFormat="false" ht="25.5" hidden="false" customHeight="true" outlineLevel="0" collapsed="false">
      <c r="A27" s="5" t="s">
        <v>74</v>
      </c>
      <c r="B27" s="6" t="s">
        <v>75</v>
      </c>
      <c r="C27" s="5" t="s">
        <v>69</v>
      </c>
    </row>
    <row r="28" customFormat="false" ht="25.5" hidden="false" customHeight="true" outlineLevel="0" collapsed="false">
      <c r="A28" s="7" t="s">
        <v>76</v>
      </c>
      <c r="B28" s="8" t="s">
        <v>77</v>
      </c>
      <c r="C28" s="7" t="s">
        <v>69</v>
      </c>
    </row>
  </sheetData>
  <autoFilter ref="A18:C28"/>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640"/>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14"/>
    <col collapsed="false" customWidth="true" hidden="false" outlineLevel="0" max="4" min="4" style="0" width="72"/>
    <col collapsed="false" customWidth="true" hidden="false" outlineLevel="0" max="5" min="5" style="0" width="16"/>
    <col collapsed="false" customWidth="true" hidden="false" outlineLevel="0" max="6" min="6" style="0" width="26"/>
  </cols>
  <sheetData>
    <row r="1" customFormat="false" ht="19.5" hidden="false" customHeight="true" outlineLevel="0" collapsed="false">
      <c r="A1" s="1" t="s">
        <v>0</v>
      </c>
      <c r="B1" s="1"/>
      <c r="C1" s="1"/>
      <c r="D1" s="1"/>
      <c r="E1" s="1"/>
      <c r="F1" s="1"/>
    </row>
    <row r="2" customFormat="false" ht="27.75" hidden="false" customHeight="true" outlineLevel="0" collapsed="false">
      <c r="A2" s="2" t="s">
        <v>78</v>
      </c>
      <c r="B2" s="2"/>
      <c r="C2" s="2"/>
      <c r="D2" s="2"/>
      <c r="E2" s="2"/>
      <c r="F2" s="2"/>
    </row>
    <row r="3" customFormat="false" ht="30" hidden="false" customHeight="true" outlineLevel="0" collapsed="false">
      <c r="A3" s="3" t="s">
        <v>79</v>
      </c>
      <c r="B3" s="3"/>
      <c r="C3" s="3"/>
      <c r="D3" s="3"/>
      <c r="E3" s="3"/>
      <c r="F3" s="3"/>
    </row>
    <row r="4" customFormat="false" ht="6" hidden="false" customHeight="true" outlineLevel="0" collapsed="false"/>
    <row r="5" customFormat="false" ht="30" hidden="false" customHeight="true" outlineLevel="0" collapsed="false">
      <c r="A5" s="4" t="s">
        <v>80</v>
      </c>
      <c r="B5" s="4" t="s">
        <v>81</v>
      </c>
      <c r="C5" s="4" t="s">
        <v>82</v>
      </c>
      <c r="D5" s="4" t="s">
        <v>83</v>
      </c>
      <c r="E5" s="4" t="s">
        <v>84</v>
      </c>
      <c r="F5" s="4" t="s">
        <v>85</v>
      </c>
    </row>
    <row r="6" customFormat="false" ht="31.5" hidden="false" customHeight="true" outlineLevel="0" collapsed="false">
      <c r="A6" s="5" t="s">
        <v>43</v>
      </c>
      <c r="B6" s="5" t="s">
        <v>86</v>
      </c>
      <c r="C6" s="5" t="s">
        <v>87</v>
      </c>
      <c r="D6" s="6" t="s">
        <v>88</v>
      </c>
      <c r="E6" s="5" t="s">
        <v>89</v>
      </c>
      <c r="F6" s="5" t="s">
        <v>90</v>
      </c>
    </row>
    <row r="7" customFormat="false" ht="31.5" hidden="false" customHeight="true" outlineLevel="0" collapsed="false">
      <c r="A7" s="7" t="s">
        <v>91</v>
      </c>
      <c r="B7" s="7" t="s">
        <v>92</v>
      </c>
      <c r="C7" s="7" t="s">
        <v>87</v>
      </c>
      <c r="D7" s="8" t="s">
        <v>93</v>
      </c>
      <c r="E7" s="7" t="s">
        <v>89</v>
      </c>
      <c r="F7" s="7" t="s">
        <v>90</v>
      </c>
    </row>
    <row r="8" customFormat="false" ht="31.5" hidden="false" customHeight="true" outlineLevel="0" collapsed="false">
      <c r="A8" s="5" t="s">
        <v>41</v>
      </c>
      <c r="B8" s="5" t="s">
        <v>94</v>
      </c>
      <c r="C8" s="5" t="s">
        <v>95</v>
      </c>
      <c r="D8" s="6" t="s">
        <v>96</v>
      </c>
      <c r="E8" s="5" t="s">
        <v>97</v>
      </c>
      <c r="F8" s="5" t="s">
        <v>98</v>
      </c>
    </row>
    <row r="9" customFormat="false" ht="31.5" hidden="false" customHeight="true" outlineLevel="0" collapsed="false">
      <c r="A9" s="7" t="s">
        <v>99</v>
      </c>
      <c r="B9" s="7" t="s">
        <v>100</v>
      </c>
      <c r="C9" s="7" t="s">
        <v>95</v>
      </c>
      <c r="D9" s="8" t="s">
        <v>101</v>
      </c>
      <c r="E9" s="7" t="s">
        <v>102</v>
      </c>
      <c r="F9" s="7" t="s">
        <v>103</v>
      </c>
    </row>
    <row r="10" customFormat="false" ht="31.5" hidden="false" customHeight="true" outlineLevel="0" collapsed="false">
      <c r="A10" s="5" t="s">
        <v>104</v>
      </c>
      <c r="B10" s="5" t="s">
        <v>105</v>
      </c>
      <c r="C10" s="5" t="s">
        <v>95</v>
      </c>
      <c r="D10" s="6" t="s">
        <v>106</v>
      </c>
      <c r="E10" s="5" t="s">
        <v>102</v>
      </c>
      <c r="F10" s="5" t="s">
        <v>103</v>
      </c>
    </row>
    <row r="11" customFormat="false" ht="31.5" hidden="false" customHeight="true" outlineLevel="0" collapsed="false">
      <c r="A11" s="7" t="s">
        <v>107</v>
      </c>
      <c r="B11" s="7" t="s">
        <v>108</v>
      </c>
      <c r="C11" s="7" t="s">
        <v>95</v>
      </c>
      <c r="D11" s="8" t="s">
        <v>109</v>
      </c>
      <c r="E11" s="7" t="s">
        <v>102</v>
      </c>
      <c r="F11" s="7" t="s">
        <v>103</v>
      </c>
    </row>
    <row r="12" customFormat="false" ht="31.5" hidden="false" customHeight="true" outlineLevel="0" collapsed="false">
      <c r="A12" s="5" t="s">
        <v>110</v>
      </c>
      <c r="B12" s="5" t="s">
        <v>111</v>
      </c>
      <c r="C12" s="5" t="s">
        <v>112</v>
      </c>
      <c r="D12" s="6" t="s">
        <v>113</v>
      </c>
      <c r="E12" s="5" t="s">
        <v>97</v>
      </c>
      <c r="F12" s="5" t="s">
        <v>98</v>
      </c>
    </row>
    <row r="13" customFormat="false" ht="31.5" hidden="false" customHeight="true" outlineLevel="0" collapsed="false">
      <c r="A13" s="7" t="s">
        <v>114</v>
      </c>
      <c r="B13" s="7" t="s">
        <v>115</v>
      </c>
      <c r="C13" s="7" t="s">
        <v>112</v>
      </c>
      <c r="D13" s="8" t="s">
        <v>116</v>
      </c>
      <c r="E13" s="7" t="s">
        <v>102</v>
      </c>
      <c r="F13" s="7" t="s">
        <v>103</v>
      </c>
    </row>
    <row r="14" customFormat="false" ht="31.5" hidden="false" customHeight="true" outlineLevel="0" collapsed="false">
      <c r="A14" s="5" t="s">
        <v>117</v>
      </c>
      <c r="B14" s="5" t="s">
        <v>118</v>
      </c>
      <c r="C14" s="5" t="s">
        <v>112</v>
      </c>
      <c r="D14" s="6" t="s">
        <v>119</v>
      </c>
      <c r="E14" s="5" t="s">
        <v>102</v>
      </c>
      <c r="F14" s="5" t="s">
        <v>103</v>
      </c>
    </row>
    <row r="15" customFormat="false" ht="31.5" hidden="false" customHeight="true" outlineLevel="0" collapsed="false">
      <c r="A15" s="7" t="s">
        <v>120</v>
      </c>
      <c r="B15" s="7" t="s">
        <v>121</v>
      </c>
      <c r="C15" s="7" t="s">
        <v>122</v>
      </c>
      <c r="D15" s="8" t="s">
        <v>123</v>
      </c>
      <c r="E15" s="7" t="s">
        <v>97</v>
      </c>
      <c r="F15" s="7" t="s">
        <v>98</v>
      </c>
    </row>
    <row r="16" customFormat="false" ht="31.5" hidden="false" customHeight="true" outlineLevel="0" collapsed="false">
      <c r="A16" s="5" t="s">
        <v>124</v>
      </c>
      <c r="B16" s="5" t="s">
        <v>125</v>
      </c>
      <c r="C16" s="5" t="s">
        <v>122</v>
      </c>
      <c r="D16" s="6" t="s">
        <v>126</v>
      </c>
      <c r="E16" s="5" t="s">
        <v>102</v>
      </c>
      <c r="F16" s="5" t="s">
        <v>103</v>
      </c>
    </row>
    <row r="17" customFormat="false" ht="31.5" hidden="false" customHeight="true" outlineLevel="0" collapsed="false">
      <c r="A17" s="7" t="s">
        <v>127</v>
      </c>
      <c r="B17" s="7" t="s">
        <v>128</v>
      </c>
      <c r="C17" s="7" t="s">
        <v>129</v>
      </c>
      <c r="D17" s="8" t="s">
        <v>130</v>
      </c>
      <c r="E17" s="7" t="s">
        <v>89</v>
      </c>
      <c r="F17" s="7" t="s">
        <v>90</v>
      </c>
    </row>
    <row r="18" customFormat="false" ht="31.5" hidden="false" customHeight="true" outlineLevel="0" collapsed="false">
      <c r="A18" s="5" t="s">
        <v>131</v>
      </c>
      <c r="B18" s="5" t="s">
        <v>132</v>
      </c>
      <c r="C18" s="5" t="s">
        <v>133</v>
      </c>
      <c r="D18" s="6" t="s">
        <v>134</v>
      </c>
      <c r="E18" s="5" t="s">
        <v>102</v>
      </c>
      <c r="F18" s="5" t="s">
        <v>103</v>
      </c>
    </row>
    <row r="19" customFormat="false" ht="31.5" hidden="false" customHeight="true" outlineLevel="0" collapsed="false">
      <c r="A19" s="7" t="s">
        <v>135</v>
      </c>
      <c r="B19" s="7" t="s">
        <v>136</v>
      </c>
      <c r="C19" s="7" t="s">
        <v>137</v>
      </c>
      <c r="D19" s="8" t="s">
        <v>138</v>
      </c>
      <c r="E19" s="7" t="s">
        <v>89</v>
      </c>
      <c r="F19" s="7" t="s">
        <v>90</v>
      </c>
    </row>
    <row r="20" customFormat="false" ht="31.5" hidden="false" customHeight="true" outlineLevel="0" collapsed="false">
      <c r="A20" s="5" t="s">
        <v>45</v>
      </c>
      <c r="B20" s="5" t="s">
        <v>139</v>
      </c>
      <c r="C20" s="5" t="s">
        <v>140</v>
      </c>
      <c r="D20" s="6" t="s">
        <v>141</v>
      </c>
      <c r="E20" s="5" t="s">
        <v>89</v>
      </c>
      <c r="F20" s="5" t="s">
        <v>90</v>
      </c>
    </row>
    <row r="21" customFormat="false" ht="31.5" hidden="false" customHeight="true" outlineLevel="0" collapsed="false">
      <c r="A21" s="7" t="s">
        <v>142</v>
      </c>
      <c r="B21" s="7" t="s">
        <v>143</v>
      </c>
      <c r="C21" s="7" t="s">
        <v>140</v>
      </c>
      <c r="D21" s="8" t="s">
        <v>144</v>
      </c>
      <c r="E21" s="7" t="s">
        <v>89</v>
      </c>
      <c r="F21" s="7" t="s">
        <v>90</v>
      </c>
    </row>
    <row r="22" customFormat="false" ht="31.5" hidden="false" customHeight="true" outlineLevel="0" collapsed="false">
      <c r="A22" s="5" t="s">
        <v>145</v>
      </c>
      <c r="B22" s="5" t="s">
        <v>146</v>
      </c>
      <c r="C22" s="5" t="s">
        <v>87</v>
      </c>
      <c r="D22" s="6" t="s">
        <v>147</v>
      </c>
      <c r="E22" s="5" t="s">
        <v>102</v>
      </c>
      <c r="F22" s="5" t="s">
        <v>103</v>
      </c>
    </row>
    <row r="23" customFormat="false" ht="31.5" hidden="false" customHeight="true" outlineLevel="0" collapsed="false">
      <c r="A23" s="7" t="s">
        <v>148</v>
      </c>
      <c r="B23" s="7" t="s">
        <v>149</v>
      </c>
      <c r="C23" s="7" t="s">
        <v>150</v>
      </c>
      <c r="D23" s="8" t="s">
        <v>151</v>
      </c>
      <c r="E23" s="7" t="s">
        <v>152</v>
      </c>
      <c r="F23" s="7" t="s">
        <v>153</v>
      </c>
    </row>
    <row r="24" customFormat="false" ht="31.5" hidden="false" customHeight="true" outlineLevel="0" collapsed="false">
      <c r="A24" s="5" t="s">
        <v>154</v>
      </c>
      <c r="B24" s="5" t="s">
        <v>155</v>
      </c>
      <c r="C24" s="5" t="s">
        <v>150</v>
      </c>
      <c r="D24" s="6" t="s">
        <v>156</v>
      </c>
      <c r="E24" s="5" t="s">
        <v>89</v>
      </c>
      <c r="F24" s="5" t="s">
        <v>157</v>
      </c>
    </row>
    <row r="25" customFormat="false" ht="31.5" hidden="false" customHeight="true" outlineLevel="0" collapsed="false">
      <c r="A25" s="7" t="s">
        <v>158</v>
      </c>
      <c r="B25" s="7" t="s">
        <v>159</v>
      </c>
      <c r="C25" s="7" t="s">
        <v>160</v>
      </c>
      <c r="D25" s="8" t="s">
        <v>161</v>
      </c>
      <c r="E25" s="7" t="s">
        <v>162</v>
      </c>
      <c r="F25" s="7" t="s">
        <v>163</v>
      </c>
    </row>
  </sheetData>
  <autoFilter ref="A5:F25"/>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640"/>
    <pageSetUpPr fitToPage="true"/>
  </sheetPr>
  <dimension ref="A1:E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4"/>
    <col collapsed="false" customWidth="true" hidden="false" outlineLevel="0" max="3" min="3" style="0" width="18"/>
    <col collapsed="false" customWidth="true" hidden="false" outlineLevel="0" max="4" min="4" style="0" width="24"/>
    <col collapsed="false" customWidth="true" hidden="false" outlineLevel="0" max="5" min="5" style="0" width="58"/>
  </cols>
  <sheetData>
    <row r="1" customFormat="false" ht="19.5" hidden="false" customHeight="true" outlineLevel="0" collapsed="false">
      <c r="A1" s="1" t="s">
        <v>0</v>
      </c>
      <c r="B1" s="1"/>
      <c r="C1" s="1"/>
      <c r="D1" s="1"/>
      <c r="E1" s="1"/>
    </row>
    <row r="2" customFormat="false" ht="27.75" hidden="false" customHeight="true" outlineLevel="0" collapsed="false">
      <c r="A2" s="2" t="s">
        <v>164</v>
      </c>
      <c r="B2" s="2"/>
      <c r="C2" s="2"/>
      <c r="D2" s="2"/>
      <c r="E2" s="2"/>
    </row>
    <row r="3" customFormat="false" ht="30" hidden="false" customHeight="true" outlineLevel="0" collapsed="false">
      <c r="A3" s="3" t="s">
        <v>165</v>
      </c>
      <c r="B3" s="3"/>
      <c r="C3" s="3"/>
      <c r="D3" s="3"/>
      <c r="E3" s="3"/>
    </row>
    <row r="4" customFormat="false" ht="6" hidden="false" customHeight="true" outlineLevel="0" collapsed="false"/>
    <row r="5" customFormat="false" ht="30" hidden="false" customHeight="true" outlineLevel="0" collapsed="false">
      <c r="A5" s="4" t="s">
        <v>166</v>
      </c>
      <c r="B5" s="4" t="s">
        <v>167</v>
      </c>
      <c r="C5" s="4" t="s">
        <v>168</v>
      </c>
      <c r="D5" s="4" t="s">
        <v>169</v>
      </c>
      <c r="E5" s="4" t="s">
        <v>170</v>
      </c>
    </row>
    <row r="6" customFormat="false" ht="27.75" hidden="false" customHeight="true" outlineLevel="0" collapsed="false">
      <c r="A6" s="5" t="s">
        <v>171</v>
      </c>
      <c r="B6" s="6" t="s">
        <v>172</v>
      </c>
      <c r="C6" s="5" t="s">
        <v>173</v>
      </c>
      <c r="D6" s="5" t="s">
        <v>41</v>
      </c>
      <c r="E6" s="6" t="s">
        <v>174</v>
      </c>
    </row>
    <row r="7" customFormat="false" ht="27.75" hidden="false" customHeight="true" outlineLevel="0" collapsed="false">
      <c r="A7" s="7" t="s">
        <v>175</v>
      </c>
      <c r="B7" s="8" t="s">
        <v>176</v>
      </c>
      <c r="C7" s="7" t="s">
        <v>173</v>
      </c>
      <c r="D7" s="7" t="s">
        <v>41</v>
      </c>
      <c r="E7" s="8" t="s">
        <v>177</v>
      </c>
    </row>
    <row r="8" customFormat="false" ht="27.75" hidden="false" customHeight="true" outlineLevel="0" collapsed="false">
      <c r="A8" s="5" t="s">
        <v>178</v>
      </c>
      <c r="B8" s="6" t="s">
        <v>179</v>
      </c>
      <c r="C8" s="5" t="s">
        <v>173</v>
      </c>
      <c r="D8" s="5" t="s">
        <v>41</v>
      </c>
      <c r="E8" s="6"/>
    </row>
    <row r="9" customFormat="false" ht="27.75" hidden="false" customHeight="true" outlineLevel="0" collapsed="false">
      <c r="A9" s="7" t="s">
        <v>180</v>
      </c>
      <c r="B9" s="8" t="s">
        <v>181</v>
      </c>
      <c r="C9" s="7" t="s">
        <v>182</v>
      </c>
      <c r="D9" s="7" t="s">
        <v>43</v>
      </c>
      <c r="E9" s="8" t="s">
        <v>183</v>
      </c>
    </row>
    <row r="10" customFormat="false" ht="27.75" hidden="false" customHeight="true" outlineLevel="0" collapsed="false">
      <c r="A10" s="5" t="s">
        <v>184</v>
      </c>
      <c r="B10" s="6" t="s">
        <v>185</v>
      </c>
      <c r="C10" s="5" t="s">
        <v>182</v>
      </c>
      <c r="D10" s="5" t="s">
        <v>43</v>
      </c>
      <c r="E10" s="6"/>
    </row>
    <row r="11" customFormat="false" ht="27.75" hidden="false" customHeight="true" outlineLevel="0" collapsed="false">
      <c r="A11" s="7" t="s">
        <v>186</v>
      </c>
      <c r="B11" s="8" t="s">
        <v>187</v>
      </c>
      <c r="C11" s="7" t="s">
        <v>182</v>
      </c>
      <c r="D11" s="7" t="s">
        <v>43</v>
      </c>
      <c r="E11" s="8"/>
    </row>
    <row r="12" customFormat="false" ht="27.75" hidden="false" customHeight="true" outlineLevel="0" collapsed="false">
      <c r="A12" s="5" t="s">
        <v>188</v>
      </c>
      <c r="B12" s="6" t="s">
        <v>189</v>
      </c>
      <c r="C12" s="5" t="s">
        <v>182</v>
      </c>
      <c r="D12" s="5" t="s">
        <v>41</v>
      </c>
      <c r="E12" s="6" t="s">
        <v>190</v>
      </c>
    </row>
    <row r="13" customFormat="false" ht="27.75" hidden="false" customHeight="true" outlineLevel="0" collapsed="false">
      <c r="A13" s="7" t="s">
        <v>191</v>
      </c>
      <c r="B13" s="8" t="s">
        <v>192</v>
      </c>
      <c r="C13" s="7" t="s">
        <v>193</v>
      </c>
      <c r="D13" s="7" t="s">
        <v>194</v>
      </c>
      <c r="E13" s="8" t="s">
        <v>195</v>
      </c>
    </row>
    <row r="14" customFormat="false" ht="27.75" hidden="false" customHeight="true" outlineLevel="0" collapsed="false">
      <c r="A14" s="5" t="s">
        <v>196</v>
      </c>
      <c r="B14" s="6" t="s">
        <v>197</v>
      </c>
      <c r="C14" s="5" t="s">
        <v>122</v>
      </c>
      <c r="D14" s="5" t="s">
        <v>120</v>
      </c>
      <c r="E14" s="6" t="s">
        <v>198</v>
      </c>
    </row>
    <row r="15" customFormat="false" ht="27.75" hidden="false" customHeight="true" outlineLevel="0" collapsed="false">
      <c r="A15" s="7" t="s">
        <v>199</v>
      </c>
      <c r="B15" s="8" t="s">
        <v>200</v>
      </c>
      <c r="C15" s="7" t="s">
        <v>193</v>
      </c>
      <c r="D15" s="7" t="s">
        <v>194</v>
      </c>
      <c r="E15" s="8" t="s">
        <v>201</v>
      </c>
    </row>
    <row r="16" customFormat="false" ht="27.75" hidden="false" customHeight="true" outlineLevel="0" collapsed="false">
      <c r="A16" s="5" t="s">
        <v>202</v>
      </c>
      <c r="B16" s="6" t="s">
        <v>203</v>
      </c>
      <c r="C16" s="5" t="s">
        <v>112</v>
      </c>
      <c r="D16" s="5" t="s">
        <v>110</v>
      </c>
      <c r="E16" s="6"/>
    </row>
    <row r="17" customFormat="false" ht="27.75" hidden="false" customHeight="true" outlineLevel="0" collapsed="false">
      <c r="A17" s="7" t="s">
        <v>204</v>
      </c>
      <c r="B17" s="8" t="s">
        <v>205</v>
      </c>
      <c r="C17" s="7" t="s">
        <v>112</v>
      </c>
      <c r="D17" s="7" t="s">
        <v>110</v>
      </c>
      <c r="E17" s="8"/>
    </row>
    <row r="18" customFormat="false" ht="27.75" hidden="false" customHeight="true" outlineLevel="0" collapsed="false">
      <c r="A18" s="5" t="s">
        <v>206</v>
      </c>
      <c r="B18" s="6" t="s">
        <v>207</v>
      </c>
      <c r="C18" s="5" t="s">
        <v>208</v>
      </c>
      <c r="D18" s="5" t="s">
        <v>91</v>
      </c>
      <c r="E18" s="6" t="s">
        <v>209</v>
      </c>
    </row>
    <row r="19" customFormat="false" ht="27.75" hidden="false" customHeight="true" outlineLevel="0" collapsed="false">
      <c r="A19" s="7" t="s">
        <v>210</v>
      </c>
      <c r="B19" s="8" t="s">
        <v>211</v>
      </c>
      <c r="C19" s="7" t="s">
        <v>212</v>
      </c>
      <c r="D19" s="7" t="s">
        <v>41</v>
      </c>
      <c r="E19" s="8" t="s">
        <v>213</v>
      </c>
    </row>
    <row r="20" customFormat="false" ht="27.75" hidden="false" customHeight="true" outlineLevel="0" collapsed="false">
      <c r="A20" s="5" t="s">
        <v>214</v>
      </c>
      <c r="B20" s="6" t="s">
        <v>215</v>
      </c>
      <c r="C20" s="5" t="s">
        <v>212</v>
      </c>
      <c r="D20" s="5" t="s">
        <v>107</v>
      </c>
      <c r="E20" s="6"/>
    </row>
    <row r="21" customFormat="false" ht="27.75" hidden="false" customHeight="true" outlineLevel="0" collapsed="false">
      <c r="A21" s="7" t="s">
        <v>216</v>
      </c>
      <c r="B21" s="8" t="s">
        <v>217</v>
      </c>
      <c r="C21" s="7" t="s">
        <v>218</v>
      </c>
      <c r="D21" s="7" t="s">
        <v>158</v>
      </c>
      <c r="E21" s="8"/>
    </row>
    <row r="22" customFormat="false" ht="27.75" hidden="false" customHeight="true" outlineLevel="0" collapsed="false">
      <c r="A22" s="5" t="s">
        <v>219</v>
      </c>
      <c r="B22" s="6" t="s">
        <v>220</v>
      </c>
      <c r="C22" s="5" t="s">
        <v>221</v>
      </c>
      <c r="D22" s="5" t="s">
        <v>45</v>
      </c>
      <c r="E22" s="6"/>
    </row>
    <row r="23" customFormat="false" ht="27.75" hidden="false" customHeight="true" outlineLevel="0" collapsed="false">
      <c r="A23" s="7" t="s">
        <v>222</v>
      </c>
      <c r="B23" s="8" t="s">
        <v>223</v>
      </c>
      <c r="C23" s="7" t="s">
        <v>221</v>
      </c>
      <c r="D23" s="7" t="s">
        <v>45</v>
      </c>
      <c r="E23" s="8" t="s">
        <v>224</v>
      </c>
    </row>
    <row r="24" customFormat="false" ht="27.75" hidden="false" customHeight="true" outlineLevel="0" collapsed="false">
      <c r="A24" s="5" t="s">
        <v>225</v>
      </c>
      <c r="B24" s="6" t="s">
        <v>226</v>
      </c>
      <c r="C24" s="5" t="s">
        <v>221</v>
      </c>
      <c r="D24" s="5" t="s">
        <v>45</v>
      </c>
      <c r="E24" s="6"/>
    </row>
    <row r="25" customFormat="false" ht="27.75" hidden="false" customHeight="true" outlineLevel="0" collapsed="false">
      <c r="A25" s="7" t="s">
        <v>227</v>
      </c>
      <c r="B25" s="8" t="s">
        <v>228</v>
      </c>
      <c r="C25" s="7" t="s">
        <v>229</v>
      </c>
      <c r="D25" s="7" t="s">
        <v>158</v>
      </c>
      <c r="E25" s="8" t="s">
        <v>230</v>
      </c>
    </row>
    <row r="26" customFormat="false" ht="27.75" hidden="false" customHeight="true" outlineLevel="0" collapsed="false">
      <c r="A26" s="5" t="s">
        <v>231</v>
      </c>
      <c r="B26" s="6" t="s">
        <v>232</v>
      </c>
      <c r="C26" s="5" t="s">
        <v>229</v>
      </c>
      <c r="D26" s="5" t="s">
        <v>158</v>
      </c>
      <c r="E26" s="6"/>
    </row>
    <row r="27" customFormat="false" ht="27.75" hidden="false" customHeight="true" outlineLevel="0" collapsed="false">
      <c r="A27" s="7" t="s">
        <v>233</v>
      </c>
      <c r="B27" s="8" t="s">
        <v>234</v>
      </c>
      <c r="C27" s="7" t="s">
        <v>229</v>
      </c>
      <c r="D27" s="7" t="s">
        <v>158</v>
      </c>
      <c r="E27" s="8"/>
    </row>
    <row r="28" customFormat="false" ht="27.75" hidden="false" customHeight="true" outlineLevel="0" collapsed="false">
      <c r="A28" s="5" t="s">
        <v>235</v>
      </c>
      <c r="B28" s="6" t="s">
        <v>236</v>
      </c>
      <c r="C28" s="5" t="s">
        <v>237</v>
      </c>
      <c r="D28" s="5" t="s">
        <v>135</v>
      </c>
      <c r="E28" s="6"/>
    </row>
    <row r="29" customFormat="false" ht="27.75" hidden="false" customHeight="true" outlineLevel="0" collapsed="false">
      <c r="A29" s="7" t="s">
        <v>238</v>
      </c>
      <c r="B29" s="8" t="s">
        <v>239</v>
      </c>
      <c r="C29" s="7" t="s">
        <v>237</v>
      </c>
      <c r="D29" s="7" t="s">
        <v>45</v>
      </c>
      <c r="E29" s="8"/>
    </row>
    <row r="30" customFormat="false" ht="27.75" hidden="false" customHeight="true" outlineLevel="0" collapsed="false">
      <c r="A30" s="5" t="s">
        <v>240</v>
      </c>
      <c r="B30" s="6" t="s">
        <v>241</v>
      </c>
      <c r="C30" s="5" t="s">
        <v>237</v>
      </c>
      <c r="D30" s="5" t="s">
        <v>45</v>
      </c>
      <c r="E30" s="6" t="s">
        <v>242</v>
      </c>
    </row>
    <row r="31" customFormat="false" ht="27.75" hidden="false" customHeight="true" outlineLevel="0" collapsed="false">
      <c r="A31" s="7" t="s">
        <v>243</v>
      </c>
      <c r="B31" s="8" t="s">
        <v>244</v>
      </c>
      <c r="C31" s="7" t="s">
        <v>173</v>
      </c>
      <c r="D31" s="7" t="s">
        <v>41</v>
      </c>
      <c r="E31" s="8"/>
    </row>
    <row r="32" customFormat="false" ht="27.75" hidden="false" customHeight="true" outlineLevel="0" collapsed="false">
      <c r="A32" s="5" t="s">
        <v>245</v>
      </c>
      <c r="B32" s="6" t="s">
        <v>246</v>
      </c>
      <c r="C32" s="5" t="s">
        <v>173</v>
      </c>
      <c r="D32" s="5" t="s">
        <v>99</v>
      </c>
      <c r="E32" s="6"/>
    </row>
    <row r="33" customFormat="false" ht="27.75" hidden="false" customHeight="true" outlineLevel="0" collapsed="false">
      <c r="A33" s="7" t="s">
        <v>247</v>
      </c>
      <c r="B33" s="8" t="s">
        <v>248</v>
      </c>
      <c r="C33" s="7" t="s">
        <v>173</v>
      </c>
      <c r="D33" s="7" t="s">
        <v>99</v>
      </c>
      <c r="E33" s="8"/>
    </row>
    <row r="34" customFormat="false" ht="27.75" hidden="false" customHeight="true" outlineLevel="0" collapsed="false">
      <c r="A34" s="5" t="s">
        <v>249</v>
      </c>
      <c r="B34" s="6" t="s">
        <v>250</v>
      </c>
      <c r="C34" s="5" t="s">
        <v>112</v>
      </c>
      <c r="D34" s="5" t="s">
        <v>114</v>
      </c>
      <c r="E34" s="6"/>
    </row>
    <row r="35" customFormat="false" ht="27.75" hidden="false" customHeight="true" outlineLevel="0" collapsed="false">
      <c r="A35" s="7" t="s">
        <v>251</v>
      </c>
      <c r="B35" s="8" t="s">
        <v>252</v>
      </c>
      <c r="C35" s="7" t="s">
        <v>182</v>
      </c>
      <c r="D35" s="7" t="s">
        <v>41</v>
      </c>
      <c r="E35" s="8"/>
    </row>
    <row r="36" customFormat="false" ht="27.75" hidden="false" customHeight="true" outlineLevel="0" collapsed="false">
      <c r="A36" s="5" t="s">
        <v>253</v>
      </c>
      <c r="B36" s="6" t="s">
        <v>254</v>
      </c>
      <c r="C36" s="5" t="s">
        <v>182</v>
      </c>
      <c r="D36" s="5" t="s">
        <v>41</v>
      </c>
      <c r="E36" s="6"/>
    </row>
    <row r="37" customFormat="false" ht="27.75" hidden="false" customHeight="true" outlineLevel="0" collapsed="false">
      <c r="A37" s="7" t="s">
        <v>255</v>
      </c>
      <c r="B37" s="8" t="s">
        <v>256</v>
      </c>
      <c r="C37" s="7" t="s">
        <v>218</v>
      </c>
      <c r="D37" s="7" t="s">
        <v>158</v>
      </c>
      <c r="E37" s="8"/>
    </row>
    <row r="38" customFormat="false" ht="27.75" hidden="false" customHeight="true" outlineLevel="0" collapsed="false">
      <c r="A38" s="5" t="s">
        <v>257</v>
      </c>
      <c r="B38" s="6" t="s">
        <v>258</v>
      </c>
      <c r="C38" s="5" t="s">
        <v>133</v>
      </c>
      <c r="D38" s="5" t="s">
        <v>131</v>
      </c>
      <c r="E38" s="6"/>
    </row>
    <row r="39" customFormat="false" ht="27.75" hidden="false" customHeight="true" outlineLevel="0" collapsed="false">
      <c r="A39" s="7" t="s">
        <v>259</v>
      </c>
      <c r="B39" s="8" t="s">
        <v>260</v>
      </c>
      <c r="C39" s="7" t="s">
        <v>133</v>
      </c>
      <c r="D39" s="7" t="s">
        <v>131</v>
      </c>
      <c r="E39" s="8" t="s">
        <v>261</v>
      </c>
    </row>
    <row r="40" customFormat="false" ht="27.75" hidden="false" customHeight="true" outlineLevel="0" collapsed="false">
      <c r="A40" s="5" t="s">
        <v>262</v>
      </c>
      <c r="B40" s="6" t="s">
        <v>263</v>
      </c>
      <c r="C40" s="5" t="s">
        <v>133</v>
      </c>
      <c r="D40" s="5" t="s">
        <v>264</v>
      </c>
      <c r="E40" s="6" t="s">
        <v>265</v>
      </c>
    </row>
    <row r="41" customFormat="false" ht="27.75" hidden="false" customHeight="true" outlineLevel="0" collapsed="false">
      <c r="A41" s="7" t="s">
        <v>266</v>
      </c>
      <c r="B41" s="8" t="s">
        <v>267</v>
      </c>
      <c r="C41" s="7" t="s">
        <v>268</v>
      </c>
      <c r="D41" s="7" t="s">
        <v>135</v>
      </c>
      <c r="E41" s="8"/>
    </row>
    <row r="42" customFormat="false" ht="27.75" hidden="false" customHeight="true" outlineLevel="0" collapsed="false">
      <c r="A42" s="5" t="s">
        <v>269</v>
      </c>
      <c r="B42" s="6" t="s">
        <v>270</v>
      </c>
      <c r="C42" s="5" t="s">
        <v>268</v>
      </c>
      <c r="D42" s="5" t="s">
        <v>135</v>
      </c>
      <c r="E42" s="6"/>
    </row>
    <row r="43" customFormat="false" ht="27.75" hidden="false" customHeight="true" outlineLevel="0" collapsed="false">
      <c r="A43" s="7" t="s">
        <v>271</v>
      </c>
      <c r="B43" s="8" t="s">
        <v>272</v>
      </c>
      <c r="C43" s="7" t="s">
        <v>173</v>
      </c>
      <c r="D43" s="7" t="s">
        <v>41</v>
      </c>
      <c r="E43" s="8" t="s">
        <v>273</v>
      </c>
    </row>
    <row r="44" customFormat="false" ht="27.75" hidden="false" customHeight="true" outlineLevel="0" collapsed="false">
      <c r="A44" s="5" t="s">
        <v>274</v>
      </c>
      <c r="B44" s="6" t="s">
        <v>275</v>
      </c>
      <c r="C44" s="5" t="s">
        <v>276</v>
      </c>
      <c r="D44" s="5" t="s">
        <v>43</v>
      </c>
      <c r="E44" s="6" t="s">
        <v>277</v>
      </c>
    </row>
    <row r="45" customFormat="false" ht="27.75" hidden="false" customHeight="true" outlineLevel="0" collapsed="false">
      <c r="A45" s="7" t="s">
        <v>278</v>
      </c>
      <c r="B45" s="8" t="s">
        <v>279</v>
      </c>
      <c r="C45" s="7" t="s">
        <v>280</v>
      </c>
      <c r="D45" s="7" t="s">
        <v>45</v>
      </c>
      <c r="E45" s="8"/>
    </row>
    <row r="46" customFormat="false" ht="27.75" hidden="false" customHeight="true" outlineLevel="0" collapsed="false">
      <c r="A46" s="5" t="s">
        <v>281</v>
      </c>
      <c r="B46" s="6" t="s">
        <v>282</v>
      </c>
      <c r="C46" s="5" t="s">
        <v>221</v>
      </c>
      <c r="D46" s="5" t="s">
        <v>45</v>
      </c>
      <c r="E46" s="6"/>
    </row>
    <row r="47" customFormat="false" ht="27.75" hidden="false" customHeight="true" outlineLevel="0" collapsed="false">
      <c r="A47" s="7" t="s">
        <v>283</v>
      </c>
      <c r="B47" s="8" t="s">
        <v>284</v>
      </c>
      <c r="C47" s="7" t="s">
        <v>285</v>
      </c>
      <c r="D47" s="7" t="s">
        <v>135</v>
      </c>
      <c r="E47" s="8"/>
    </row>
  </sheetData>
  <autoFilter ref="A5:E47"/>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640"/>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4" min="3" style="0" width="58"/>
  </cols>
  <sheetData>
    <row r="1" customFormat="false" ht="19.5" hidden="false" customHeight="true" outlineLevel="0" collapsed="false">
      <c r="A1" s="1" t="s">
        <v>0</v>
      </c>
      <c r="B1" s="1"/>
      <c r="C1" s="1"/>
      <c r="D1" s="1"/>
    </row>
    <row r="2" customFormat="false" ht="27.75" hidden="false" customHeight="true" outlineLevel="0" collapsed="false">
      <c r="A2" s="2" t="s">
        <v>286</v>
      </c>
      <c r="B2" s="2"/>
      <c r="C2" s="2"/>
      <c r="D2" s="2"/>
    </row>
    <row r="3" customFormat="false" ht="30" hidden="false" customHeight="true" outlineLevel="0" collapsed="false">
      <c r="A3" s="3" t="s">
        <v>287</v>
      </c>
      <c r="B3" s="3"/>
      <c r="C3" s="3"/>
      <c r="D3" s="3"/>
    </row>
    <row r="4" customFormat="false" ht="6" hidden="false" customHeight="true" outlineLevel="0" collapsed="false"/>
    <row r="5" customFormat="false" ht="30" hidden="false" customHeight="true" outlineLevel="0" collapsed="false">
      <c r="A5" s="4" t="s">
        <v>288</v>
      </c>
      <c r="B5" s="4" t="s">
        <v>289</v>
      </c>
      <c r="C5" s="4" t="s">
        <v>290</v>
      </c>
      <c r="D5" s="4" t="s">
        <v>23</v>
      </c>
    </row>
    <row r="6" customFormat="false" ht="31.5" hidden="false" customHeight="true" outlineLevel="0" collapsed="false">
      <c r="A6" s="5" t="s">
        <v>291</v>
      </c>
      <c r="B6" s="6" t="s">
        <v>292</v>
      </c>
      <c r="C6" s="6" t="s">
        <v>293</v>
      </c>
      <c r="D6" s="6" t="s">
        <v>294</v>
      </c>
    </row>
    <row r="7" customFormat="false" ht="31.5" hidden="false" customHeight="true" outlineLevel="0" collapsed="false">
      <c r="A7" s="7" t="s">
        <v>295</v>
      </c>
      <c r="B7" s="8" t="s">
        <v>296</v>
      </c>
      <c r="C7" s="8" t="s">
        <v>297</v>
      </c>
      <c r="D7" s="8" t="s">
        <v>298</v>
      </c>
    </row>
    <row r="8" customFormat="false" ht="31.5" hidden="false" customHeight="true" outlineLevel="0" collapsed="false">
      <c r="A8" s="5" t="s">
        <v>299</v>
      </c>
      <c r="B8" s="6" t="s">
        <v>300</v>
      </c>
      <c r="C8" s="6" t="s">
        <v>301</v>
      </c>
      <c r="D8" s="6" t="s">
        <v>302</v>
      </c>
    </row>
    <row r="9" customFormat="false" ht="31.5" hidden="false" customHeight="true" outlineLevel="0" collapsed="false">
      <c r="A9" s="7" t="s">
        <v>303</v>
      </c>
      <c r="B9" s="8" t="s">
        <v>304</v>
      </c>
      <c r="C9" s="8" t="s">
        <v>305</v>
      </c>
      <c r="D9" s="8" t="s">
        <v>306</v>
      </c>
    </row>
    <row r="10" customFormat="false" ht="31.5" hidden="false" customHeight="true" outlineLevel="0" collapsed="false">
      <c r="A10" s="5" t="s">
        <v>307</v>
      </c>
      <c r="B10" s="6" t="s">
        <v>308</v>
      </c>
      <c r="C10" s="6" t="s">
        <v>309</v>
      </c>
      <c r="D10" s="6" t="s">
        <v>310</v>
      </c>
    </row>
    <row r="11" customFormat="false" ht="31.5" hidden="false" customHeight="true" outlineLevel="0" collapsed="false">
      <c r="A11" s="7" t="s">
        <v>311</v>
      </c>
      <c r="B11" s="8" t="s">
        <v>312</v>
      </c>
      <c r="C11" s="8" t="s">
        <v>313</v>
      </c>
      <c r="D11" s="8" t="s">
        <v>314</v>
      </c>
    </row>
    <row r="12" customFormat="false" ht="31.5" hidden="false" customHeight="true" outlineLevel="0" collapsed="false">
      <c r="A12" s="5" t="s">
        <v>315</v>
      </c>
      <c r="B12" s="6" t="s">
        <v>316</v>
      </c>
      <c r="C12" s="6" t="s">
        <v>317</v>
      </c>
      <c r="D12" s="6" t="s">
        <v>318</v>
      </c>
    </row>
    <row r="13" customFormat="false" ht="31.5" hidden="false" customHeight="true" outlineLevel="0" collapsed="false">
      <c r="A13" s="7" t="s">
        <v>319</v>
      </c>
      <c r="B13" s="8" t="s">
        <v>320</v>
      </c>
      <c r="C13" s="8" t="s">
        <v>321</v>
      </c>
      <c r="D13" s="8" t="s">
        <v>322</v>
      </c>
    </row>
    <row r="14" customFormat="false" ht="31.5" hidden="false" customHeight="true" outlineLevel="0" collapsed="false">
      <c r="A14" s="5" t="s">
        <v>323</v>
      </c>
      <c r="B14" s="6" t="s">
        <v>324</v>
      </c>
      <c r="C14" s="6" t="s">
        <v>325</v>
      </c>
      <c r="D14" s="6" t="s">
        <v>326</v>
      </c>
    </row>
    <row r="15" customFormat="false" ht="31.5" hidden="false" customHeight="true" outlineLevel="0" collapsed="false">
      <c r="A15" s="7" t="s">
        <v>327</v>
      </c>
      <c r="B15" s="8" t="s">
        <v>328</v>
      </c>
      <c r="C15" s="8" t="s">
        <v>329</v>
      </c>
      <c r="D15" s="8" t="s">
        <v>330</v>
      </c>
    </row>
    <row r="16" customFormat="false" ht="31.5" hidden="false" customHeight="true" outlineLevel="0" collapsed="false">
      <c r="A16" s="5" t="s">
        <v>331</v>
      </c>
      <c r="B16" s="6" t="s">
        <v>332</v>
      </c>
      <c r="C16" s="6" t="s">
        <v>8</v>
      </c>
      <c r="D16" s="6" t="s">
        <v>333</v>
      </c>
    </row>
    <row r="17" customFormat="false" ht="31.5" hidden="false" customHeight="true" outlineLevel="0" collapsed="false">
      <c r="A17" s="7" t="s">
        <v>334</v>
      </c>
      <c r="B17" s="8" t="s">
        <v>332</v>
      </c>
      <c r="C17" s="8" t="s">
        <v>8</v>
      </c>
      <c r="D17" s="8" t="s">
        <v>333</v>
      </c>
    </row>
  </sheetData>
  <autoFilter ref="A5:D17"/>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E5E"/>
    <pageSetUpPr fitToPage="tru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52"/>
    <col collapsed="false" customWidth="true" hidden="false" outlineLevel="0" max="4" min="4" style="0" width="86"/>
    <col collapsed="false" customWidth="true" hidden="false" outlineLevel="0" max="5" min="5" style="0" width="68"/>
    <col collapsed="false" customWidth="true" hidden="false" outlineLevel="0" max="6" min="6" style="0" width="20"/>
    <col collapsed="false" customWidth="true" hidden="false" outlineLevel="0" max="7" min="7" style="0" width="14"/>
    <col collapsed="false" customWidth="true" hidden="false" outlineLevel="0" max="8" min="8" style="0" width="34"/>
  </cols>
  <sheetData>
    <row r="1" customFormat="false" ht="19.5" hidden="false" customHeight="true" outlineLevel="0" collapsed="false">
      <c r="A1" s="11" t="s">
        <v>335</v>
      </c>
      <c r="B1" s="11"/>
      <c r="C1" s="11"/>
      <c r="D1" s="11"/>
      <c r="E1" s="11"/>
      <c r="F1" s="11"/>
      <c r="G1" s="11"/>
      <c r="H1" s="11"/>
    </row>
    <row r="2" customFormat="false" ht="27.75" hidden="false" customHeight="true" outlineLevel="0" collapsed="false">
      <c r="A2" s="12" t="s">
        <v>336</v>
      </c>
      <c r="B2" s="12"/>
      <c r="C2" s="12"/>
      <c r="D2" s="12"/>
      <c r="E2" s="12"/>
      <c r="F2" s="12"/>
      <c r="G2" s="12"/>
      <c r="H2" s="12"/>
    </row>
    <row r="3" customFormat="false" ht="30" hidden="false" customHeight="true" outlineLevel="0" collapsed="false">
      <c r="A3" s="13" t="s">
        <v>337</v>
      </c>
      <c r="B3" s="13"/>
      <c r="C3" s="13"/>
      <c r="D3" s="13"/>
      <c r="E3" s="13"/>
      <c r="F3" s="13"/>
      <c r="G3" s="13"/>
      <c r="H3" s="13"/>
    </row>
    <row r="4" customFormat="false" ht="6" hidden="false" customHeight="true" outlineLevel="0" collapsed="false"/>
    <row r="5" customFormat="false" ht="30" hidden="false" customHeight="true" outlineLevel="0" collapsed="false">
      <c r="A5" s="14" t="s">
        <v>338</v>
      </c>
      <c r="B5" s="14" t="s">
        <v>339</v>
      </c>
      <c r="C5" s="14" t="s">
        <v>289</v>
      </c>
      <c r="D5" s="14" t="s">
        <v>340</v>
      </c>
      <c r="E5" s="14" t="s">
        <v>341</v>
      </c>
      <c r="F5" s="14" t="s">
        <v>342</v>
      </c>
      <c r="G5" s="14" t="s">
        <v>343</v>
      </c>
      <c r="H5" s="14" t="s">
        <v>344</v>
      </c>
    </row>
    <row r="6" customFormat="false" ht="96" hidden="false" customHeight="true" outlineLevel="0" collapsed="false">
      <c r="A6" s="5" t="s">
        <v>345</v>
      </c>
      <c r="B6" s="5" t="s">
        <v>346</v>
      </c>
      <c r="C6" s="6" t="s">
        <v>347</v>
      </c>
      <c r="D6" s="6" t="s">
        <v>348</v>
      </c>
      <c r="E6" s="6" t="s">
        <v>349</v>
      </c>
      <c r="F6" s="5" t="s">
        <v>350</v>
      </c>
      <c r="G6" s="5" t="s">
        <v>351</v>
      </c>
      <c r="H6" s="6" t="s">
        <v>352</v>
      </c>
    </row>
    <row r="7" customFormat="false" ht="96" hidden="false" customHeight="true" outlineLevel="0" collapsed="false">
      <c r="A7" s="7" t="s">
        <v>353</v>
      </c>
      <c r="B7" s="7" t="s">
        <v>354</v>
      </c>
      <c r="C7" s="8" t="s">
        <v>355</v>
      </c>
      <c r="D7" s="8" t="s">
        <v>356</v>
      </c>
      <c r="E7" s="8" t="s">
        <v>357</v>
      </c>
      <c r="F7" s="7" t="s">
        <v>358</v>
      </c>
      <c r="G7" s="7" t="s">
        <v>359</v>
      </c>
      <c r="H7" s="8" t="s">
        <v>41</v>
      </c>
    </row>
    <row r="8" customFormat="false" ht="96" hidden="false" customHeight="true" outlineLevel="0" collapsed="false">
      <c r="A8" s="5" t="s">
        <v>360</v>
      </c>
      <c r="B8" s="5" t="s">
        <v>361</v>
      </c>
      <c r="C8" s="6" t="s">
        <v>362</v>
      </c>
      <c r="D8" s="6" t="s">
        <v>363</v>
      </c>
      <c r="E8" s="6" t="s">
        <v>364</v>
      </c>
      <c r="F8" s="5" t="s">
        <v>365</v>
      </c>
      <c r="G8" s="5" t="s">
        <v>366</v>
      </c>
      <c r="H8" s="6" t="s">
        <v>41</v>
      </c>
    </row>
    <row r="9" customFormat="false" ht="96" hidden="false" customHeight="true" outlineLevel="0" collapsed="false">
      <c r="A9" s="7" t="s">
        <v>367</v>
      </c>
      <c r="B9" s="7" t="s">
        <v>368</v>
      </c>
      <c r="C9" s="8" t="s">
        <v>369</v>
      </c>
      <c r="D9" s="8" t="s">
        <v>370</v>
      </c>
      <c r="E9" s="8" t="s">
        <v>371</v>
      </c>
      <c r="F9" s="7" t="s">
        <v>372</v>
      </c>
      <c r="G9" s="7" t="s">
        <v>373</v>
      </c>
      <c r="H9" s="8" t="s">
        <v>374</v>
      </c>
    </row>
    <row r="10" customFormat="false" ht="96" hidden="false" customHeight="true" outlineLevel="0" collapsed="false">
      <c r="A10" s="5" t="s">
        <v>375</v>
      </c>
      <c r="B10" s="5" t="s">
        <v>376</v>
      </c>
      <c r="C10" s="6" t="s">
        <v>377</v>
      </c>
      <c r="D10" s="6" t="s">
        <v>378</v>
      </c>
      <c r="E10" s="6" t="s">
        <v>379</v>
      </c>
      <c r="F10" s="5" t="s">
        <v>380</v>
      </c>
      <c r="G10" s="5" t="s">
        <v>381</v>
      </c>
      <c r="H10" s="6" t="s">
        <v>382</v>
      </c>
    </row>
    <row r="12" customFormat="false" ht="25.5" hidden="false" customHeight="true" outlineLevel="0" collapsed="false">
      <c r="A12" s="9" t="s">
        <v>383</v>
      </c>
      <c r="B12" s="9"/>
      <c r="C12" s="9"/>
      <c r="D12" s="9"/>
      <c r="E12" s="9"/>
      <c r="F12" s="9"/>
      <c r="G12" s="9"/>
      <c r="H12" s="9"/>
    </row>
  </sheetData>
  <autoFilter ref="A5:H10"/>
  <mergeCells count="4">
    <mergeCell ref="A1:H1"/>
    <mergeCell ref="A2:H2"/>
    <mergeCell ref="A3:H3"/>
    <mergeCell ref="A12:H1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E5E"/>
    <pageSetUpPr fitToPage="tru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44"/>
    <col collapsed="false" customWidth="true" hidden="false" outlineLevel="0" max="4" min="4" style="0" width="74"/>
    <col collapsed="false" customWidth="true" hidden="false" outlineLevel="0" max="5" min="5" style="0" width="66"/>
    <col collapsed="false" customWidth="true" hidden="false" outlineLevel="0" max="6" min="6" style="0" width="34"/>
    <col collapsed="false" customWidth="true" hidden="false" outlineLevel="0" max="7" min="7" style="0" width="18"/>
  </cols>
  <sheetData>
    <row r="1" customFormat="false" ht="19.5" hidden="false" customHeight="true" outlineLevel="0" collapsed="false">
      <c r="A1" s="11" t="s">
        <v>335</v>
      </c>
      <c r="B1" s="11"/>
      <c r="C1" s="11"/>
      <c r="D1" s="11"/>
      <c r="E1" s="11"/>
      <c r="F1" s="11"/>
      <c r="G1" s="11"/>
    </row>
    <row r="2" customFormat="false" ht="27.75" hidden="false" customHeight="true" outlineLevel="0" collapsed="false">
      <c r="A2" s="12" t="s">
        <v>384</v>
      </c>
      <c r="B2" s="12"/>
      <c r="C2" s="12"/>
      <c r="D2" s="12"/>
      <c r="E2" s="12"/>
      <c r="F2" s="12"/>
      <c r="G2" s="12"/>
    </row>
    <row r="3" customFormat="false" ht="30" hidden="false" customHeight="true" outlineLevel="0" collapsed="false">
      <c r="A3" s="13" t="s">
        <v>385</v>
      </c>
      <c r="B3" s="13"/>
      <c r="C3" s="13"/>
      <c r="D3" s="13"/>
      <c r="E3" s="13"/>
      <c r="F3" s="13"/>
      <c r="G3" s="13"/>
    </row>
    <row r="4" customFormat="false" ht="6" hidden="false" customHeight="true" outlineLevel="0" collapsed="false"/>
    <row r="5" customFormat="false" ht="30" hidden="false" customHeight="true" outlineLevel="0" collapsed="false">
      <c r="A5" s="14" t="s">
        <v>80</v>
      </c>
      <c r="B5" s="14" t="s">
        <v>299</v>
      </c>
      <c r="C5" s="14" t="s">
        <v>386</v>
      </c>
      <c r="D5" s="14" t="s">
        <v>387</v>
      </c>
      <c r="E5" s="14" t="s">
        <v>23</v>
      </c>
      <c r="F5" s="14" t="s">
        <v>388</v>
      </c>
      <c r="G5" s="14" t="s">
        <v>40</v>
      </c>
    </row>
    <row r="6" customFormat="false" ht="63.75" hidden="false" customHeight="true" outlineLevel="0" collapsed="false">
      <c r="A6" s="5" t="s">
        <v>389</v>
      </c>
      <c r="B6" s="5" t="s">
        <v>390</v>
      </c>
      <c r="C6" s="6" t="s">
        <v>391</v>
      </c>
      <c r="D6" s="6" t="s">
        <v>392</v>
      </c>
      <c r="E6" s="6" t="s">
        <v>393</v>
      </c>
      <c r="F6" s="6" t="s">
        <v>394</v>
      </c>
      <c r="G6" s="5" t="s">
        <v>99</v>
      </c>
    </row>
    <row r="7" customFormat="false" ht="63.75" hidden="false" customHeight="true" outlineLevel="0" collapsed="false">
      <c r="A7" s="7" t="s">
        <v>395</v>
      </c>
      <c r="B7" s="7" t="s">
        <v>396</v>
      </c>
      <c r="C7" s="8" t="s">
        <v>397</v>
      </c>
      <c r="D7" s="8" t="s">
        <v>398</v>
      </c>
      <c r="E7" s="8" t="s">
        <v>399</v>
      </c>
      <c r="F7" s="8" t="s">
        <v>394</v>
      </c>
      <c r="G7" s="7" t="s">
        <v>104</v>
      </c>
    </row>
    <row r="8" customFormat="false" ht="63.75" hidden="false" customHeight="true" outlineLevel="0" collapsed="false">
      <c r="A8" s="5" t="s">
        <v>400</v>
      </c>
      <c r="B8" s="5" t="s">
        <v>401</v>
      </c>
      <c r="C8" s="6" t="s">
        <v>402</v>
      </c>
      <c r="D8" s="6" t="s">
        <v>403</v>
      </c>
      <c r="E8" s="6" t="s">
        <v>404</v>
      </c>
      <c r="F8" s="6" t="s">
        <v>394</v>
      </c>
      <c r="G8" s="5" t="s">
        <v>110</v>
      </c>
    </row>
    <row r="9" customFormat="false" ht="63.75" hidden="false" customHeight="true" outlineLevel="0" collapsed="false">
      <c r="A9" s="7" t="s">
        <v>405</v>
      </c>
      <c r="B9" s="7" t="s">
        <v>406</v>
      </c>
      <c r="C9" s="8" t="s">
        <v>407</v>
      </c>
      <c r="D9" s="8" t="s">
        <v>408</v>
      </c>
      <c r="E9" s="8" t="s">
        <v>409</v>
      </c>
      <c r="F9" s="8" t="s">
        <v>394</v>
      </c>
      <c r="G9" s="7" t="s">
        <v>41</v>
      </c>
    </row>
    <row r="10" customFormat="false" ht="63.75" hidden="false" customHeight="true" outlineLevel="0" collapsed="false">
      <c r="A10" s="5" t="s">
        <v>410</v>
      </c>
      <c r="B10" s="5" t="s">
        <v>411</v>
      </c>
      <c r="C10" s="6" t="s">
        <v>412</v>
      </c>
      <c r="D10" s="6" t="s">
        <v>413</v>
      </c>
      <c r="E10" s="6" t="s">
        <v>414</v>
      </c>
      <c r="F10" s="6" t="s">
        <v>415</v>
      </c>
      <c r="G10" s="5" t="s">
        <v>114</v>
      </c>
    </row>
  </sheetData>
  <autoFilter ref="A5:G10"/>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E5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6" min="2" style="0" width="20"/>
  </cols>
  <sheetData>
    <row r="1" customFormat="false" ht="19.5" hidden="false" customHeight="true" outlineLevel="0" collapsed="false">
      <c r="A1" s="11" t="s">
        <v>335</v>
      </c>
      <c r="B1" s="11"/>
      <c r="C1" s="11"/>
      <c r="D1" s="11"/>
      <c r="E1" s="11"/>
      <c r="F1" s="11"/>
    </row>
    <row r="2" customFormat="false" ht="27.75" hidden="false" customHeight="true" outlineLevel="0" collapsed="false">
      <c r="A2" s="12" t="s">
        <v>416</v>
      </c>
      <c r="B2" s="12"/>
      <c r="C2" s="12"/>
      <c r="D2" s="12"/>
      <c r="E2" s="12"/>
      <c r="F2" s="12"/>
    </row>
    <row r="3" customFormat="false" ht="30" hidden="false" customHeight="true" outlineLevel="0" collapsed="false">
      <c r="A3" s="13" t="s">
        <v>417</v>
      </c>
      <c r="B3" s="13"/>
      <c r="C3" s="13"/>
      <c r="D3" s="13"/>
      <c r="E3" s="13"/>
      <c r="F3" s="13"/>
    </row>
    <row r="4" customFormat="false" ht="6" hidden="false" customHeight="true" outlineLevel="0" collapsed="false"/>
    <row r="5" customFormat="false" ht="30" hidden="false" customHeight="true" outlineLevel="0" collapsed="false">
      <c r="A5" s="14" t="s">
        <v>418</v>
      </c>
      <c r="B5" s="14" t="s">
        <v>345</v>
      </c>
      <c r="C5" s="14" t="s">
        <v>353</v>
      </c>
      <c r="D5" s="14" t="s">
        <v>360</v>
      </c>
      <c r="E5" s="14" t="s">
        <v>367</v>
      </c>
      <c r="F5" s="14" t="s">
        <v>375</v>
      </c>
    </row>
    <row r="6" customFormat="false" ht="18" hidden="false" customHeight="true" outlineLevel="0" collapsed="false">
      <c r="A6" s="5" t="s">
        <v>419</v>
      </c>
      <c r="B6" s="15" t="s">
        <v>420</v>
      </c>
      <c r="C6" s="15" t="s">
        <v>420</v>
      </c>
      <c r="D6" s="15" t="s">
        <v>420</v>
      </c>
      <c r="E6" s="15" t="s">
        <v>420</v>
      </c>
      <c r="F6" s="15" t="s">
        <v>420</v>
      </c>
    </row>
    <row r="7" customFormat="false" ht="18" hidden="false" customHeight="true" outlineLevel="0" collapsed="false">
      <c r="A7" s="7" t="s">
        <v>421</v>
      </c>
      <c r="B7" s="16" t="s">
        <v>422</v>
      </c>
      <c r="C7" s="16" t="s">
        <v>420</v>
      </c>
      <c r="D7" s="16" t="s">
        <v>420</v>
      </c>
      <c r="E7" s="16" t="s">
        <v>420</v>
      </c>
      <c r="F7" s="16" t="s">
        <v>420</v>
      </c>
    </row>
    <row r="8" customFormat="false" ht="18" hidden="false" customHeight="true" outlineLevel="0" collapsed="false">
      <c r="A8" s="5" t="s">
        <v>423</v>
      </c>
      <c r="B8" s="15" t="s">
        <v>422</v>
      </c>
      <c r="C8" s="15" t="s">
        <v>420</v>
      </c>
      <c r="D8" s="15" t="s">
        <v>420</v>
      </c>
      <c r="E8" s="15" t="s">
        <v>420</v>
      </c>
      <c r="F8" s="15" t="s">
        <v>420</v>
      </c>
    </row>
    <row r="9" customFormat="false" ht="18" hidden="false" customHeight="true" outlineLevel="0" collapsed="false">
      <c r="A9" s="7" t="s">
        <v>424</v>
      </c>
      <c r="B9" s="16" t="s">
        <v>420</v>
      </c>
      <c r="C9" s="16" t="s">
        <v>420</v>
      </c>
      <c r="D9" s="16" t="s">
        <v>420</v>
      </c>
      <c r="E9" s="16" t="s">
        <v>420</v>
      </c>
      <c r="F9" s="16" t="s">
        <v>420</v>
      </c>
    </row>
    <row r="10" customFormat="false" ht="18" hidden="false" customHeight="true" outlineLevel="0" collapsed="false">
      <c r="A10" s="5" t="s">
        <v>425</v>
      </c>
      <c r="B10" s="15" t="s">
        <v>420</v>
      </c>
      <c r="C10" s="15" t="s">
        <v>420</v>
      </c>
      <c r="D10" s="15" t="s">
        <v>420</v>
      </c>
      <c r="E10" s="15" t="s">
        <v>420</v>
      </c>
      <c r="F10" s="15" t="s">
        <v>420</v>
      </c>
    </row>
    <row r="11" customFormat="false" ht="18" hidden="false" customHeight="true" outlineLevel="0" collapsed="false">
      <c r="A11" s="7" t="s">
        <v>426</v>
      </c>
      <c r="B11" s="16" t="s">
        <v>420</v>
      </c>
      <c r="C11" s="16" t="s">
        <v>420</v>
      </c>
      <c r="D11" s="16" t="s">
        <v>420</v>
      </c>
      <c r="E11" s="16" t="s">
        <v>420</v>
      </c>
      <c r="F11" s="16" t="s">
        <v>420</v>
      </c>
    </row>
    <row r="12" customFormat="false" ht="18" hidden="false" customHeight="true" outlineLevel="0" collapsed="false">
      <c r="A12" s="5" t="s">
        <v>427</v>
      </c>
      <c r="B12" s="15" t="s">
        <v>422</v>
      </c>
      <c r="C12" s="15" t="s">
        <v>420</v>
      </c>
      <c r="D12" s="15" t="s">
        <v>420</v>
      </c>
      <c r="E12" s="15" t="s">
        <v>420</v>
      </c>
      <c r="F12" s="15" t="s">
        <v>420</v>
      </c>
    </row>
    <row r="13" customFormat="false" ht="18" hidden="false" customHeight="true" outlineLevel="0" collapsed="false">
      <c r="A13" s="7" t="s">
        <v>428</v>
      </c>
      <c r="B13" s="16" t="s">
        <v>422</v>
      </c>
      <c r="C13" s="16" t="s">
        <v>422</v>
      </c>
      <c r="D13" s="16" t="s">
        <v>420</v>
      </c>
      <c r="E13" s="16" t="s">
        <v>420</v>
      </c>
      <c r="F13" s="16" t="s">
        <v>420</v>
      </c>
    </row>
    <row r="14" customFormat="false" ht="18" hidden="false" customHeight="true" outlineLevel="0" collapsed="false">
      <c r="A14" s="5" t="s">
        <v>429</v>
      </c>
      <c r="B14" s="15" t="s">
        <v>422</v>
      </c>
      <c r="C14" s="15" t="s">
        <v>422</v>
      </c>
      <c r="D14" s="15" t="s">
        <v>422</v>
      </c>
      <c r="E14" s="15" t="s">
        <v>420</v>
      </c>
      <c r="F14" s="15" t="s">
        <v>420</v>
      </c>
    </row>
    <row r="15" customFormat="false" ht="18" hidden="false" customHeight="true" outlineLevel="0" collapsed="false">
      <c r="A15" s="7" t="s">
        <v>430</v>
      </c>
      <c r="B15" s="16" t="s">
        <v>422</v>
      </c>
      <c r="C15" s="16" t="s">
        <v>422</v>
      </c>
      <c r="D15" s="16" t="s">
        <v>422</v>
      </c>
      <c r="E15" s="16" t="s">
        <v>420</v>
      </c>
      <c r="F15" s="16" t="s">
        <v>420</v>
      </c>
    </row>
    <row r="16" customFormat="false" ht="18" hidden="false" customHeight="true" outlineLevel="0" collapsed="false">
      <c r="A16" s="5" t="s">
        <v>431</v>
      </c>
      <c r="B16" s="15" t="s">
        <v>422</v>
      </c>
      <c r="C16" s="15" t="s">
        <v>422</v>
      </c>
      <c r="D16" s="15" t="s">
        <v>422</v>
      </c>
      <c r="E16" s="15" t="s">
        <v>422</v>
      </c>
      <c r="F16" s="15" t="s">
        <v>420</v>
      </c>
    </row>
    <row r="17" customFormat="false" ht="18" hidden="false" customHeight="true" outlineLevel="0" collapsed="false">
      <c r="A17" s="7" t="s">
        <v>432</v>
      </c>
      <c r="B17" s="16" t="s">
        <v>422</v>
      </c>
      <c r="C17" s="16" t="s">
        <v>422</v>
      </c>
      <c r="D17" s="16" t="s">
        <v>422</v>
      </c>
      <c r="E17" s="16" t="s">
        <v>422</v>
      </c>
      <c r="F17" s="16" t="s">
        <v>420</v>
      </c>
    </row>
    <row r="18" customFormat="false" ht="18" hidden="false" customHeight="true" outlineLevel="0" collapsed="false">
      <c r="A18" s="5" t="s">
        <v>433</v>
      </c>
      <c r="B18" s="15" t="s">
        <v>422</v>
      </c>
      <c r="C18" s="15" t="s">
        <v>422</v>
      </c>
      <c r="D18" s="15" t="s">
        <v>422</v>
      </c>
      <c r="E18" s="15" t="s">
        <v>420</v>
      </c>
      <c r="F18" s="15" t="s">
        <v>420</v>
      </c>
    </row>
    <row r="19" customFormat="false" ht="18" hidden="false" customHeight="true" outlineLevel="0" collapsed="false">
      <c r="A19" s="7" t="s">
        <v>434</v>
      </c>
      <c r="B19" s="16" t="s">
        <v>422</v>
      </c>
      <c r="C19" s="16" t="s">
        <v>422</v>
      </c>
      <c r="D19" s="16" t="s">
        <v>422</v>
      </c>
      <c r="E19" s="16" t="s">
        <v>420</v>
      </c>
      <c r="F19" s="16" t="s">
        <v>420</v>
      </c>
    </row>
    <row r="20" customFormat="false" ht="18" hidden="false" customHeight="true" outlineLevel="0" collapsed="false">
      <c r="A20" s="5" t="s">
        <v>435</v>
      </c>
      <c r="B20" s="15" t="s">
        <v>351</v>
      </c>
      <c r="C20" s="15" t="s">
        <v>436</v>
      </c>
      <c r="D20" s="15" t="s">
        <v>437</v>
      </c>
      <c r="E20" s="15" t="s">
        <v>438</v>
      </c>
      <c r="F20" s="15" t="s">
        <v>439</v>
      </c>
    </row>
    <row r="21" customFormat="false" ht="18" hidden="false" customHeight="true" outlineLevel="0" collapsed="false">
      <c r="A21" s="7" t="s">
        <v>440</v>
      </c>
      <c r="B21" s="16" t="s">
        <v>351</v>
      </c>
      <c r="C21" s="16" t="s">
        <v>441</v>
      </c>
      <c r="D21" s="16" t="s">
        <v>442</v>
      </c>
      <c r="E21" s="16" t="s">
        <v>443</v>
      </c>
      <c r="F21" s="16" t="s">
        <v>444</v>
      </c>
    </row>
  </sheetData>
  <autoFilter ref="A5:F21"/>
  <mergeCells count="3">
    <mergeCell ref="A1:F1"/>
    <mergeCell ref="A2:F2"/>
    <mergeCell ref="A3:F3"/>
  </mergeCells>
  <conditionalFormatting sqref="B6:F21">
    <cfRule type="cellIs" priority="2" operator="equal" aboveAverage="0" equalAverage="0" bottom="0" percent="0" rank="0" text="" dxfId="10">
      <formula>"Yes"</formula>
    </cfRule>
    <cfRule type="cellIs" priority="3" operator="equal" aboveAverage="0" equalAverage="0" bottom="0" percent="0" rank="0" text="" dxfId="11">
      <formula>"No"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E5E"/>
    <pageSetUpPr fitToPage="tru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0"/>
    <col collapsed="false" customWidth="true" hidden="false" outlineLevel="0" max="3" min="3" style="0" width="26"/>
    <col collapsed="false" customWidth="true" hidden="false" outlineLevel="0" max="4" min="4" style="0" width="34"/>
    <col collapsed="false" customWidth="true" hidden="false" outlineLevel="0" max="5" min="5" style="0" width="40"/>
  </cols>
  <sheetData>
    <row r="1" customFormat="false" ht="19.5" hidden="false" customHeight="true" outlineLevel="0" collapsed="false">
      <c r="A1" s="11" t="s">
        <v>335</v>
      </c>
      <c r="B1" s="11"/>
      <c r="C1" s="11"/>
      <c r="D1" s="11"/>
      <c r="E1" s="11"/>
    </row>
    <row r="2" customFormat="false" ht="27.75" hidden="false" customHeight="true" outlineLevel="0" collapsed="false">
      <c r="A2" s="12" t="s">
        <v>445</v>
      </c>
      <c r="B2" s="12"/>
      <c r="C2" s="12"/>
      <c r="D2" s="12"/>
      <c r="E2" s="12"/>
    </row>
    <row r="3" customFormat="false" ht="30" hidden="false" customHeight="true" outlineLevel="0" collapsed="false">
      <c r="A3" s="13" t="s">
        <v>446</v>
      </c>
      <c r="B3" s="13"/>
      <c r="C3" s="13"/>
      <c r="D3" s="13"/>
      <c r="E3" s="13"/>
    </row>
    <row r="4" customFormat="false" ht="6" hidden="false" customHeight="true" outlineLevel="0" collapsed="false"/>
    <row r="5" customFormat="false" ht="30" hidden="false" customHeight="true" outlineLevel="0" collapsed="false">
      <c r="A5" s="14" t="s">
        <v>23</v>
      </c>
      <c r="B5" s="14" t="s">
        <v>447</v>
      </c>
      <c r="C5" s="14" t="s">
        <v>448</v>
      </c>
      <c r="D5" s="14" t="s">
        <v>344</v>
      </c>
      <c r="E5" s="14" t="s">
        <v>449</v>
      </c>
    </row>
    <row r="6" customFormat="false" ht="42" hidden="false" customHeight="true" outlineLevel="0" collapsed="false">
      <c r="A6" s="5" t="s">
        <v>450</v>
      </c>
      <c r="B6" s="6" t="s">
        <v>451</v>
      </c>
      <c r="C6" s="5" t="s">
        <v>452</v>
      </c>
      <c r="D6" s="5" t="s">
        <v>453</v>
      </c>
      <c r="E6" s="6" t="s">
        <v>454</v>
      </c>
    </row>
    <row r="7" customFormat="false" ht="42" hidden="false" customHeight="true" outlineLevel="0" collapsed="false">
      <c r="A7" s="7" t="s">
        <v>455</v>
      </c>
      <c r="B7" s="8" t="s">
        <v>456</v>
      </c>
      <c r="C7" s="7" t="s">
        <v>457</v>
      </c>
      <c r="D7" s="7" t="s">
        <v>458</v>
      </c>
      <c r="E7" s="8" t="s">
        <v>459</v>
      </c>
    </row>
    <row r="8" customFormat="false" ht="42" hidden="false" customHeight="true" outlineLevel="0" collapsed="false">
      <c r="A8" s="5" t="s">
        <v>460</v>
      </c>
      <c r="B8" s="6" t="s">
        <v>461</v>
      </c>
      <c r="C8" s="5" t="s">
        <v>462</v>
      </c>
      <c r="D8" s="5" t="s">
        <v>463</v>
      </c>
      <c r="E8" s="6" t="s">
        <v>464</v>
      </c>
    </row>
    <row r="9" customFormat="false" ht="42" hidden="false" customHeight="true" outlineLevel="0" collapsed="false">
      <c r="A9" s="7" t="s">
        <v>465</v>
      </c>
      <c r="B9" s="8" t="s">
        <v>466</v>
      </c>
      <c r="C9" s="7" t="s">
        <v>467</v>
      </c>
      <c r="D9" s="7" t="s">
        <v>468</v>
      </c>
      <c r="E9" s="8" t="s">
        <v>469</v>
      </c>
    </row>
    <row r="10" customFormat="false" ht="42" hidden="false" customHeight="true" outlineLevel="0" collapsed="false">
      <c r="A10" s="5" t="s">
        <v>470</v>
      </c>
      <c r="B10" s="6" t="s">
        <v>471</v>
      </c>
      <c r="C10" s="5" t="s">
        <v>472</v>
      </c>
      <c r="D10" s="5" t="s">
        <v>41</v>
      </c>
      <c r="E10" s="6" t="s">
        <v>473</v>
      </c>
    </row>
    <row r="11" customFormat="false" ht="42" hidden="false" customHeight="true" outlineLevel="0" collapsed="false">
      <c r="A11" s="7" t="s">
        <v>474</v>
      </c>
      <c r="B11" s="8" t="s">
        <v>475</v>
      </c>
      <c r="C11" s="7" t="s">
        <v>476</v>
      </c>
      <c r="D11" s="7" t="s">
        <v>41</v>
      </c>
      <c r="E11" s="8" t="s">
        <v>420</v>
      </c>
    </row>
    <row r="12" customFormat="false" ht="42" hidden="false" customHeight="true" outlineLevel="0" collapsed="false">
      <c r="A12" s="5" t="s">
        <v>477</v>
      </c>
      <c r="B12" s="6" t="s">
        <v>478</v>
      </c>
      <c r="C12" s="5" t="s">
        <v>479</v>
      </c>
      <c r="D12" s="5" t="s">
        <v>480</v>
      </c>
      <c r="E12" s="6" t="s">
        <v>481</v>
      </c>
    </row>
    <row r="13" customFormat="false" ht="42" hidden="false" customHeight="true" outlineLevel="0" collapsed="false">
      <c r="A13" s="7" t="s">
        <v>482</v>
      </c>
      <c r="B13" s="8" t="s">
        <v>483</v>
      </c>
      <c r="C13" s="7" t="s">
        <v>484</v>
      </c>
      <c r="D13" s="7" t="s">
        <v>485</v>
      </c>
      <c r="E13" s="8" t="s">
        <v>486</v>
      </c>
    </row>
    <row r="14" customFormat="false" ht="42" hidden="false" customHeight="true" outlineLevel="0" collapsed="false">
      <c r="A14" s="5" t="s">
        <v>487</v>
      </c>
      <c r="B14" s="6" t="s">
        <v>488</v>
      </c>
      <c r="C14" s="5" t="s">
        <v>489</v>
      </c>
      <c r="D14" s="5" t="s">
        <v>490</v>
      </c>
      <c r="E14" s="6" t="s">
        <v>420</v>
      </c>
    </row>
    <row r="15" customFormat="false" ht="42" hidden="false" customHeight="true" outlineLevel="0" collapsed="false">
      <c r="A15" s="7" t="s">
        <v>491</v>
      </c>
      <c r="B15" s="8" t="s">
        <v>492</v>
      </c>
      <c r="C15" s="7" t="s">
        <v>493</v>
      </c>
      <c r="D15" s="7" t="s">
        <v>494</v>
      </c>
      <c r="E15" s="8" t="s">
        <v>495</v>
      </c>
    </row>
  </sheetData>
  <autoFilter ref="A5:E15"/>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5E5E"/>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66"/>
    <col collapsed="false" customWidth="true" hidden="false" outlineLevel="0" max="4" min="4" style="0" width="68"/>
    <col collapsed="false" customWidth="true" hidden="false" outlineLevel="0" max="5" min="5" style="0" width="34"/>
    <col collapsed="false" customWidth="true" hidden="false" outlineLevel="0" max="6" min="6" style="0" width="26"/>
    <col collapsed="false" customWidth="true" hidden="false" outlineLevel="0" max="7" min="7" style="0" width="16"/>
  </cols>
  <sheetData>
    <row r="1" customFormat="false" ht="19.5" hidden="false" customHeight="true" outlineLevel="0" collapsed="false">
      <c r="A1" s="11" t="s">
        <v>335</v>
      </c>
      <c r="B1" s="11"/>
      <c r="C1" s="11"/>
      <c r="D1" s="11"/>
      <c r="E1" s="11"/>
      <c r="F1" s="11"/>
      <c r="G1" s="11"/>
    </row>
    <row r="2" customFormat="false" ht="27.75" hidden="false" customHeight="true" outlineLevel="0" collapsed="false">
      <c r="A2" s="12" t="s">
        <v>496</v>
      </c>
      <c r="B2" s="12"/>
      <c r="C2" s="12"/>
      <c r="D2" s="12"/>
      <c r="E2" s="12"/>
      <c r="F2" s="12"/>
      <c r="G2" s="12"/>
    </row>
    <row r="3" customFormat="false" ht="30" hidden="false" customHeight="true" outlineLevel="0" collapsed="false">
      <c r="A3" s="13" t="s">
        <v>497</v>
      </c>
      <c r="B3" s="13"/>
      <c r="C3" s="13"/>
      <c r="D3" s="13"/>
      <c r="E3" s="13"/>
      <c r="F3" s="13"/>
      <c r="G3" s="13"/>
    </row>
    <row r="4" customFormat="false" ht="6" hidden="false" customHeight="true" outlineLevel="0" collapsed="false"/>
    <row r="5" customFormat="false" ht="30" hidden="false" customHeight="true" outlineLevel="0" collapsed="false">
      <c r="A5" s="14" t="s">
        <v>80</v>
      </c>
      <c r="B5" s="14" t="s">
        <v>448</v>
      </c>
      <c r="C5" s="14" t="s">
        <v>289</v>
      </c>
      <c r="D5" s="14" t="s">
        <v>498</v>
      </c>
      <c r="E5" s="14" t="s">
        <v>499</v>
      </c>
      <c r="F5" s="14" t="s">
        <v>500</v>
      </c>
      <c r="G5" s="14" t="s">
        <v>501</v>
      </c>
    </row>
    <row r="6" customFormat="false" ht="42" hidden="false" customHeight="true" outlineLevel="0" collapsed="false">
      <c r="A6" s="5" t="s">
        <v>502</v>
      </c>
      <c r="B6" s="5" t="s">
        <v>503</v>
      </c>
      <c r="C6" s="6" t="s">
        <v>504</v>
      </c>
      <c r="D6" s="6" t="s">
        <v>505</v>
      </c>
      <c r="E6" s="5" t="s">
        <v>110</v>
      </c>
      <c r="F6" s="5" t="s">
        <v>506</v>
      </c>
      <c r="G6" s="5" t="s">
        <v>406</v>
      </c>
    </row>
    <row r="7" customFormat="false" ht="42" hidden="false" customHeight="true" outlineLevel="0" collapsed="false">
      <c r="A7" s="7" t="s">
        <v>507</v>
      </c>
      <c r="B7" s="7" t="s">
        <v>508</v>
      </c>
      <c r="C7" s="8" t="s">
        <v>509</v>
      </c>
      <c r="D7" s="8" t="s">
        <v>510</v>
      </c>
      <c r="E7" s="7" t="s">
        <v>41</v>
      </c>
      <c r="F7" s="7" t="s">
        <v>511</v>
      </c>
      <c r="G7" s="7" t="s">
        <v>396</v>
      </c>
    </row>
    <row r="8" customFormat="false" ht="42" hidden="false" customHeight="true" outlineLevel="0" collapsed="false">
      <c r="A8" s="5" t="s">
        <v>512</v>
      </c>
      <c r="B8" s="5" t="s">
        <v>513</v>
      </c>
      <c r="C8" s="6" t="s">
        <v>514</v>
      </c>
      <c r="D8" s="6" t="s">
        <v>515</v>
      </c>
      <c r="E8" s="5" t="s">
        <v>516</v>
      </c>
      <c r="F8" s="5" t="s">
        <v>511</v>
      </c>
      <c r="G8" s="5" t="s">
        <v>406</v>
      </c>
    </row>
    <row r="9" customFormat="false" ht="42" hidden="false" customHeight="true" outlineLevel="0" collapsed="false">
      <c r="A9" s="7" t="s">
        <v>517</v>
      </c>
      <c r="B9" s="7" t="s">
        <v>518</v>
      </c>
      <c r="C9" s="8" t="s">
        <v>519</v>
      </c>
      <c r="D9" s="8" t="s">
        <v>520</v>
      </c>
      <c r="E9" s="7" t="s">
        <v>41</v>
      </c>
      <c r="F9" s="7" t="s">
        <v>511</v>
      </c>
      <c r="G9" s="7" t="s">
        <v>396</v>
      </c>
    </row>
    <row r="10" customFormat="false" ht="42" hidden="false" customHeight="true" outlineLevel="0" collapsed="false">
      <c r="A10" s="5" t="s">
        <v>521</v>
      </c>
      <c r="B10" s="5" t="s">
        <v>522</v>
      </c>
      <c r="C10" s="6" t="s">
        <v>523</v>
      </c>
      <c r="D10" s="6" t="s">
        <v>524</v>
      </c>
      <c r="E10" s="5" t="s">
        <v>43</v>
      </c>
      <c r="F10" s="5" t="s">
        <v>422</v>
      </c>
      <c r="G10" s="5" t="s">
        <v>406</v>
      </c>
    </row>
    <row r="11" customFormat="false" ht="42" hidden="false" customHeight="true" outlineLevel="0" collapsed="false">
      <c r="A11" s="7" t="s">
        <v>525</v>
      </c>
      <c r="B11" s="7" t="s">
        <v>526</v>
      </c>
      <c r="C11" s="8" t="s">
        <v>527</v>
      </c>
      <c r="D11" s="8" t="s">
        <v>528</v>
      </c>
      <c r="E11" s="7" t="s">
        <v>529</v>
      </c>
      <c r="F11" s="7" t="s">
        <v>511</v>
      </c>
      <c r="G11" s="7" t="s">
        <v>406</v>
      </c>
    </row>
    <row r="12" customFormat="false" ht="42" hidden="false" customHeight="true" outlineLevel="0" collapsed="false">
      <c r="A12" s="5" t="s">
        <v>530</v>
      </c>
      <c r="B12" s="5" t="s">
        <v>531</v>
      </c>
      <c r="C12" s="6" t="s">
        <v>532</v>
      </c>
      <c r="D12" s="6" t="s">
        <v>533</v>
      </c>
      <c r="E12" s="5" t="s">
        <v>534</v>
      </c>
      <c r="F12" s="5" t="s">
        <v>511</v>
      </c>
      <c r="G12" s="5" t="s">
        <v>406</v>
      </c>
    </row>
    <row r="13" customFormat="false" ht="42" hidden="false" customHeight="true" outlineLevel="0" collapsed="false">
      <c r="A13" s="7" t="s">
        <v>535</v>
      </c>
      <c r="B13" s="7" t="s">
        <v>536</v>
      </c>
      <c r="C13" s="8" t="s">
        <v>537</v>
      </c>
      <c r="D13" s="8" t="s">
        <v>538</v>
      </c>
      <c r="E13" s="7" t="s">
        <v>539</v>
      </c>
      <c r="F13" s="7" t="s">
        <v>540</v>
      </c>
      <c r="G13" s="7" t="s">
        <v>411</v>
      </c>
    </row>
    <row r="14" customFormat="false" ht="42" hidden="false" customHeight="true" outlineLevel="0" collapsed="false">
      <c r="A14" s="5" t="s">
        <v>541</v>
      </c>
      <c r="B14" s="5" t="s">
        <v>542</v>
      </c>
      <c r="C14" s="6" t="s">
        <v>543</v>
      </c>
      <c r="D14" s="6" t="s">
        <v>544</v>
      </c>
      <c r="E14" s="5" t="s">
        <v>114</v>
      </c>
      <c r="F14" s="5" t="s">
        <v>506</v>
      </c>
      <c r="G14" s="5" t="s">
        <v>411</v>
      </c>
    </row>
    <row r="15" customFormat="false" ht="42" hidden="false" customHeight="true" outlineLevel="0" collapsed="false">
      <c r="A15" s="7" t="s">
        <v>545</v>
      </c>
      <c r="B15" s="7" t="s">
        <v>546</v>
      </c>
      <c r="C15" s="8" t="s">
        <v>547</v>
      </c>
      <c r="D15" s="8" t="s">
        <v>548</v>
      </c>
      <c r="E15" s="7" t="s">
        <v>534</v>
      </c>
      <c r="F15" s="7" t="s">
        <v>422</v>
      </c>
      <c r="G15" s="7" t="s">
        <v>390</v>
      </c>
    </row>
  </sheetData>
  <autoFilter ref="A5:G15"/>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417F"/>
    <pageSetUpPr fitToPage="tru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72"/>
    <col collapsed="false" customWidth="true" hidden="false" outlineLevel="0" max="4" min="4" style="0" width="20"/>
    <col collapsed="false" customWidth="true" hidden="false" outlineLevel="0" max="5" min="5" style="0" width="14"/>
  </cols>
  <sheetData>
    <row r="1" customFormat="false" ht="19.5" hidden="false" customHeight="true" outlineLevel="0" collapsed="false">
      <c r="A1" s="17" t="s">
        <v>549</v>
      </c>
      <c r="B1" s="17"/>
      <c r="C1" s="17"/>
      <c r="D1" s="17"/>
      <c r="E1" s="17"/>
    </row>
    <row r="2" customFormat="false" ht="27.75" hidden="false" customHeight="true" outlineLevel="0" collapsed="false">
      <c r="A2" s="18" t="s">
        <v>550</v>
      </c>
      <c r="B2" s="18"/>
      <c r="C2" s="18"/>
      <c r="D2" s="18"/>
      <c r="E2" s="18"/>
    </row>
    <row r="3" customFormat="false" ht="30" hidden="false" customHeight="true" outlineLevel="0" collapsed="false">
      <c r="A3" s="19" t="s">
        <v>551</v>
      </c>
      <c r="B3" s="19"/>
      <c r="C3" s="19"/>
      <c r="D3" s="19"/>
      <c r="E3" s="19"/>
    </row>
    <row r="4" customFormat="false" ht="6" hidden="false" customHeight="true" outlineLevel="0" collapsed="false"/>
    <row r="5" customFormat="false" ht="30" hidden="false" customHeight="true" outlineLevel="0" collapsed="false">
      <c r="A5" s="20" t="s">
        <v>80</v>
      </c>
      <c r="B5" s="20" t="s">
        <v>168</v>
      </c>
      <c r="C5" s="20" t="s">
        <v>552</v>
      </c>
      <c r="D5" s="20" t="s">
        <v>553</v>
      </c>
      <c r="E5" s="20" t="s">
        <v>5</v>
      </c>
    </row>
    <row r="6" customFormat="false" ht="21.75" hidden="false" customHeight="true" outlineLevel="0" collapsed="false">
      <c r="A6" s="5" t="s">
        <v>554</v>
      </c>
      <c r="B6" s="5" t="s">
        <v>555</v>
      </c>
      <c r="C6" s="6" t="s">
        <v>556</v>
      </c>
      <c r="D6" s="5" t="s">
        <v>557</v>
      </c>
      <c r="E6" s="5" t="s">
        <v>558</v>
      </c>
    </row>
    <row r="7" customFormat="false" ht="21.75" hidden="false" customHeight="true" outlineLevel="0" collapsed="false">
      <c r="A7" s="7" t="s">
        <v>559</v>
      </c>
      <c r="B7" s="7" t="s">
        <v>560</v>
      </c>
      <c r="C7" s="8" t="s">
        <v>561</v>
      </c>
      <c r="D7" s="7" t="s">
        <v>557</v>
      </c>
      <c r="E7" s="7" t="s">
        <v>558</v>
      </c>
    </row>
    <row r="8" customFormat="false" ht="21.75" hidden="false" customHeight="true" outlineLevel="0" collapsed="false">
      <c r="A8" s="5" t="s">
        <v>562</v>
      </c>
      <c r="B8" s="5" t="s">
        <v>563</v>
      </c>
      <c r="C8" s="6" t="s">
        <v>564</v>
      </c>
      <c r="D8" s="5" t="s">
        <v>557</v>
      </c>
      <c r="E8" s="5" t="s">
        <v>558</v>
      </c>
    </row>
    <row r="9" customFormat="false" ht="21.75" hidden="false" customHeight="true" outlineLevel="0" collapsed="false">
      <c r="A9" s="7" t="s">
        <v>565</v>
      </c>
      <c r="B9" s="7" t="s">
        <v>566</v>
      </c>
      <c r="C9" s="8" t="s">
        <v>567</v>
      </c>
      <c r="D9" s="7" t="s">
        <v>557</v>
      </c>
      <c r="E9" s="7" t="s">
        <v>558</v>
      </c>
    </row>
    <row r="10" customFormat="false" ht="21.75" hidden="false" customHeight="true" outlineLevel="0" collapsed="false">
      <c r="A10" s="5" t="s">
        <v>568</v>
      </c>
      <c r="B10" s="5" t="s">
        <v>569</v>
      </c>
      <c r="C10" s="6" t="s">
        <v>570</v>
      </c>
      <c r="D10" s="5" t="s">
        <v>571</v>
      </c>
      <c r="E10" s="5" t="s">
        <v>558</v>
      </c>
    </row>
    <row r="11" customFormat="false" ht="21.75" hidden="false" customHeight="true" outlineLevel="0" collapsed="false">
      <c r="A11" s="7" t="s">
        <v>572</v>
      </c>
      <c r="B11" s="7" t="s">
        <v>573</v>
      </c>
      <c r="C11" s="8" t="s">
        <v>574</v>
      </c>
      <c r="D11" s="7" t="s">
        <v>571</v>
      </c>
      <c r="E11" s="7" t="s">
        <v>558</v>
      </c>
    </row>
    <row r="12" customFormat="false" ht="21.75" hidden="false" customHeight="true" outlineLevel="0" collapsed="false">
      <c r="A12" s="5" t="s">
        <v>575</v>
      </c>
      <c r="B12" s="5" t="s">
        <v>576</v>
      </c>
      <c r="C12" s="6" t="s">
        <v>577</v>
      </c>
      <c r="D12" s="5" t="s">
        <v>557</v>
      </c>
      <c r="E12" s="5" t="s">
        <v>558</v>
      </c>
    </row>
    <row r="13" customFormat="false" ht="21.75" hidden="false" customHeight="true" outlineLevel="0" collapsed="false">
      <c r="A13" s="7" t="s">
        <v>578</v>
      </c>
      <c r="B13" s="7" t="s">
        <v>579</v>
      </c>
      <c r="C13" s="8" t="s">
        <v>580</v>
      </c>
      <c r="D13" s="7" t="s">
        <v>571</v>
      </c>
      <c r="E13" s="7" t="s">
        <v>558</v>
      </c>
    </row>
    <row r="14" customFormat="false" ht="21.75" hidden="false" customHeight="true" outlineLevel="0" collapsed="false">
      <c r="A14" s="5" t="s">
        <v>581</v>
      </c>
      <c r="B14" s="5" t="s">
        <v>582</v>
      </c>
      <c r="C14" s="6" t="s">
        <v>583</v>
      </c>
      <c r="D14" s="5" t="s">
        <v>571</v>
      </c>
      <c r="E14" s="5" t="s">
        <v>558</v>
      </c>
    </row>
    <row r="15" customFormat="false" ht="21.75" hidden="false" customHeight="true" outlineLevel="0" collapsed="false">
      <c r="A15" s="7" t="s">
        <v>584</v>
      </c>
      <c r="B15" s="7" t="s">
        <v>585</v>
      </c>
      <c r="C15" s="8" t="s">
        <v>586</v>
      </c>
      <c r="D15" s="7" t="s">
        <v>571</v>
      </c>
      <c r="E15" s="7" t="s">
        <v>558</v>
      </c>
    </row>
    <row r="16" customFormat="false" ht="21.75" hidden="false" customHeight="true" outlineLevel="0" collapsed="false">
      <c r="A16" s="5" t="s">
        <v>587</v>
      </c>
      <c r="B16" s="5" t="s">
        <v>588</v>
      </c>
      <c r="C16" s="6" t="s">
        <v>589</v>
      </c>
      <c r="D16" s="5" t="s">
        <v>557</v>
      </c>
      <c r="E16" s="5" t="s">
        <v>558</v>
      </c>
    </row>
    <row r="17" customFormat="false" ht="21.75" hidden="false" customHeight="true" outlineLevel="0" collapsed="false">
      <c r="A17" s="7" t="s">
        <v>590</v>
      </c>
      <c r="B17" s="7" t="s">
        <v>591</v>
      </c>
      <c r="C17" s="8" t="s">
        <v>592</v>
      </c>
      <c r="D17" s="7" t="s">
        <v>571</v>
      </c>
      <c r="E17" s="7" t="s">
        <v>558</v>
      </c>
    </row>
    <row r="18" customFormat="false" ht="21.75" hidden="false" customHeight="true" outlineLevel="0" collapsed="false">
      <c r="A18" s="5" t="s">
        <v>593</v>
      </c>
      <c r="B18" s="5" t="s">
        <v>594</v>
      </c>
      <c r="C18" s="6" t="s">
        <v>595</v>
      </c>
      <c r="D18" s="5" t="s">
        <v>571</v>
      </c>
      <c r="E18" s="5" t="s">
        <v>596</v>
      </c>
    </row>
    <row r="19" customFormat="false" ht="21.75" hidden="false" customHeight="true" outlineLevel="0" collapsed="false">
      <c r="A19" s="7" t="s">
        <v>597</v>
      </c>
      <c r="B19" s="7" t="s">
        <v>598</v>
      </c>
      <c r="C19" s="8" t="s">
        <v>599</v>
      </c>
      <c r="D19" s="7" t="s">
        <v>600</v>
      </c>
      <c r="E19" s="7" t="s">
        <v>596</v>
      </c>
    </row>
  </sheetData>
  <autoFilter ref="A5:E19"/>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417F"/>
    <pageSetUpPr fitToPage="tru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66"/>
    <col collapsed="false" customWidth="true" hidden="false" outlineLevel="0" max="5" min="5" style="0" width="48"/>
    <col collapsed="false" customWidth="true" hidden="false" outlineLevel="0" max="6" min="6" style="0" width="26"/>
  </cols>
  <sheetData>
    <row r="1" customFormat="false" ht="19.5" hidden="false" customHeight="true" outlineLevel="0" collapsed="false">
      <c r="A1" s="17" t="s">
        <v>549</v>
      </c>
      <c r="B1" s="17"/>
      <c r="C1" s="17"/>
      <c r="D1" s="17"/>
      <c r="E1" s="17"/>
      <c r="F1" s="17"/>
    </row>
    <row r="2" customFormat="false" ht="27.75" hidden="false" customHeight="true" outlineLevel="0" collapsed="false">
      <c r="A2" s="18" t="s">
        <v>601</v>
      </c>
      <c r="B2" s="18"/>
      <c r="C2" s="18"/>
      <c r="D2" s="18"/>
      <c r="E2" s="18"/>
      <c r="F2" s="18"/>
    </row>
    <row r="3" customFormat="false" ht="30" hidden="false" customHeight="true" outlineLevel="0" collapsed="false">
      <c r="A3" s="19" t="s">
        <v>602</v>
      </c>
      <c r="B3" s="19"/>
      <c r="C3" s="19"/>
      <c r="D3" s="19"/>
      <c r="E3" s="19"/>
      <c r="F3" s="19"/>
    </row>
    <row r="4" customFormat="false" ht="6" hidden="false" customHeight="true" outlineLevel="0" collapsed="false"/>
    <row r="5" customFormat="false" ht="30" hidden="false" customHeight="true" outlineLevel="0" collapsed="false">
      <c r="A5" s="20" t="s">
        <v>168</v>
      </c>
      <c r="B5" s="20" t="s">
        <v>80</v>
      </c>
      <c r="C5" s="20" t="s">
        <v>603</v>
      </c>
      <c r="D5" s="20" t="s">
        <v>604</v>
      </c>
      <c r="E5" s="20" t="s">
        <v>605</v>
      </c>
      <c r="F5" s="20" t="s">
        <v>606</v>
      </c>
    </row>
    <row r="6" customFormat="false" ht="24" hidden="false" customHeight="true" outlineLevel="0" collapsed="false">
      <c r="A6" s="5" t="s">
        <v>554</v>
      </c>
      <c r="B6" s="5" t="s">
        <v>607</v>
      </c>
      <c r="C6" s="5" t="s">
        <v>608</v>
      </c>
      <c r="D6" s="6" t="s">
        <v>609</v>
      </c>
      <c r="E6" s="5" t="s">
        <v>610</v>
      </c>
      <c r="F6" s="5" t="s">
        <v>353</v>
      </c>
    </row>
    <row r="7" customFormat="false" ht="24" hidden="false" customHeight="true" outlineLevel="0" collapsed="false">
      <c r="A7" s="7" t="s">
        <v>554</v>
      </c>
      <c r="B7" s="7" t="s">
        <v>611</v>
      </c>
      <c r="C7" s="7" t="s">
        <v>612</v>
      </c>
      <c r="D7" s="8" t="s">
        <v>613</v>
      </c>
      <c r="E7" s="7" t="s">
        <v>610</v>
      </c>
      <c r="F7" s="7" t="s">
        <v>353</v>
      </c>
    </row>
    <row r="8" customFormat="false" ht="24" hidden="false" customHeight="true" outlineLevel="0" collapsed="false">
      <c r="A8" s="5" t="s">
        <v>554</v>
      </c>
      <c r="B8" s="5" t="s">
        <v>614</v>
      </c>
      <c r="C8" s="5" t="s">
        <v>615</v>
      </c>
      <c r="D8" s="6" t="s">
        <v>616</v>
      </c>
      <c r="E8" s="5" t="s">
        <v>610</v>
      </c>
      <c r="F8" s="5" t="s">
        <v>360</v>
      </c>
    </row>
    <row r="9" customFormat="false" ht="24" hidden="false" customHeight="true" outlineLevel="0" collapsed="false">
      <c r="A9" s="7" t="s">
        <v>554</v>
      </c>
      <c r="B9" s="7" t="s">
        <v>617</v>
      </c>
      <c r="C9" s="7" t="s">
        <v>618</v>
      </c>
      <c r="D9" s="8" t="s">
        <v>619</v>
      </c>
      <c r="E9" s="7" t="s">
        <v>610</v>
      </c>
      <c r="F9" s="7" t="s">
        <v>353</v>
      </c>
    </row>
    <row r="10" customFormat="false" ht="24" hidden="false" customHeight="true" outlineLevel="0" collapsed="false">
      <c r="A10" s="5" t="s">
        <v>554</v>
      </c>
      <c r="B10" s="5" t="s">
        <v>620</v>
      </c>
      <c r="C10" s="5" t="s">
        <v>621</v>
      </c>
      <c r="D10" s="6" t="s">
        <v>622</v>
      </c>
      <c r="E10" s="5" t="s">
        <v>610</v>
      </c>
      <c r="F10" s="5" t="s">
        <v>360</v>
      </c>
    </row>
    <row r="11" customFormat="false" ht="24" hidden="false" customHeight="true" outlineLevel="0" collapsed="false">
      <c r="A11" s="7" t="s">
        <v>554</v>
      </c>
      <c r="B11" s="7" t="s">
        <v>623</v>
      </c>
      <c r="C11" s="7" t="s">
        <v>624</v>
      </c>
      <c r="D11" s="8" t="s">
        <v>625</v>
      </c>
      <c r="E11" s="7" t="s">
        <v>626</v>
      </c>
      <c r="F11" s="7" t="s">
        <v>360</v>
      </c>
    </row>
    <row r="12" customFormat="false" ht="24" hidden="false" customHeight="true" outlineLevel="0" collapsed="false">
      <c r="A12" s="5" t="s">
        <v>559</v>
      </c>
      <c r="B12" s="5" t="s">
        <v>627</v>
      </c>
      <c r="C12" s="5" t="s">
        <v>628</v>
      </c>
      <c r="D12" s="6" t="s">
        <v>629</v>
      </c>
      <c r="E12" s="5" t="s">
        <v>630</v>
      </c>
      <c r="F12" s="5" t="s">
        <v>353</v>
      </c>
    </row>
    <row r="13" customFormat="false" ht="24" hidden="false" customHeight="true" outlineLevel="0" collapsed="false">
      <c r="A13" s="7" t="s">
        <v>559</v>
      </c>
      <c r="B13" s="7" t="s">
        <v>631</v>
      </c>
      <c r="C13" s="7" t="s">
        <v>632</v>
      </c>
      <c r="D13" s="8" t="s">
        <v>633</v>
      </c>
      <c r="E13" s="7" t="s">
        <v>610</v>
      </c>
      <c r="F13" s="7" t="s">
        <v>353</v>
      </c>
    </row>
    <row r="14" customFormat="false" ht="24" hidden="false" customHeight="true" outlineLevel="0" collapsed="false">
      <c r="A14" s="5" t="s">
        <v>559</v>
      </c>
      <c r="B14" s="5" t="s">
        <v>634</v>
      </c>
      <c r="C14" s="5" t="s">
        <v>635</v>
      </c>
      <c r="D14" s="6" t="s">
        <v>636</v>
      </c>
      <c r="E14" s="5" t="s">
        <v>637</v>
      </c>
      <c r="F14" s="5" t="s">
        <v>360</v>
      </c>
    </row>
    <row r="15" customFormat="false" ht="24" hidden="false" customHeight="true" outlineLevel="0" collapsed="false">
      <c r="A15" s="7" t="s">
        <v>559</v>
      </c>
      <c r="B15" s="7" t="s">
        <v>638</v>
      </c>
      <c r="C15" s="7" t="s">
        <v>639</v>
      </c>
      <c r="D15" s="8" t="s">
        <v>640</v>
      </c>
      <c r="E15" s="7" t="s">
        <v>641</v>
      </c>
      <c r="F15" s="7" t="s">
        <v>353</v>
      </c>
    </row>
    <row r="16" customFormat="false" ht="24" hidden="false" customHeight="true" outlineLevel="0" collapsed="false">
      <c r="A16" s="5" t="s">
        <v>559</v>
      </c>
      <c r="B16" s="5" t="s">
        <v>642</v>
      </c>
      <c r="C16" s="5" t="s">
        <v>643</v>
      </c>
      <c r="D16" s="6" t="s">
        <v>644</v>
      </c>
      <c r="E16" s="5" t="s">
        <v>630</v>
      </c>
      <c r="F16" s="5" t="s">
        <v>353</v>
      </c>
    </row>
    <row r="17" customFormat="false" ht="24" hidden="false" customHeight="true" outlineLevel="0" collapsed="false">
      <c r="A17" s="7" t="s">
        <v>559</v>
      </c>
      <c r="B17" s="7" t="s">
        <v>645</v>
      </c>
      <c r="C17" s="7" t="s">
        <v>646</v>
      </c>
      <c r="D17" s="8" t="s">
        <v>647</v>
      </c>
      <c r="E17" s="7" t="s">
        <v>610</v>
      </c>
      <c r="F17" s="7" t="s">
        <v>360</v>
      </c>
    </row>
    <row r="18" customFormat="false" ht="24" hidden="false" customHeight="true" outlineLevel="0" collapsed="false">
      <c r="A18" s="5" t="s">
        <v>562</v>
      </c>
      <c r="B18" s="5" t="s">
        <v>648</v>
      </c>
      <c r="C18" s="5" t="s">
        <v>649</v>
      </c>
      <c r="D18" s="6" t="s">
        <v>650</v>
      </c>
      <c r="E18" s="5" t="s">
        <v>651</v>
      </c>
      <c r="F18" s="5" t="s">
        <v>353</v>
      </c>
    </row>
    <row r="19" customFormat="false" ht="24" hidden="false" customHeight="true" outlineLevel="0" collapsed="false">
      <c r="A19" s="7" t="s">
        <v>562</v>
      </c>
      <c r="B19" s="7" t="s">
        <v>652</v>
      </c>
      <c r="C19" s="7" t="s">
        <v>653</v>
      </c>
      <c r="D19" s="8" t="s">
        <v>654</v>
      </c>
      <c r="E19" s="7" t="s">
        <v>651</v>
      </c>
      <c r="F19" s="7" t="s">
        <v>360</v>
      </c>
    </row>
    <row r="20" customFormat="false" ht="24" hidden="false" customHeight="true" outlineLevel="0" collapsed="false">
      <c r="A20" s="5" t="s">
        <v>562</v>
      </c>
      <c r="B20" s="5" t="s">
        <v>655</v>
      </c>
      <c r="C20" s="5" t="s">
        <v>656</v>
      </c>
      <c r="D20" s="6" t="s">
        <v>657</v>
      </c>
      <c r="E20" s="5" t="s">
        <v>651</v>
      </c>
      <c r="F20" s="5" t="s">
        <v>353</v>
      </c>
    </row>
    <row r="21" customFormat="false" ht="24" hidden="false" customHeight="true" outlineLevel="0" collapsed="false">
      <c r="A21" s="7" t="s">
        <v>562</v>
      </c>
      <c r="B21" s="7" t="s">
        <v>658</v>
      </c>
      <c r="C21" s="7" t="s">
        <v>659</v>
      </c>
      <c r="D21" s="8" t="s">
        <v>660</v>
      </c>
      <c r="E21" s="7" t="s">
        <v>661</v>
      </c>
      <c r="F21" s="7" t="s">
        <v>353</v>
      </c>
    </row>
    <row r="22" customFormat="false" ht="24" hidden="false" customHeight="true" outlineLevel="0" collapsed="false">
      <c r="A22" s="5" t="s">
        <v>565</v>
      </c>
      <c r="B22" s="5" t="s">
        <v>662</v>
      </c>
      <c r="C22" s="5" t="s">
        <v>663</v>
      </c>
      <c r="D22" s="6" t="s">
        <v>664</v>
      </c>
      <c r="E22" s="5" t="s">
        <v>665</v>
      </c>
      <c r="F22" s="5" t="s">
        <v>353</v>
      </c>
    </row>
    <row r="23" customFormat="false" ht="24" hidden="false" customHeight="true" outlineLevel="0" collapsed="false">
      <c r="A23" s="7" t="s">
        <v>565</v>
      </c>
      <c r="B23" s="7" t="s">
        <v>666</v>
      </c>
      <c r="C23" s="7" t="s">
        <v>667</v>
      </c>
      <c r="D23" s="8" t="s">
        <v>668</v>
      </c>
      <c r="E23" s="7" t="s">
        <v>669</v>
      </c>
      <c r="F23" s="7" t="s">
        <v>360</v>
      </c>
    </row>
    <row r="24" customFormat="false" ht="24" hidden="false" customHeight="true" outlineLevel="0" collapsed="false">
      <c r="A24" s="5" t="s">
        <v>565</v>
      </c>
      <c r="B24" s="5" t="s">
        <v>670</v>
      </c>
      <c r="C24" s="5" t="s">
        <v>671</v>
      </c>
      <c r="D24" s="6" t="s">
        <v>672</v>
      </c>
      <c r="E24" s="5" t="s">
        <v>673</v>
      </c>
      <c r="F24" s="5" t="s">
        <v>360</v>
      </c>
    </row>
    <row r="25" customFormat="false" ht="24" hidden="false" customHeight="true" outlineLevel="0" collapsed="false">
      <c r="A25" s="7" t="s">
        <v>568</v>
      </c>
      <c r="B25" s="7" t="s">
        <v>674</v>
      </c>
      <c r="C25" s="7" t="s">
        <v>675</v>
      </c>
      <c r="D25" s="8" t="s">
        <v>676</v>
      </c>
      <c r="E25" s="7" t="s">
        <v>677</v>
      </c>
      <c r="F25" s="7" t="s">
        <v>353</v>
      </c>
    </row>
    <row r="26" customFormat="false" ht="24" hidden="false" customHeight="true" outlineLevel="0" collapsed="false">
      <c r="A26" s="5" t="s">
        <v>568</v>
      </c>
      <c r="B26" s="5" t="s">
        <v>678</v>
      </c>
      <c r="C26" s="5" t="s">
        <v>679</v>
      </c>
      <c r="D26" s="6" t="s">
        <v>680</v>
      </c>
      <c r="E26" s="5" t="s">
        <v>681</v>
      </c>
      <c r="F26" s="5" t="s">
        <v>360</v>
      </c>
    </row>
    <row r="27" customFormat="false" ht="24" hidden="false" customHeight="true" outlineLevel="0" collapsed="false">
      <c r="A27" s="7" t="s">
        <v>568</v>
      </c>
      <c r="B27" s="7" t="s">
        <v>682</v>
      </c>
      <c r="C27" s="7" t="s">
        <v>683</v>
      </c>
      <c r="D27" s="8" t="s">
        <v>684</v>
      </c>
      <c r="E27" s="7" t="s">
        <v>685</v>
      </c>
      <c r="F27" s="7" t="s">
        <v>360</v>
      </c>
    </row>
    <row r="28" customFormat="false" ht="24" hidden="false" customHeight="true" outlineLevel="0" collapsed="false">
      <c r="A28" s="5" t="s">
        <v>568</v>
      </c>
      <c r="B28" s="5" t="s">
        <v>686</v>
      </c>
      <c r="C28" s="5" t="s">
        <v>687</v>
      </c>
      <c r="D28" s="6" t="s">
        <v>688</v>
      </c>
      <c r="E28" s="5" t="s">
        <v>677</v>
      </c>
      <c r="F28" s="5" t="s">
        <v>353</v>
      </c>
    </row>
    <row r="29" customFormat="false" ht="24" hidden="false" customHeight="true" outlineLevel="0" collapsed="false">
      <c r="A29" s="7" t="s">
        <v>572</v>
      </c>
      <c r="B29" s="7" t="s">
        <v>689</v>
      </c>
      <c r="C29" s="7" t="s">
        <v>690</v>
      </c>
      <c r="D29" s="8" t="s">
        <v>691</v>
      </c>
      <c r="E29" s="7" t="s">
        <v>692</v>
      </c>
      <c r="F29" s="7" t="s">
        <v>353</v>
      </c>
    </row>
    <row r="30" customFormat="false" ht="24" hidden="false" customHeight="true" outlineLevel="0" collapsed="false">
      <c r="A30" s="5" t="s">
        <v>572</v>
      </c>
      <c r="B30" s="5" t="s">
        <v>693</v>
      </c>
      <c r="C30" s="5" t="s">
        <v>694</v>
      </c>
      <c r="D30" s="6" t="s">
        <v>695</v>
      </c>
      <c r="E30" s="5" t="s">
        <v>696</v>
      </c>
      <c r="F30" s="5" t="s">
        <v>353</v>
      </c>
    </row>
    <row r="31" customFormat="false" ht="24" hidden="false" customHeight="true" outlineLevel="0" collapsed="false">
      <c r="A31" s="7" t="s">
        <v>572</v>
      </c>
      <c r="B31" s="7" t="s">
        <v>697</v>
      </c>
      <c r="C31" s="7" t="s">
        <v>698</v>
      </c>
      <c r="D31" s="8" t="s">
        <v>699</v>
      </c>
      <c r="E31" s="7" t="s">
        <v>700</v>
      </c>
      <c r="F31" s="7" t="s">
        <v>353</v>
      </c>
    </row>
    <row r="32" customFormat="false" ht="24" hidden="false" customHeight="true" outlineLevel="0" collapsed="false">
      <c r="A32" s="5" t="s">
        <v>575</v>
      </c>
      <c r="B32" s="5" t="s">
        <v>701</v>
      </c>
      <c r="C32" s="5" t="s">
        <v>702</v>
      </c>
      <c r="D32" s="6" t="s">
        <v>703</v>
      </c>
      <c r="E32" s="5" t="s">
        <v>704</v>
      </c>
      <c r="F32" s="5" t="s">
        <v>360</v>
      </c>
    </row>
    <row r="33" customFormat="false" ht="24" hidden="false" customHeight="true" outlineLevel="0" collapsed="false">
      <c r="A33" s="7" t="s">
        <v>575</v>
      </c>
      <c r="B33" s="7" t="s">
        <v>705</v>
      </c>
      <c r="C33" s="7" t="s">
        <v>706</v>
      </c>
      <c r="D33" s="8" t="s">
        <v>707</v>
      </c>
      <c r="E33" s="7" t="s">
        <v>708</v>
      </c>
      <c r="F33" s="7" t="s">
        <v>353</v>
      </c>
    </row>
    <row r="34" customFormat="false" ht="24" hidden="false" customHeight="true" outlineLevel="0" collapsed="false">
      <c r="A34" s="5" t="s">
        <v>575</v>
      </c>
      <c r="B34" s="5" t="s">
        <v>709</v>
      </c>
      <c r="C34" s="5" t="s">
        <v>710</v>
      </c>
      <c r="D34" s="6" t="s">
        <v>711</v>
      </c>
      <c r="E34" s="5" t="s">
        <v>712</v>
      </c>
      <c r="F34" s="5" t="s">
        <v>360</v>
      </c>
    </row>
    <row r="35" customFormat="false" ht="24" hidden="false" customHeight="true" outlineLevel="0" collapsed="false">
      <c r="A35" s="7" t="s">
        <v>578</v>
      </c>
      <c r="B35" s="7" t="s">
        <v>713</v>
      </c>
      <c r="C35" s="7" t="s">
        <v>714</v>
      </c>
      <c r="D35" s="8" t="s">
        <v>715</v>
      </c>
      <c r="E35" s="7" t="s">
        <v>716</v>
      </c>
      <c r="F35" s="7" t="s">
        <v>360</v>
      </c>
    </row>
    <row r="36" customFormat="false" ht="24" hidden="false" customHeight="true" outlineLevel="0" collapsed="false">
      <c r="A36" s="5" t="s">
        <v>578</v>
      </c>
      <c r="B36" s="5" t="s">
        <v>717</v>
      </c>
      <c r="C36" s="5" t="s">
        <v>718</v>
      </c>
      <c r="D36" s="6" t="s">
        <v>719</v>
      </c>
      <c r="E36" s="5" t="s">
        <v>720</v>
      </c>
      <c r="F36" s="5" t="s">
        <v>360</v>
      </c>
    </row>
    <row r="37" customFormat="false" ht="24" hidden="false" customHeight="true" outlineLevel="0" collapsed="false">
      <c r="A37" s="7" t="s">
        <v>581</v>
      </c>
      <c r="B37" s="7" t="s">
        <v>721</v>
      </c>
      <c r="C37" s="7" t="s">
        <v>722</v>
      </c>
      <c r="D37" s="8" t="s">
        <v>723</v>
      </c>
      <c r="E37" s="7" t="s">
        <v>673</v>
      </c>
      <c r="F37" s="7" t="s">
        <v>353</v>
      </c>
    </row>
    <row r="38" customFormat="false" ht="24" hidden="false" customHeight="true" outlineLevel="0" collapsed="false">
      <c r="A38" s="5" t="s">
        <v>581</v>
      </c>
      <c r="B38" s="5" t="s">
        <v>724</v>
      </c>
      <c r="C38" s="5" t="s">
        <v>725</v>
      </c>
      <c r="D38" s="6" t="s">
        <v>726</v>
      </c>
      <c r="E38" s="5" t="s">
        <v>727</v>
      </c>
      <c r="F38" s="5" t="s">
        <v>353</v>
      </c>
    </row>
    <row r="39" customFormat="false" ht="24" hidden="false" customHeight="true" outlineLevel="0" collapsed="false">
      <c r="A39" s="7" t="s">
        <v>584</v>
      </c>
      <c r="B39" s="7" t="s">
        <v>728</v>
      </c>
      <c r="C39" s="7" t="s">
        <v>729</v>
      </c>
      <c r="D39" s="8" t="s">
        <v>730</v>
      </c>
      <c r="E39" s="7" t="s">
        <v>731</v>
      </c>
      <c r="F39" s="7" t="s">
        <v>360</v>
      </c>
    </row>
    <row r="40" customFormat="false" ht="24" hidden="false" customHeight="true" outlineLevel="0" collapsed="false">
      <c r="A40" s="5" t="s">
        <v>584</v>
      </c>
      <c r="B40" s="5" t="s">
        <v>732</v>
      </c>
      <c r="C40" s="5" t="s">
        <v>733</v>
      </c>
      <c r="D40" s="6" t="s">
        <v>734</v>
      </c>
      <c r="E40" s="5" t="s">
        <v>735</v>
      </c>
      <c r="F40" s="5" t="s">
        <v>360</v>
      </c>
    </row>
    <row r="41" customFormat="false" ht="24" hidden="false" customHeight="true" outlineLevel="0" collapsed="false">
      <c r="A41" s="7" t="s">
        <v>587</v>
      </c>
      <c r="B41" s="7" t="s">
        <v>736</v>
      </c>
      <c r="C41" s="7" t="s">
        <v>737</v>
      </c>
      <c r="D41" s="8" t="s">
        <v>738</v>
      </c>
      <c r="E41" s="7" t="s">
        <v>739</v>
      </c>
      <c r="F41" s="7" t="s">
        <v>360</v>
      </c>
    </row>
    <row r="42" customFormat="false" ht="24" hidden="false" customHeight="true" outlineLevel="0" collapsed="false">
      <c r="A42" s="5" t="s">
        <v>587</v>
      </c>
      <c r="B42" s="5" t="s">
        <v>740</v>
      </c>
      <c r="C42" s="5" t="s">
        <v>741</v>
      </c>
      <c r="D42" s="6" t="s">
        <v>742</v>
      </c>
      <c r="E42" s="5" t="s">
        <v>743</v>
      </c>
      <c r="F42" s="5" t="s">
        <v>360</v>
      </c>
    </row>
    <row r="43" customFormat="false" ht="24" hidden="false" customHeight="true" outlineLevel="0" collapsed="false">
      <c r="A43" s="7" t="s">
        <v>587</v>
      </c>
      <c r="B43" s="7" t="s">
        <v>744</v>
      </c>
      <c r="C43" s="7" t="s">
        <v>745</v>
      </c>
      <c r="D43" s="8" t="s">
        <v>746</v>
      </c>
      <c r="E43" s="7" t="s">
        <v>747</v>
      </c>
      <c r="F43" s="7" t="s">
        <v>353</v>
      </c>
    </row>
    <row r="44" customFormat="false" ht="24" hidden="false" customHeight="true" outlineLevel="0" collapsed="false">
      <c r="A44" s="5" t="s">
        <v>590</v>
      </c>
      <c r="B44" s="5" t="s">
        <v>748</v>
      </c>
      <c r="C44" s="5" t="s">
        <v>749</v>
      </c>
      <c r="D44" s="6" t="s">
        <v>750</v>
      </c>
      <c r="E44" s="5" t="s">
        <v>677</v>
      </c>
      <c r="F44" s="5" t="s">
        <v>360</v>
      </c>
    </row>
    <row r="45" customFormat="false" ht="24" hidden="false" customHeight="true" outlineLevel="0" collapsed="false">
      <c r="A45" s="7" t="s">
        <v>590</v>
      </c>
      <c r="B45" s="7" t="s">
        <v>751</v>
      </c>
      <c r="C45" s="7" t="s">
        <v>752</v>
      </c>
      <c r="D45" s="8" t="s">
        <v>753</v>
      </c>
      <c r="E45" s="7" t="s">
        <v>754</v>
      </c>
      <c r="F45" s="7" t="s">
        <v>360</v>
      </c>
    </row>
    <row r="46" customFormat="false" ht="24" hidden="false" customHeight="true" outlineLevel="0" collapsed="false">
      <c r="A46" s="5" t="s">
        <v>590</v>
      </c>
      <c r="B46" s="5" t="s">
        <v>755</v>
      </c>
      <c r="C46" s="5" t="s">
        <v>756</v>
      </c>
      <c r="D46" s="6" t="s">
        <v>757</v>
      </c>
      <c r="E46" s="5" t="s">
        <v>758</v>
      </c>
      <c r="F46" s="5" t="s">
        <v>353</v>
      </c>
    </row>
    <row r="47" customFormat="false" ht="24" hidden="false" customHeight="true" outlineLevel="0" collapsed="false">
      <c r="A47" s="7" t="s">
        <v>593</v>
      </c>
      <c r="B47" s="7" t="s">
        <v>759</v>
      </c>
      <c r="C47" s="7" t="s">
        <v>760</v>
      </c>
      <c r="D47" s="8" t="s">
        <v>761</v>
      </c>
      <c r="E47" s="7" t="s">
        <v>762</v>
      </c>
      <c r="F47" s="7" t="s">
        <v>360</v>
      </c>
    </row>
    <row r="48" customFormat="false" ht="24" hidden="false" customHeight="true" outlineLevel="0" collapsed="false">
      <c r="A48" s="5" t="s">
        <v>593</v>
      </c>
      <c r="B48" s="5" t="s">
        <v>763</v>
      </c>
      <c r="C48" s="5" t="s">
        <v>764</v>
      </c>
      <c r="D48" s="6" t="s">
        <v>765</v>
      </c>
      <c r="E48" s="5" t="s">
        <v>610</v>
      </c>
      <c r="F48" s="5" t="s">
        <v>360</v>
      </c>
    </row>
    <row r="49" customFormat="false" ht="24" hidden="false" customHeight="true" outlineLevel="0" collapsed="false">
      <c r="A49" s="7" t="s">
        <v>597</v>
      </c>
      <c r="B49" s="7" t="s">
        <v>766</v>
      </c>
      <c r="C49" s="7" t="s">
        <v>767</v>
      </c>
      <c r="D49" s="8" t="s">
        <v>768</v>
      </c>
      <c r="E49" s="7" t="s">
        <v>769</v>
      </c>
      <c r="F49" s="7" t="s">
        <v>360</v>
      </c>
    </row>
    <row r="50" customFormat="false" ht="24" hidden="false" customHeight="true" outlineLevel="0" collapsed="false">
      <c r="A50" s="5" t="s">
        <v>597</v>
      </c>
      <c r="B50" s="5" t="s">
        <v>770</v>
      </c>
      <c r="C50" s="5" t="s">
        <v>771</v>
      </c>
      <c r="D50" s="6" t="s">
        <v>772</v>
      </c>
      <c r="E50" s="5" t="s">
        <v>773</v>
      </c>
      <c r="F50" s="5" t="s">
        <v>360</v>
      </c>
    </row>
  </sheetData>
  <autoFilter ref="A5:F50"/>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1417F"/>
    <pageSetUpPr fitToPage="tru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48"/>
    <col collapsed="false" customWidth="true" hidden="false" outlineLevel="0" max="4" min="4" style="0" width="32"/>
    <col collapsed="false" customWidth="true" hidden="false" outlineLevel="0" max="5" min="5" style="0" width="18"/>
    <col collapsed="false" customWidth="true" hidden="false" outlineLevel="0" max="6" min="6" style="0" width="38"/>
  </cols>
  <sheetData>
    <row r="1" customFormat="false" ht="19.5" hidden="false" customHeight="true" outlineLevel="0" collapsed="false">
      <c r="A1" s="17" t="s">
        <v>549</v>
      </c>
      <c r="B1" s="17"/>
      <c r="C1" s="17"/>
      <c r="D1" s="17"/>
      <c r="E1" s="17"/>
      <c r="F1" s="17"/>
    </row>
    <row r="2" customFormat="false" ht="27.75" hidden="false" customHeight="true" outlineLevel="0" collapsed="false">
      <c r="A2" s="18" t="s">
        <v>774</v>
      </c>
      <c r="B2" s="18"/>
      <c r="C2" s="18"/>
      <c r="D2" s="18"/>
      <c r="E2" s="18"/>
      <c r="F2" s="18"/>
    </row>
    <row r="3" customFormat="false" ht="30" hidden="false" customHeight="true" outlineLevel="0" collapsed="false">
      <c r="A3" s="19" t="s">
        <v>775</v>
      </c>
      <c r="B3" s="19"/>
      <c r="C3" s="19"/>
      <c r="D3" s="19"/>
      <c r="E3" s="19"/>
      <c r="F3" s="19"/>
    </row>
    <row r="4" customFormat="false" ht="6" hidden="false" customHeight="true" outlineLevel="0" collapsed="false"/>
    <row r="5" customFormat="false" ht="30" hidden="false" customHeight="true" outlineLevel="0" collapsed="false">
      <c r="A5" s="20" t="s">
        <v>80</v>
      </c>
      <c r="B5" s="20" t="s">
        <v>603</v>
      </c>
      <c r="C5" s="20" t="s">
        <v>776</v>
      </c>
      <c r="D5" s="20" t="s">
        <v>777</v>
      </c>
      <c r="E5" s="20" t="s">
        <v>778</v>
      </c>
      <c r="F5" s="20" t="s">
        <v>779</v>
      </c>
    </row>
    <row r="6" customFormat="false" ht="19.5" hidden="false" customHeight="true" outlineLevel="0" collapsed="false">
      <c r="A6" s="5" t="s">
        <v>607</v>
      </c>
      <c r="B6" s="5" t="s">
        <v>608</v>
      </c>
      <c r="C6" s="6" t="s">
        <v>610</v>
      </c>
      <c r="D6" s="5" t="s">
        <v>780</v>
      </c>
      <c r="E6" s="5" t="s">
        <v>104</v>
      </c>
      <c r="F6" s="5" t="s">
        <v>781</v>
      </c>
    </row>
    <row r="7" customFormat="false" ht="19.5" hidden="false" customHeight="true" outlineLevel="0" collapsed="false">
      <c r="A7" s="7" t="s">
        <v>611</v>
      </c>
      <c r="B7" s="7" t="s">
        <v>612</v>
      </c>
      <c r="C7" s="8" t="s">
        <v>610</v>
      </c>
      <c r="D7" s="7" t="s">
        <v>780</v>
      </c>
      <c r="E7" s="7" t="s">
        <v>104</v>
      </c>
      <c r="F7" s="7" t="s">
        <v>781</v>
      </c>
    </row>
    <row r="8" customFormat="false" ht="19.5" hidden="false" customHeight="true" outlineLevel="0" collapsed="false">
      <c r="A8" s="5" t="s">
        <v>614</v>
      </c>
      <c r="B8" s="5" t="s">
        <v>615</v>
      </c>
      <c r="C8" s="6" t="s">
        <v>610</v>
      </c>
      <c r="D8" s="5" t="s">
        <v>780</v>
      </c>
      <c r="E8" s="5" t="s">
        <v>104</v>
      </c>
      <c r="F8" s="5" t="s">
        <v>781</v>
      </c>
    </row>
    <row r="9" customFormat="false" ht="19.5" hidden="false" customHeight="true" outlineLevel="0" collapsed="false">
      <c r="A9" s="7" t="s">
        <v>617</v>
      </c>
      <c r="B9" s="7" t="s">
        <v>618</v>
      </c>
      <c r="C9" s="8" t="s">
        <v>610</v>
      </c>
      <c r="D9" s="7" t="s">
        <v>780</v>
      </c>
      <c r="E9" s="7" t="s">
        <v>104</v>
      </c>
      <c r="F9" s="7" t="s">
        <v>781</v>
      </c>
    </row>
    <row r="10" customFormat="false" ht="19.5" hidden="false" customHeight="true" outlineLevel="0" collapsed="false">
      <c r="A10" s="5" t="s">
        <v>620</v>
      </c>
      <c r="B10" s="5" t="s">
        <v>621</v>
      </c>
      <c r="C10" s="6" t="s">
        <v>610</v>
      </c>
      <c r="D10" s="5" t="s">
        <v>780</v>
      </c>
      <c r="E10" s="5" t="s">
        <v>104</v>
      </c>
      <c r="F10" s="5" t="s">
        <v>781</v>
      </c>
    </row>
    <row r="11" customFormat="false" ht="19.5" hidden="false" customHeight="true" outlineLevel="0" collapsed="false">
      <c r="A11" s="7" t="s">
        <v>623</v>
      </c>
      <c r="B11" s="7" t="s">
        <v>624</v>
      </c>
      <c r="C11" s="8" t="s">
        <v>626</v>
      </c>
      <c r="D11" s="7" t="s">
        <v>780</v>
      </c>
      <c r="E11" s="7" t="s">
        <v>104</v>
      </c>
      <c r="F11" s="7" t="s">
        <v>781</v>
      </c>
    </row>
    <row r="12" customFormat="false" ht="19.5" hidden="false" customHeight="true" outlineLevel="0" collapsed="false">
      <c r="A12" s="5" t="s">
        <v>627</v>
      </c>
      <c r="B12" s="5" t="s">
        <v>628</v>
      </c>
      <c r="C12" s="6" t="s">
        <v>630</v>
      </c>
      <c r="D12" s="5" t="s">
        <v>780</v>
      </c>
      <c r="E12" s="5" t="s">
        <v>104</v>
      </c>
      <c r="F12" s="5" t="s">
        <v>781</v>
      </c>
    </row>
    <row r="13" customFormat="false" ht="19.5" hidden="false" customHeight="true" outlineLevel="0" collapsed="false">
      <c r="A13" s="7" t="s">
        <v>631</v>
      </c>
      <c r="B13" s="7" t="s">
        <v>632</v>
      </c>
      <c r="C13" s="8" t="s">
        <v>610</v>
      </c>
      <c r="D13" s="7" t="s">
        <v>780</v>
      </c>
      <c r="E13" s="7" t="s">
        <v>104</v>
      </c>
      <c r="F13" s="7" t="s">
        <v>781</v>
      </c>
    </row>
    <row r="14" customFormat="false" ht="19.5" hidden="false" customHeight="true" outlineLevel="0" collapsed="false">
      <c r="A14" s="5" t="s">
        <v>634</v>
      </c>
      <c r="B14" s="5" t="s">
        <v>635</v>
      </c>
      <c r="C14" s="6" t="s">
        <v>637</v>
      </c>
      <c r="D14" s="5" t="s">
        <v>780</v>
      </c>
      <c r="E14" s="5" t="s">
        <v>104</v>
      </c>
      <c r="F14" s="5" t="s">
        <v>781</v>
      </c>
    </row>
    <row r="15" customFormat="false" ht="19.5" hidden="false" customHeight="true" outlineLevel="0" collapsed="false">
      <c r="A15" s="7" t="s">
        <v>638</v>
      </c>
      <c r="B15" s="7" t="s">
        <v>639</v>
      </c>
      <c r="C15" s="8" t="s">
        <v>641</v>
      </c>
      <c r="D15" s="7" t="s">
        <v>780</v>
      </c>
      <c r="E15" s="7" t="s">
        <v>104</v>
      </c>
      <c r="F15" s="7" t="s">
        <v>781</v>
      </c>
    </row>
    <row r="16" customFormat="false" ht="19.5" hidden="false" customHeight="true" outlineLevel="0" collapsed="false">
      <c r="A16" s="5" t="s">
        <v>642</v>
      </c>
      <c r="B16" s="5" t="s">
        <v>643</v>
      </c>
      <c r="C16" s="6" t="s">
        <v>630</v>
      </c>
      <c r="D16" s="5" t="s">
        <v>780</v>
      </c>
      <c r="E16" s="5" t="s">
        <v>104</v>
      </c>
      <c r="F16" s="5" t="s">
        <v>781</v>
      </c>
    </row>
    <row r="17" customFormat="false" ht="19.5" hidden="false" customHeight="true" outlineLevel="0" collapsed="false">
      <c r="A17" s="7" t="s">
        <v>645</v>
      </c>
      <c r="B17" s="7" t="s">
        <v>646</v>
      </c>
      <c r="C17" s="8" t="s">
        <v>610</v>
      </c>
      <c r="D17" s="7" t="s">
        <v>780</v>
      </c>
      <c r="E17" s="7" t="s">
        <v>104</v>
      </c>
      <c r="F17" s="7" t="s">
        <v>781</v>
      </c>
    </row>
    <row r="18" customFormat="false" ht="19.5" hidden="false" customHeight="true" outlineLevel="0" collapsed="false">
      <c r="A18" s="5" t="s">
        <v>648</v>
      </c>
      <c r="B18" s="5" t="s">
        <v>649</v>
      </c>
      <c r="C18" s="6" t="s">
        <v>651</v>
      </c>
      <c r="D18" s="5" t="s">
        <v>780</v>
      </c>
      <c r="E18" s="5" t="s">
        <v>104</v>
      </c>
      <c r="F18" s="5" t="s">
        <v>781</v>
      </c>
    </row>
    <row r="19" customFormat="false" ht="19.5" hidden="false" customHeight="true" outlineLevel="0" collapsed="false">
      <c r="A19" s="7" t="s">
        <v>652</v>
      </c>
      <c r="B19" s="7" t="s">
        <v>653</v>
      </c>
      <c r="C19" s="8" t="s">
        <v>651</v>
      </c>
      <c r="D19" s="7" t="s">
        <v>780</v>
      </c>
      <c r="E19" s="7" t="s">
        <v>104</v>
      </c>
      <c r="F19" s="7" t="s">
        <v>781</v>
      </c>
    </row>
    <row r="20" customFormat="false" ht="19.5" hidden="false" customHeight="true" outlineLevel="0" collapsed="false">
      <c r="A20" s="5" t="s">
        <v>655</v>
      </c>
      <c r="B20" s="5" t="s">
        <v>656</v>
      </c>
      <c r="C20" s="6" t="s">
        <v>651</v>
      </c>
      <c r="D20" s="5" t="s">
        <v>780</v>
      </c>
      <c r="E20" s="5" t="s">
        <v>104</v>
      </c>
      <c r="F20" s="5" t="s">
        <v>781</v>
      </c>
    </row>
    <row r="21" customFormat="false" ht="19.5" hidden="false" customHeight="true" outlineLevel="0" collapsed="false">
      <c r="A21" s="7" t="s">
        <v>658</v>
      </c>
      <c r="B21" s="7" t="s">
        <v>659</v>
      </c>
      <c r="C21" s="8" t="s">
        <v>661</v>
      </c>
      <c r="D21" s="7" t="s">
        <v>780</v>
      </c>
      <c r="E21" s="7" t="s">
        <v>104</v>
      </c>
      <c r="F21" s="7" t="s">
        <v>781</v>
      </c>
    </row>
    <row r="22" customFormat="false" ht="19.5" hidden="false" customHeight="true" outlineLevel="0" collapsed="false">
      <c r="A22" s="5" t="s">
        <v>662</v>
      </c>
      <c r="B22" s="5" t="s">
        <v>663</v>
      </c>
      <c r="C22" s="6" t="s">
        <v>665</v>
      </c>
      <c r="D22" s="5" t="s">
        <v>780</v>
      </c>
      <c r="E22" s="5" t="s">
        <v>104</v>
      </c>
      <c r="F22" s="5" t="s">
        <v>781</v>
      </c>
    </row>
    <row r="23" customFormat="false" ht="19.5" hidden="false" customHeight="true" outlineLevel="0" collapsed="false">
      <c r="A23" s="7" t="s">
        <v>666</v>
      </c>
      <c r="B23" s="7" t="s">
        <v>667</v>
      </c>
      <c r="C23" s="8" t="s">
        <v>669</v>
      </c>
      <c r="D23" s="7" t="s">
        <v>780</v>
      </c>
      <c r="E23" s="7" t="s">
        <v>104</v>
      </c>
      <c r="F23" s="7" t="s">
        <v>781</v>
      </c>
    </row>
    <row r="24" customFormat="false" ht="19.5" hidden="false" customHeight="true" outlineLevel="0" collapsed="false">
      <c r="A24" s="5" t="s">
        <v>670</v>
      </c>
      <c r="B24" s="5" t="s">
        <v>671</v>
      </c>
      <c r="C24" s="6" t="s">
        <v>673</v>
      </c>
      <c r="D24" s="5" t="s">
        <v>780</v>
      </c>
      <c r="E24" s="5" t="s">
        <v>104</v>
      </c>
      <c r="F24" s="5" t="s">
        <v>781</v>
      </c>
    </row>
    <row r="25" customFormat="false" ht="19.5" hidden="false" customHeight="true" outlineLevel="0" collapsed="false">
      <c r="A25" s="7" t="s">
        <v>674</v>
      </c>
      <c r="B25" s="7" t="s">
        <v>675</v>
      </c>
      <c r="C25" s="8" t="s">
        <v>677</v>
      </c>
      <c r="D25" s="7" t="s">
        <v>780</v>
      </c>
      <c r="E25" s="7" t="s">
        <v>104</v>
      </c>
      <c r="F25" s="7" t="s">
        <v>781</v>
      </c>
    </row>
    <row r="26" customFormat="false" ht="19.5" hidden="false" customHeight="true" outlineLevel="0" collapsed="false">
      <c r="A26" s="5" t="s">
        <v>678</v>
      </c>
      <c r="B26" s="5" t="s">
        <v>679</v>
      </c>
      <c r="C26" s="6" t="s">
        <v>681</v>
      </c>
      <c r="D26" s="5" t="s">
        <v>780</v>
      </c>
      <c r="E26" s="5" t="s">
        <v>104</v>
      </c>
      <c r="F26" s="5" t="s">
        <v>781</v>
      </c>
    </row>
    <row r="27" customFormat="false" ht="19.5" hidden="false" customHeight="true" outlineLevel="0" collapsed="false">
      <c r="A27" s="7" t="s">
        <v>682</v>
      </c>
      <c r="B27" s="7" t="s">
        <v>683</v>
      </c>
      <c r="C27" s="8" t="s">
        <v>685</v>
      </c>
      <c r="D27" s="7" t="s">
        <v>780</v>
      </c>
      <c r="E27" s="7" t="s">
        <v>104</v>
      </c>
      <c r="F27" s="7" t="s">
        <v>781</v>
      </c>
    </row>
    <row r="28" customFormat="false" ht="19.5" hidden="false" customHeight="true" outlineLevel="0" collapsed="false">
      <c r="A28" s="5" t="s">
        <v>686</v>
      </c>
      <c r="B28" s="5" t="s">
        <v>687</v>
      </c>
      <c r="C28" s="6" t="s">
        <v>677</v>
      </c>
      <c r="D28" s="5" t="s">
        <v>780</v>
      </c>
      <c r="E28" s="5" t="s">
        <v>104</v>
      </c>
      <c r="F28" s="5" t="s">
        <v>781</v>
      </c>
    </row>
    <row r="29" customFormat="false" ht="19.5" hidden="false" customHeight="true" outlineLevel="0" collapsed="false">
      <c r="A29" s="7" t="s">
        <v>689</v>
      </c>
      <c r="B29" s="7" t="s">
        <v>690</v>
      </c>
      <c r="C29" s="8" t="s">
        <v>692</v>
      </c>
      <c r="D29" s="7" t="s">
        <v>780</v>
      </c>
      <c r="E29" s="7" t="s">
        <v>104</v>
      </c>
      <c r="F29" s="7" t="s">
        <v>781</v>
      </c>
    </row>
    <row r="30" customFormat="false" ht="19.5" hidden="false" customHeight="true" outlineLevel="0" collapsed="false">
      <c r="A30" s="5" t="s">
        <v>693</v>
      </c>
      <c r="B30" s="5" t="s">
        <v>694</v>
      </c>
      <c r="C30" s="6" t="s">
        <v>696</v>
      </c>
      <c r="D30" s="5" t="s">
        <v>780</v>
      </c>
      <c r="E30" s="5" t="s">
        <v>104</v>
      </c>
      <c r="F30" s="5" t="s">
        <v>781</v>
      </c>
    </row>
    <row r="31" customFormat="false" ht="19.5" hidden="false" customHeight="true" outlineLevel="0" collapsed="false">
      <c r="A31" s="7" t="s">
        <v>697</v>
      </c>
      <c r="B31" s="7" t="s">
        <v>698</v>
      </c>
      <c r="C31" s="8" t="s">
        <v>700</v>
      </c>
      <c r="D31" s="7" t="s">
        <v>780</v>
      </c>
      <c r="E31" s="7" t="s">
        <v>104</v>
      </c>
      <c r="F31" s="7" t="s">
        <v>781</v>
      </c>
    </row>
    <row r="32" customFormat="false" ht="19.5" hidden="false" customHeight="true" outlineLevel="0" collapsed="false">
      <c r="A32" s="5" t="s">
        <v>701</v>
      </c>
      <c r="B32" s="5" t="s">
        <v>702</v>
      </c>
      <c r="C32" s="6" t="s">
        <v>704</v>
      </c>
      <c r="D32" s="5" t="s">
        <v>780</v>
      </c>
      <c r="E32" s="5" t="s">
        <v>104</v>
      </c>
      <c r="F32" s="5" t="s">
        <v>781</v>
      </c>
    </row>
    <row r="33" customFormat="false" ht="19.5" hidden="false" customHeight="true" outlineLevel="0" collapsed="false">
      <c r="A33" s="7" t="s">
        <v>705</v>
      </c>
      <c r="B33" s="7" t="s">
        <v>706</v>
      </c>
      <c r="C33" s="8" t="s">
        <v>708</v>
      </c>
      <c r="D33" s="7" t="s">
        <v>780</v>
      </c>
      <c r="E33" s="7" t="s">
        <v>104</v>
      </c>
      <c r="F33" s="7" t="s">
        <v>781</v>
      </c>
    </row>
    <row r="34" customFormat="false" ht="19.5" hidden="false" customHeight="true" outlineLevel="0" collapsed="false">
      <c r="A34" s="5" t="s">
        <v>709</v>
      </c>
      <c r="B34" s="5" t="s">
        <v>710</v>
      </c>
      <c r="C34" s="6" t="s">
        <v>712</v>
      </c>
      <c r="D34" s="5" t="s">
        <v>780</v>
      </c>
      <c r="E34" s="5" t="s">
        <v>104</v>
      </c>
      <c r="F34" s="5" t="s">
        <v>781</v>
      </c>
    </row>
    <row r="35" customFormat="false" ht="19.5" hidden="false" customHeight="true" outlineLevel="0" collapsed="false">
      <c r="A35" s="7" t="s">
        <v>713</v>
      </c>
      <c r="B35" s="7" t="s">
        <v>714</v>
      </c>
      <c r="C35" s="8" t="s">
        <v>716</v>
      </c>
      <c r="D35" s="7" t="s">
        <v>780</v>
      </c>
      <c r="E35" s="7" t="s">
        <v>104</v>
      </c>
      <c r="F35" s="7" t="s">
        <v>781</v>
      </c>
    </row>
    <row r="36" customFormat="false" ht="19.5" hidden="false" customHeight="true" outlineLevel="0" collapsed="false">
      <c r="A36" s="5" t="s">
        <v>717</v>
      </c>
      <c r="B36" s="5" t="s">
        <v>718</v>
      </c>
      <c r="C36" s="6" t="s">
        <v>720</v>
      </c>
      <c r="D36" s="5" t="s">
        <v>780</v>
      </c>
      <c r="E36" s="5" t="s">
        <v>104</v>
      </c>
      <c r="F36" s="5" t="s">
        <v>781</v>
      </c>
    </row>
    <row r="37" customFormat="false" ht="19.5" hidden="false" customHeight="true" outlineLevel="0" collapsed="false">
      <c r="A37" s="7" t="s">
        <v>721</v>
      </c>
      <c r="B37" s="7" t="s">
        <v>722</v>
      </c>
      <c r="C37" s="8" t="s">
        <v>673</v>
      </c>
      <c r="D37" s="7" t="s">
        <v>780</v>
      </c>
      <c r="E37" s="7" t="s">
        <v>104</v>
      </c>
      <c r="F37" s="7" t="s">
        <v>781</v>
      </c>
    </row>
    <row r="38" customFormat="false" ht="19.5" hidden="false" customHeight="true" outlineLevel="0" collapsed="false">
      <c r="A38" s="5" t="s">
        <v>724</v>
      </c>
      <c r="B38" s="5" t="s">
        <v>725</v>
      </c>
      <c r="C38" s="6" t="s">
        <v>727</v>
      </c>
      <c r="D38" s="5" t="s">
        <v>780</v>
      </c>
      <c r="E38" s="5" t="s">
        <v>104</v>
      </c>
      <c r="F38" s="5" t="s">
        <v>781</v>
      </c>
    </row>
    <row r="39" customFormat="false" ht="19.5" hidden="false" customHeight="true" outlineLevel="0" collapsed="false">
      <c r="A39" s="7" t="s">
        <v>728</v>
      </c>
      <c r="B39" s="7" t="s">
        <v>729</v>
      </c>
      <c r="C39" s="8" t="s">
        <v>731</v>
      </c>
      <c r="D39" s="7" t="s">
        <v>780</v>
      </c>
      <c r="E39" s="7" t="s">
        <v>104</v>
      </c>
      <c r="F39" s="7" t="s">
        <v>781</v>
      </c>
    </row>
    <row r="40" customFormat="false" ht="19.5" hidden="false" customHeight="true" outlineLevel="0" collapsed="false">
      <c r="A40" s="5" t="s">
        <v>732</v>
      </c>
      <c r="B40" s="5" t="s">
        <v>733</v>
      </c>
      <c r="C40" s="6" t="s">
        <v>735</v>
      </c>
      <c r="D40" s="5" t="s">
        <v>780</v>
      </c>
      <c r="E40" s="5" t="s">
        <v>104</v>
      </c>
      <c r="F40" s="5" t="s">
        <v>781</v>
      </c>
    </row>
    <row r="41" customFormat="false" ht="19.5" hidden="false" customHeight="true" outlineLevel="0" collapsed="false">
      <c r="A41" s="7" t="s">
        <v>736</v>
      </c>
      <c r="B41" s="7" t="s">
        <v>737</v>
      </c>
      <c r="C41" s="8" t="s">
        <v>739</v>
      </c>
      <c r="D41" s="7" t="s">
        <v>780</v>
      </c>
      <c r="E41" s="7" t="s">
        <v>104</v>
      </c>
      <c r="F41" s="7" t="s">
        <v>781</v>
      </c>
    </row>
    <row r="42" customFormat="false" ht="19.5" hidden="false" customHeight="true" outlineLevel="0" collapsed="false">
      <c r="A42" s="5" t="s">
        <v>740</v>
      </c>
      <c r="B42" s="5" t="s">
        <v>741</v>
      </c>
      <c r="C42" s="6" t="s">
        <v>743</v>
      </c>
      <c r="D42" s="5" t="s">
        <v>780</v>
      </c>
      <c r="E42" s="5" t="s">
        <v>104</v>
      </c>
      <c r="F42" s="5" t="s">
        <v>781</v>
      </c>
    </row>
    <row r="43" customFormat="false" ht="19.5" hidden="false" customHeight="true" outlineLevel="0" collapsed="false">
      <c r="A43" s="7" t="s">
        <v>744</v>
      </c>
      <c r="B43" s="7" t="s">
        <v>745</v>
      </c>
      <c r="C43" s="8" t="s">
        <v>747</v>
      </c>
      <c r="D43" s="7" t="s">
        <v>780</v>
      </c>
      <c r="E43" s="7" t="s">
        <v>104</v>
      </c>
      <c r="F43" s="7" t="s">
        <v>781</v>
      </c>
    </row>
    <row r="44" customFormat="false" ht="19.5" hidden="false" customHeight="true" outlineLevel="0" collapsed="false">
      <c r="A44" s="5" t="s">
        <v>748</v>
      </c>
      <c r="B44" s="5" t="s">
        <v>749</v>
      </c>
      <c r="C44" s="6" t="s">
        <v>677</v>
      </c>
      <c r="D44" s="5" t="s">
        <v>780</v>
      </c>
      <c r="E44" s="5" t="s">
        <v>104</v>
      </c>
      <c r="F44" s="5" t="s">
        <v>781</v>
      </c>
    </row>
    <row r="45" customFormat="false" ht="19.5" hidden="false" customHeight="true" outlineLevel="0" collapsed="false">
      <c r="A45" s="7" t="s">
        <v>751</v>
      </c>
      <c r="B45" s="7" t="s">
        <v>752</v>
      </c>
      <c r="C45" s="8" t="s">
        <v>754</v>
      </c>
      <c r="D45" s="7" t="s">
        <v>780</v>
      </c>
      <c r="E45" s="7" t="s">
        <v>104</v>
      </c>
      <c r="F45" s="7" t="s">
        <v>781</v>
      </c>
    </row>
    <row r="46" customFormat="false" ht="19.5" hidden="false" customHeight="true" outlineLevel="0" collapsed="false">
      <c r="A46" s="5" t="s">
        <v>755</v>
      </c>
      <c r="B46" s="5" t="s">
        <v>756</v>
      </c>
      <c r="C46" s="6" t="s">
        <v>758</v>
      </c>
      <c r="D46" s="5" t="s">
        <v>780</v>
      </c>
      <c r="E46" s="5" t="s">
        <v>104</v>
      </c>
      <c r="F46" s="5" t="s">
        <v>781</v>
      </c>
    </row>
    <row r="47" customFormat="false" ht="19.5" hidden="false" customHeight="true" outlineLevel="0" collapsed="false">
      <c r="A47" s="7" t="s">
        <v>759</v>
      </c>
      <c r="B47" s="7" t="s">
        <v>760</v>
      </c>
      <c r="C47" s="8" t="s">
        <v>762</v>
      </c>
      <c r="D47" s="7" t="s">
        <v>780</v>
      </c>
      <c r="E47" s="7" t="s">
        <v>104</v>
      </c>
      <c r="F47" s="7" t="s">
        <v>781</v>
      </c>
    </row>
    <row r="48" customFormat="false" ht="19.5" hidden="false" customHeight="true" outlineLevel="0" collapsed="false">
      <c r="A48" s="5" t="s">
        <v>763</v>
      </c>
      <c r="B48" s="5" t="s">
        <v>764</v>
      </c>
      <c r="C48" s="6" t="s">
        <v>610</v>
      </c>
      <c r="D48" s="5" t="s">
        <v>780</v>
      </c>
      <c r="E48" s="5" t="s">
        <v>104</v>
      </c>
      <c r="F48" s="5" t="s">
        <v>781</v>
      </c>
    </row>
    <row r="49" customFormat="false" ht="19.5" hidden="false" customHeight="true" outlineLevel="0" collapsed="false">
      <c r="A49" s="7" t="s">
        <v>766</v>
      </c>
      <c r="B49" s="7" t="s">
        <v>767</v>
      </c>
      <c r="C49" s="8" t="s">
        <v>769</v>
      </c>
      <c r="D49" s="7" t="s">
        <v>780</v>
      </c>
      <c r="E49" s="7" t="s">
        <v>104</v>
      </c>
      <c r="F49" s="7" t="s">
        <v>781</v>
      </c>
    </row>
    <row r="50" customFormat="false" ht="19.5" hidden="false" customHeight="true" outlineLevel="0" collapsed="false">
      <c r="A50" s="5" t="s">
        <v>770</v>
      </c>
      <c r="B50" s="5" t="s">
        <v>771</v>
      </c>
      <c r="C50" s="6" t="s">
        <v>773</v>
      </c>
      <c r="D50" s="5" t="s">
        <v>780</v>
      </c>
      <c r="E50" s="5" t="s">
        <v>104</v>
      </c>
      <c r="F50" s="5" t="s">
        <v>781</v>
      </c>
    </row>
  </sheetData>
  <autoFilter ref="A5:F50"/>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4"/>
    <col collapsed="false" customWidth="true" hidden="false" outlineLevel="0" max="4" min="4" style="0" width="80"/>
    <col collapsed="false" customWidth="true" hidden="false" outlineLevel="0" max="5" min="5" style="0" width="26"/>
    <col collapsed="false" customWidth="true" hidden="false" outlineLevel="0" max="6" min="6" style="0" width="20"/>
  </cols>
  <sheetData>
    <row r="1" customFormat="false" ht="19.5" hidden="false" customHeight="true" outlineLevel="0" collapsed="false">
      <c r="A1" s="21" t="s">
        <v>782</v>
      </c>
      <c r="B1" s="21"/>
      <c r="C1" s="21"/>
      <c r="D1" s="21"/>
      <c r="E1" s="21"/>
      <c r="F1" s="21"/>
    </row>
    <row r="2" customFormat="false" ht="27.75" hidden="false" customHeight="true" outlineLevel="0" collapsed="false">
      <c r="A2" s="22" t="s">
        <v>783</v>
      </c>
      <c r="B2" s="22"/>
      <c r="C2" s="22"/>
      <c r="D2" s="22"/>
      <c r="E2" s="22"/>
      <c r="F2" s="22"/>
    </row>
    <row r="3" customFormat="false" ht="30" hidden="false" customHeight="true" outlineLevel="0" collapsed="false">
      <c r="A3" s="23" t="s">
        <v>784</v>
      </c>
      <c r="B3" s="23"/>
      <c r="C3" s="23"/>
      <c r="D3" s="23"/>
      <c r="E3" s="23"/>
      <c r="F3" s="23"/>
    </row>
    <row r="4" customFormat="false" ht="6" hidden="false" customHeight="true" outlineLevel="0" collapsed="false"/>
    <row r="5" customFormat="false" ht="30" hidden="false" customHeight="true" outlineLevel="0" collapsed="false">
      <c r="A5" s="24" t="s">
        <v>785</v>
      </c>
      <c r="B5" s="24" t="s">
        <v>339</v>
      </c>
      <c r="C5" s="24" t="s">
        <v>786</v>
      </c>
      <c r="D5" s="24" t="s">
        <v>787</v>
      </c>
      <c r="E5" s="24" t="s">
        <v>788</v>
      </c>
      <c r="F5" s="24" t="s">
        <v>789</v>
      </c>
    </row>
    <row r="6" customFormat="false" ht="30" hidden="false" customHeight="true" outlineLevel="0" collapsed="false">
      <c r="A6" s="5" t="s">
        <v>790</v>
      </c>
      <c r="B6" s="5" t="s">
        <v>791</v>
      </c>
      <c r="C6" s="5" t="s">
        <v>792</v>
      </c>
      <c r="D6" s="6" t="s">
        <v>793</v>
      </c>
      <c r="E6" s="5" t="s">
        <v>794</v>
      </c>
      <c r="F6" s="5" t="s">
        <v>135</v>
      </c>
    </row>
    <row r="7" customFormat="false" ht="30" hidden="false" customHeight="true" outlineLevel="0" collapsed="false">
      <c r="A7" s="7" t="s">
        <v>795</v>
      </c>
      <c r="B7" s="7" t="s">
        <v>796</v>
      </c>
      <c r="C7" s="7" t="s">
        <v>792</v>
      </c>
      <c r="D7" s="8" t="s">
        <v>797</v>
      </c>
      <c r="E7" s="7" t="s">
        <v>798</v>
      </c>
      <c r="F7" s="7" t="s">
        <v>45</v>
      </c>
    </row>
    <row r="8" customFormat="false" ht="30" hidden="false" customHeight="true" outlineLevel="0" collapsed="false">
      <c r="A8" s="5" t="s">
        <v>799</v>
      </c>
      <c r="B8" s="5" t="s">
        <v>800</v>
      </c>
      <c r="C8" s="5" t="s">
        <v>792</v>
      </c>
      <c r="D8" s="6" t="s">
        <v>801</v>
      </c>
      <c r="E8" s="5" t="s">
        <v>802</v>
      </c>
      <c r="F8" s="5" t="s">
        <v>45</v>
      </c>
    </row>
    <row r="9" customFormat="false" ht="30" hidden="false" customHeight="true" outlineLevel="0" collapsed="false">
      <c r="A9" s="7" t="s">
        <v>803</v>
      </c>
      <c r="B9" s="7" t="s">
        <v>804</v>
      </c>
      <c r="C9" s="7" t="s">
        <v>805</v>
      </c>
      <c r="D9" s="8" t="s">
        <v>806</v>
      </c>
      <c r="E9" s="7" t="s">
        <v>807</v>
      </c>
      <c r="F9" s="7" t="s">
        <v>135</v>
      </c>
    </row>
    <row r="10" customFormat="false" ht="30" hidden="false" customHeight="true" outlineLevel="0" collapsed="false">
      <c r="A10" s="5" t="s">
        <v>808</v>
      </c>
      <c r="B10" s="5" t="s">
        <v>809</v>
      </c>
      <c r="C10" s="5" t="s">
        <v>805</v>
      </c>
      <c r="D10" s="6" t="s">
        <v>810</v>
      </c>
      <c r="E10" s="5" t="s">
        <v>811</v>
      </c>
      <c r="F10" s="5" t="s">
        <v>41</v>
      </c>
    </row>
    <row r="11" customFormat="false" ht="30" hidden="false" customHeight="true" outlineLevel="0" collapsed="false">
      <c r="A11" s="7" t="s">
        <v>812</v>
      </c>
      <c r="B11" s="7" t="s">
        <v>813</v>
      </c>
      <c r="C11" s="7" t="s">
        <v>805</v>
      </c>
      <c r="D11" s="8" t="s">
        <v>814</v>
      </c>
      <c r="E11" s="7" t="s">
        <v>815</v>
      </c>
      <c r="F11" s="7" t="s">
        <v>41</v>
      </c>
    </row>
    <row r="12" customFormat="false" ht="30" hidden="false" customHeight="true" outlineLevel="0" collapsed="false">
      <c r="A12" s="5" t="s">
        <v>816</v>
      </c>
      <c r="B12" s="5" t="s">
        <v>817</v>
      </c>
      <c r="C12" s="5" t="s">
        <v>805</v>
      </c>
      <c r="D12" s="6" t="s">
        <v>818</v>
      </c>
      <c r="E12" s="5" t="s">
        <v>819</v>
      </c>
      <c r="F12" s="5" t="s">
        <v>104</v>
      </c>
    </row>
    <row r="13" customFormat="false" ht="30" hidden="false" customHeight="true" outlineLevel="0" collapsed="false">
      <c r="A13" s="7" t="s">
        <v>820</v>
      </c>
      <c r="B13" s="7" t="s">
        <v>821</v>
      </c>
      <c r="C13" s="7" t="s">
        <v>805</v>
      </c>
      <c r="D13" s="8" t="s">
        <v>822</v>
      </c>
      <c r="E13" s="7" t="s">
        <v>823</v>
      </c>
      <c r="F13" s="7" t="s">
        <v>114</v>
      </c>
    </row>
    <row r="14" customFormat="false" ht="30" hidden="false" customHeight="true" outlineLevel="0" collapsed="false">
      <c r="A14" s="5" t="s">
        <v>824</v>
      </c>
      <c r="B14" s="5" t="s">
        <v>825</v>
      </c>
      <c r="C14" s="5" t="s">
        <v>805</v>
      </c>
      <c r="D14" s="6" t="s">
        <v>826</v>
      </c>
      <c r="E14" s="5" t="s">
        <v>827</v>
      </c>
      <c r="F14" s="5" t="s">
        <v>91</v>
      </c>
    </row>
    <row r="15" customFormat="false" ht="30" hidden="false" customHeight="true" outlineLevel="0" collapsed="false">
      <c r="A15" s="7" t="s">
        <v>828</v>
      </c>
      <c r="B15" s="7" t="s">
        <v>829</v>
      </c>
      <c r="C15" s="7" t="s">
        <v>805</v>
      </c>
      <c r="D15" s="8" t="s">
        <v>830</v>
      </c>
      <c r="E15" s="7" t="s">
        <v>831</v>
      </c>
      <c r="F15" s="7" t="s">
        <v>99</v>
      </c>
    </row>
    <row r="16" customFormat="false" ht="30" hidden="false" customHeight="true" outlineLevel="0" collapsed="false">
      <c r="A16" s="5" t="s">
        <v>832</v>
      </c>
      <c r="B16" s="5" t="s">
        <v>833</v>
      </c>
      <c r="C16" s="5" t="s">
        <v>805</v>
      </c>
      <c r="D16" s="6" t="s">
        <v>834</v>
      </c>
      <c r="E16" s="5" t="s">
        <v>835</v>
      </c>
      <c r="F16" s="5" t="s">
        <v>158</v>
      </c>
    </row>
    <row r="17" customFormat="false" ht="30" hidden="false" customHeight="true" outlineLevel="0" collapsed="false">
      <c r="A17" s="7" t="s">
        <v>836</v>
      </c>
      <c r="B17" s="7" t="s">
        <v>837</v>
      </c>
      <c r="C17" s="7" t="s">
        <v>805</v>
      </c>
      <c r="D17" s="8" t="s">
        <v>838</v>
      </c>
      <c r="E17" s="7" t="s">
        <v>839</v>
      </c>
      <c r="F17" s="7" t="s">
        <v>104</v>
      </c>
    </row>
    <row r="18" customFormat="false" ht="30" hidden="false" customHeight="true" outlineLevel="0" collapsed="false">
      <c r="A18" s="5" t="s">
        <v>840</v>
      </c>
      <c r="B18" s="5" t="s">
        <v>841</v>
      </c>
      <c r="C18" s="5" t="s">
        <v>805</v>
      </c>
      <c r="D18" s="6" t="s">
        <v>842</v>
      </c>
      <c r="E18" s="5" t="s">
        <v>843</v>
      </c>
      <c r="F18" s="5" t="s">
        <v>99</v>
      </c>
    </row>
    <row r="19" customFormat="false" ht="30" hidden="false" customHeight="true" outlineLevel="0" collapsed="false">
      <c r="A19" s="7" t="s">
        <v>844</v>
      </c>
      <c r="B19" s="7" t="s">
        <v>845</v>
      </c>
      <c r="C19" s="7" t="s">
        <v>805</v>
      </c>
      <c r="D19" s="8" t="s">
        <v>846</v>
      </c>
      <c r="E19" s="7" t="s">
        <v>847</v>
      </c>
      <c r="F19" s="7" t="s">
        <v>99</v>
      </c>
    </row>
    <row r="20" customFormat="false" ht="30" hidden="false" customHeight="true" outlineLevel="0" collapsed="false">
      <c r="A20" s="5" t="s">
        <v>848</v>
      </c>
      <c r="B20" s="5" t="s">
        <v>849</v>
      </c>
      <c r="C20" s="5" t="s">
        <v>805</v>
      </c>
      <c r="D20" s="6" t="s">
        <v>850</v>
      </c>
      <c r="E20" s="5" t="s">
        <v>851</v>
      </c>
      <c r="F20" s="5" t="s">
        <v>107</v>
      </c>
    </row>
    <row r="21" customFormat="false" ht="30" hidden="false" customHeight="true" outlineLevel="0" collapsed="false">
      <c r="A21" s="7" t="s">
        <v>852</v>
      </c>
      <c r="B21" s="7" t="s">
        <v>853</v>
      </c>
      <c r="C21" s="7" t="s">
        <v>854</v>
      </c>
      <c r="D21" s="8" t="s">
        <v>855</v>
      </c>
      <c r="E21" s="7" t="s">
        <v>856</v>
      </c>
      <c r="F21" s="7" t="s">
        <v>41</v>
      </c>
    </row>
    <row r="22" customFormat="false" ht="30" hidden="false" customHeight="true" outlineLevel="0" collapsed="false">
      <c r="A22" s="5" t="s">
        <v>857</v>
      </c>
      <c r="B22" s="5" t="s">
        <v>858</v>
      </c>
      <c r="C22" s="5" t="s">
        <v>854</v>
      </c>
      <c r="D22" s="6" t="s">
        <v>859</v>
      </c>
      <c r="E22" s="5" t="s">
        <v>860</v>
      </c>
      <c r="F22" s="5" t="s">
        <v>131</v>
      </c>
    </row>
    <row r="23" customFormat="false" ht="30" hidden="false" customHeight="true" outlineLevel="0" collapsed="false">
      <c r="A23" s="7" t="s">
        <v>861</v>
      </c>
      <c r="B23" s="7" t="s">
        <v>862</v>
      </c>
      <c r="C23" s="7" t="s">
        <v>854</v>
      </c>
      <c r="D23" s="8" t="s">
        <v>863</v>
      </c>
      <c r="E23" s="7" t="s">
        <v>864</v>
      </c>
      <c r="F23" s="7" t="s">
        <v>135</v>
      </c>
    </row>
  </sheetData>
  <autoFilter ref="A5:F23"/>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K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12"/>
    <col collapsed="false" customWidth="true" hidden="false" outlineLevel="0" max="4" min="4" style="0" width="40"/>
    <col collapsed="false" customWidth="true" hidden="false" outlineLevel="0" max="5" min="5" style="0" width="18"/>
    <col collapsed="false" customWidth="true" hidden="false" outlineLevel="0" max="6" min="6" style="0" width="52"/>
    <col collapsed="false" customWidth="true" hidden="false" outlineLevel="0" max="7" min="7" style="0" width="10"/>
    <col collapsed="false" customWidth="true" hidden="false" outlineLevel="0" max="8" min="8" style="0" width="66"/>
    <col collapsed="false" customWidth="true" hidden="false" outlineLevel="0" max="9" min="9" style="0" width="72"/>
    <col collapsed="false" customWidth="true" hidden="false" outlineLevel="0" max="10" min="10" style="0" width="78"/>
    <col collapsed="false" customWidth="true" hidden="false" outlineLevel="0" max="11" min="11" style="0" width="28"/>
  </cols>
  <sheetData>
    <row r="1" customFormat="false" ht="19.5" hidden="false" customHeight="true" outlineLevel="0" collapsed="false">
      <c r="A1" s="21" t="s">
        <v>782</v>
      </c>
      <c r="B1" s="21"/>
      <c r="C1" s="21"/>
      <c r="D1" s="21"/>
      <c r="E1" s="21"/>
      <c r="F1" s="21"/>
      <c r="G1" s="21"/>
      <c r="H1" s="21"/>
      <c r="I1" s="21"/>
      <c r="J1" s="21"/>
      <c r="K1" s="21"/>
    </row>
    <row r="2" customFormat="false" ht="27.75" hidden="false" customHeight="true" outlineLevel="0" collapsed="false">
      <c r="A2" s="22" t="s">
        <v>865</v>
      </c>
      <c r="B2" s="22"/>
      <c r="C2" s="22"/>
      <c r="D2" s="22"/>
      <c r="E2" s="22"/>
      <c r="F2" s="22"/>
      <c r="G2" s="22"/>
      <c r="H2" s="22"/>
      <c r="I2" s="22"/>
      <c r="J2" s="22"/>
      <c r="K2" s="22"/>
    </row>
    <row r="3" customFormat="false" ht="30" hidden="false" customHeight="true" outlineLevel="0" collapsed="false">
      <c r="A3" s="23" t="s">
        <v>866</v>
      </c>
      <c r="B3" s="23"/>
      <c r="C3" s="23"/>
      <c r="D3" s="23"/>
      <c r="E3" s="23"/>
      <c r="F3" s="23"/>
      <c r="G3" s="23"/>
      <c r="H3" s="23"/>
      <c r="I3" s="23"/>
      <c r="J3" s="23"/>
      <c r="K3" s="23"/>
    </row>
    <row r="4" customFormat="false" ht="6" hidden="false" customHeight="true" outlineLevel="0" collapsed="false"/>
    <row r="5" customFormat="false" ht="30" hidden="false" customHeight="true" outlineLevel="0" collapsed="false">
      <c r="A5" s="24" t="s">
        <v>785</v>
      </c>
      <c r="B5" s="24" t="s">
        <v>867</v>
      </c>
      <c r="C5" s="24" t="s">
        <v>80</v>
      </c>
      <c r="D5" s="24" t="s">
        <v>868</v>
      </c>
      <c r="E5" s="24" t="s">
        <v>869</v>
      </c>
      <c r="F5" s="24" t="s">
        <v>870</v>
      </c>
      <c r="G5" s="24" t="s">
        <v>871</v>
      </c>
      <c r="H5" s="24" t="s">
        <v>872</v>
      </c>
      <c r="I5" s="24" t="s">
        <v>873</v>
      </c>
      <c r="J5" s="24" t="s">
        <v>874</v>
      </c>
      <c r="K5" s="24" t="s">
        <v>788</v>
      </c>
    </row>
    <row r="6" customFormat="false" ht="48" hidden="false" customHeight="true" outlineLevel="0" collapsed="false">
      <c r="A6" s="5" t="s">
        <v>795</v>
      </c>
      <c r="B6" s="5" t="n">
        <v>1</v>
      </c>
      <c r="C6" s="5" t="s">
        <v>875</v>
      </c>
      <c r="D6" s="6" t="s">
        <v>876</v>
      </c>
      <c r="E6" s="5" t="s">
        <v>877</v>
      </c>
      <c r="F6" s="6" t="s">
        <v>878</v>
      </c>
      <c r="G6" s="5" t="s">
        <v>420</v>
      </c>
      <c r="H6" s="6" t="s">
        <v>879</v>
      </c>
      <c r="I6" s="6" t="s">
        <v>880</v>
      </c>
      <c r="J6" s="6" t="s">
        <v>881</v>
      </c>
      <c r="K6" s="5" t="s">
        <v>882</v>
      </c>
    </row>
    <row r="7" customFormat="false" ht="48" hidden="false" customHeight="true" outlineLevel="0" collapsed="false">
      <c r="A7" s="7" t="s">
        <v>795</v>
      </c>
      <c r="B7" s="7" t="n">
        <v>2</v>
      </c>
      <c r="C7" s="7" t="s">
        <v>883</v>
      </c>
      <c r="D7" s="8" t="s">
        <v>884</v>
      </c>
      <c r="E7" s="7" t="s">
        <v>885</v>
      </c>
      <c r="F7" s="8" t="s">
        <v>886</v>
      </c>
      <c r="G7" s="7" t="s">
        <v>420</v>
      </c>
      <c r="H7" s="8" t="s">
        <v>887</v>
      </c>
      <c r="I7" s="8" t="s">
        <v>888</v>
      </c>
      <c r="J7" s="8" t="s">
        <v>889</v>
      </c>
      <c r="K7" s="7" t="s">
        <v>890</v>
      </c>
    </row>
    <row r="8" customFormat="false" ht="48" hidden="false" customHeight="true" outlineLevel="0" collapsed="false">
      <c r="A8" s="5" t="s">
        <v>795</v>
      </c>
      <c r="B8" s="5" t="n">
        <v>3</v>
      </c>
      <c r="C8" s="5" t="s">
        <v>891</v>
      </c>
      <c r="D8" s="6" t="s">
        <v>892</v>
      </c>
      <c r="E8" s="5" t="s">
        <v>893</v>
      </c>
      <c r="F8" s="6" t="s">
        <v>894</v>
      </c>
      <c r="G8" s="5" t="s">
        <v>420</v>
      </c>
      <c r="H8" s="6" t="s">
        <v>895</v>
      </c>
      <c r="I8" s="6" t="s">
        <v>896</v>
      </c>
      <c r="J8" s="6" t="s">
        <v>897</v>
      </c>
      <c r="K8" s="5" t="s">
        <v>898</v>
      </c>
    </row>
    <row r="9" customFormat="false" ht="48" hidden="false" customHeight="true" outlineLevel="0" collapsed="false">
      <c r="A9" s="7" t="s">
        <v>795</v>
      </c>
      <c r="B9" s="7" t="n">
        <v>4</v>
      </c>
      <c r="C9" s="7" t="s">
        <v>899</v>
      </c>
      <c r="D9" s="8" t="s">
        <v>900</v>
      </c>
      <c r="E9" s="7" t="s">
        <v>901</v>
      </c>
      <c r="F9" s="8" t="s">
        <v>902</v>
      </c>
      <c r="G9" s="7" t="s">
        <v>420</v>
      </c>
      <c r="H9" s="8" t="s">
        <v>903</v>
      </c>
      <c r="I9" s="8" t="s">
        <v>904</v>
      </c>
      <c r="J9" s="8" t="s">
        <v>905</v>
      </c>
      <c r="K9" s="7" t="s">
        <v>906</v>
      </c>
    </row>
    <row r="10" customFormat="false" ht="48" hidden="false" customHeight="true" outlineLevel="0" collapsed="false">
      <c r="A10" s="5" t="s">
        <v>795</v>
      </c>
      <c r="B10" s="5" t="n">
        <v>5</v>
      </c>
      <c r="C10" s="5" t="s">
        <v>907</v>
      </c>
      <c r="D10" s="6" t="s">
        <v>908</v>
      </c>
      <c r="E10" s="5" t="s">
        <v>901</v>
      </c>
      <c r="F10" s="6" t="s">
        <v>909</v>
      </c>
      <c r="G10" s="5" t="s">
        <v>420</v>
      </c>
      <c r="H10" s="6" t="s">
        <v>910</v>
      </c>
      <c r="I10" s="6" t="s">
        <v>911</v>
      </c>
      <c r="J10" s="6" t="s">
        <v>912</v>
      </c>
      <c r="K10" s="5" t="s">
        <v>913</v>
      </c>
    </row>
    <row r="11" customFormat="false" ht="48" hidden="false" customHeight="true" outlineLevel="0" collapsed="false">
      <c r="A11" s="7" t="s">
        <v>795</v>
      </c>
      <c r="B11" s="7" t="n">
        <v>6</v>
      </c>
      <c r="C11" s="7" t="s">
        <v>914</v>
      </c>
      <c r="D11" s="8" t="s">
        <v>915</v>
      </c>
      <c r="E11" s="7" t="s">
        <v>877</v>
      </c>
      <c r="F11" s="8" t="s">
        <v>916</v>
      </c>
      <c r="G11" s="7" t="s">
        <v>422</v>
      </c>
      <c r="H11" s="8" t="s">
        <v>917</v>
      </c>
      <c r="I11" s="8" t="s">
        <v>918</v>
      </c>
      <c r="J11" s="8" t="s">
        <v>919</v>
      </c>
      <c r="K11" s="7" t="s">
        <v>920</v>
      </c>
    </row>
    <row r="12" customFormat="false" ht="48" hidden="false" customHeight="true" outlineLevel="0" collapsed="false">
      <c r="A12" s="5" t="s">
        <v>795</v>
      </c>
      <c r="B12" s="5" t="n">
        <v>7</v>
      </c>
      <c r="C12" s="5" t="s">
        <v>921</v>
      </c>
      <c r="D12" s="6" t="s">
        <v>922</v>
      </c>
      <c r="E12" s="5" t="s">
        <v>922</v>
      </c>
      <c r="F12" s="6" t="s">
        <v>923</v>
      </c>
      <c r="G12" s="5" t="s">
        <v>420</v>
      </c>
      <c r="H12" s="6" t="s">
        <v>924</v>
      </c>
      <c r="I12" s="6" t="s">
        <v>925</v>
      </c>
      <c r="J12" s="6" t="s">
        <v>926</v>
      </c>
      <c r="K12" s="5" t="s">
        <v>927</v>
      </c>
    </row>
    <row r="13" customFormat="false" ht="48" hidden="false" customHeight="true" outlineLevel="0" collapsed="false">
      <c r="A13" s="7" t="s">
        <v>795</v>
      </c>
      <c r="B13" s="7" t="n">
        <v>8</v>
      </c>
      <c r="C13" s="7" t="s">
        <v>928</v>
      </c>
      <c r="D13" s="8" t="s">
        <v>929</v>
      </c>
      <c r="E13" s="7" t="s">
        <v>901</v>
      </c>
      <c r="F13" s="8" t="s">
        <v>930</v>
      </c>
      <c r="G13" s="7" t="s">
        <v>420</v>
      </c>
      <c r="H13" s="8" t="s">
        <v>931</v>
      </c>
      <c r="I13" s="8" t="s">
        <v>932</v>
      </c>
      <c r="J13" s="8" t="s">
        <v>933</v>
      </c>
      <c r="K13" s="7" t="s">
        <v>934</v>
      </c>
    </row>
    <row r="14" customFormat="false" ht="48" hidden="false" customHeight="true" outlineLevel="0" collapsed="false">
      <c r="A14" s="5" t="s">
        <v>799</v>
      </c>
      <c r="B14" s="5" t="n">
        <v>1</v>
      </c>
      <c r="C14" s="5" t="s">
        <v>935</v>
      </c>
      <c r="D14" s="6" t="s">
        <v>936</v>
      </c>
      <c r="E14" s="5" t="s">
        <v>937</v>
      </c>
      <c r="F14" s="6" t="s">
        <v>938</v>
      </c>
      <c r="G14" s="5" t="s">
        <v>420</v>
      </c>
      <c r="H14" s="6" t="s">
        <v>939</v>
      </c>
      <c r="I14" s="6" t="s">
        <v>940</v>
      </c>
      <c r="J14" s="6" t="s">
        <v>941</v>
      </c>
      <c r="K14" s="5" t="s">
        <v>942</v>
      </c>
    </row>
    <row r="15" customFormat="false" ht="48" hidden="false" customHeight="true" outlineLevel="0" collapsed="false">
      <c r="A15" s="7" t="s">
        <v>799</v>
      </c>
      <c r="B15" s="7" t="n">
        <v>2</v>
      </c>
      <c r="C15" s="7" t="s">
        <v>943</v>
      </c>
      <c r="D15" s="8" t="s">
        <v>944</v>
      </c>
      <c r="E15" s="7" t="s">
        <v>945</v>
      </c>
      <c r="F15" s="8" t="s">
        <v>946</v>
      </c>
      <c r="G15" s="7" t="s">
        <v>422</v>
      </c>
      <c r="H15" s="8" t="s">
        <v>947</v>
      </c>
      <c r="I15" s="8" t="s">
        <v>948</v>
      </c>
      <c r="J15" s="8" t="s">
        <v>949</v>
      </c>
      <c r="K15" s="7" t="s">
        <v>950</v>
      </c>
    </row>
    <row r="16" customFormat="false" ht="48" hidden="false" customHeight="true" outlineLevel="0" collapsed="false">
      <c r="A16" s="5" t="s">
        <v>803</v>
      </c>
      <c r="B16" s="5" t="n">
        <v>1</v>
      </c>
      <c r="C16" s="5" t="s">
        <v>951</v>
      </c>
      <c r="D16" s="6" t="s">
        <v>952</v>
      </c>
      <c r="E16" s="5" t="s">
        <v>953</v>
      </c>
      <c r="F16" s="6" t="s">
        <v>954</v>
      </c>
      <c r="G16" s="5" t="s">
        <v>420</v>
      </c>
      <c r="H16" s="6" t="s">
        <v>955</v>
      </c>
      <c r="I16" s="6" t="s">
        <v>956</v>
      </c>
      <c r="J16" s="6" t="s">
        <v>957</v>
      </c>
      <c r="K16" s="5" t="s">
        <v>958</v>
      </c>
    </row>
    <row r="17" customFormat="false" ht="48" hidden="false" customHeight="true" outlineLevel="0" collapsed="false">
      <c r="A17" s="7" t="s">
        <v>803</v>
      </c>
      <c r="B17" s="7" t="n">
        <v>2</v>
      </c>
      <c r="C17" s="7" t="s">
        <v>959</v>
      </c>
      <c r="D17" s="8" t="s">
        <v>960</v>
      </c>
      <c r="E17" s="7" t="s">
        <v>953</v>
      </c>
      <c r="F17" s="8" t="s">
        <v>954</v>
      </c>
      <c r="G17" s="7" t="s">
        <v>420</v>
      </c>
      <c r="H17" s="8" t="s">
        <v>961</v>
      </c>
      <c r="I17" s="8" t="s">
        <v>962</v>
      </c>
      <c r="J17" s="8" t="s">
        <v>963</v>
      </c>
      <c r="K17" s="7" t="s">
        <v>964</v>
      </c>
    </row>
    <row r="18" customFormat="false" ht="48" hidden="false" customHeight="true" outlineLevel="0" collapsed="false">
      <c r="A18" s="5" t="s">
        <v>803</v>
      </c>
      <c r="B18" s="5" t="n">
        <v>3</v>
      </c>
      <c r="C18" s="5" t="s">
        <v>965</v>
      </c>
      <c r="D18" s="6" t="s">
        <v>966</v>
      </c>
      <c r="E18" s="5" t="s">
        <v>953</v>
      </c>
      <c r="F18" s="6" t="s">
        <v>954</v>
      </c>
      <c r="G18" s="5" t="s">
        <v>420</v>
      </c>
      <c r="H18" s="6" t="s">
        <v>961</v>
      </c>
      <c r="I18" s="6" t="s">
        <v>967</v>
      </c>
      <c r="J18" s="6" t="s">
        <v>968</v>
      </c>
      <c r="K18" s="5" t="s">
        <v>969</v>
      </c>
    </row>
    <row r="19" customFormat="false" ht="48" hidden="false" customHeight="true" outlineLevel="0" collapsed="false">
      <c r="A19" s="7" t="s">
        <v>803</v>
      </c>
      <c r="B19" s="7" t="n">
        <v>4</v>
      </c>
      <c r="C19" s="7" t="s">
        <v>970</v>
      </c>
      <c r="D19" s="8" t="s">
        <v>971</v>
      </c>
      <c r="E19" s="7" t="s">
        <v>953</v>
      </c>
      <c r="F19" s="8" t="s">
        <v>954</v>
      </c>
      <c r="G19" s="7" t="s">
        <v>420</v>
      </c>
      <c r="H19" s="8" t="s">
        <v>961</v>
      </c>
      <c r="I19" s="8" t="s">
        <v>972</v>
      </c>
      <c r="J19" s="8" t="s">
        <v>973</v>
      </c>
      <c r="K19" s="7" t="s">
        <v>974</v>
      </c>
    </row>
    <row r="20" customFormat="false" ht="48" hidden="false" customHeight="true" outlineLevel="0" collapsed="false">
      <c r="A20" s="5" t="s">
        <v>803</v>
      </c>
      <c r="B20" s="5" t="n">
        <v>5</v>
      </c>
      <c r="C20" s="5" t="s">
        <v>975</v>
      </c>
      <c r="D20" s="6" t="s">
        <v>976</v>
      </c>
      <c r="E20" s="5" t="s">
        <v>953</v>
      </c>
      <c r="F20" s="6" t="s">
        <v>954</v>
      </c>
      <c r="G20" s="5" t="s">
        <v>420</v>
      </c>
      <c r="H20" s="6" t="s">
        <v>961</v>
      </c>
      <c r="I20" s="6" t="s">
        <v>977</v>
      </c>
      <c r="J20" s="6" t="s">
        <v>978</v>
      </c>
      <c r="K20" s="5" t="s">
        <v>979</v>
      </c>
    </row>
    <row r="21" customFormat="false" ht="48" hidden="false" customHeight="true" outlineLevel="0" collapsed="false">
      <c r="A21" s="7" t="s">
        <v>803</v>
      </c>
      <c r="B21" s="7" t="n">
        <v>6</v>
      </c>
      <c r="C21" s="7" t="s">
        <v>980</v>
      </c>
      <c r="D21" s="8" t="s">
        <v>981</v>
      </c>
      <c r="E21" s="7" t="s">
        <v>953</v>
      </c>
      <c r="F21" s="8" t="s">
        <v>954</v>
      </c>
      <c r="G21" s="7" t="s">
        <v>420</v>
      </c>
      <c r="H21" s="8" t="s">
        <v>961</v>
      </c>
      <c r="I21" s="8" t="s">
        <v>982</v>
      </c>
      <c r="J21" s="8" t="s">
        <v>983</v>
      </c>
      <c r="K21" s="7" t="s">
        <v>984</v>
      </c>
    </row>
    <row r="22" customFormat="false" ht="48" hidden="false" customHeight="true" outlineLevel="0" collapsed="false">
      <c r="A22" s="5" t="s">
        <v>803</v>
      </c>
      <c r="B22" s="5" t="n">
        <v>7</v>
      </c>
      <c r="C22" s="5" t="s">
        <v>985</v>
      </c>
      <c r="D22" s="6" t="s">
        <v>986</v>
      </c>
      <c r="E22" s="5" t="s">
        <v>987</v>
      </c>
      <c r="F22" s="6" t="s">
        <v>988</v>
      </c>
      <c r="G22" s="5" t="s">
        <v>420</v>
      </c>
      <c r="H22" s="6" t="s">
        <v>989</v>
      </c>
      <c r="I22" s="6" t="s">
        <v>990</v>
      </c>
      <c r="J22" s="6" t="s">
        <v>991</v>
      </c>
      <c r="K22" s="5" t="s">
        <v>992</v>
      </c>
    </row>
    <row r="23" customFormat="false" ht="48" hidden="false" customHeight="true" outlineLevel="0" collapsed="false">
      <c r="A23" s="7" t="s">
        <v>808</v>
      </c>
      <c r="B23" s="7" t="n">
        <v>1</v>
      </c>
      <c r="C23" s="7" t="s">
        <v>993</v>
      </c>
      <c r="D23" s="8" t="s">
        <v>994</v>
      </c>
      <c r="E23" s="7" t="s">
        <v>877</v>
      </c>
      <c r="F23" s="8" t="s">
        <v>995</v>
      </c>
      <c r="G23" s="7" t="s">
        <v>420</v>
      </c>
      <c r="H23" s="8" t="s">
        <v>996</v>
      </c>
      <c r="I23" s="8" t="s">
        <v>997</v>
      </c>
      <c r="J23" s="8" t="s">
        <v>998</v>
      </c>
      <c r="K23" s="7" t="s">
        <v>999</v>
      </c>
    </row>
    <row r="24" customFormat="false" ht="48" hidden="false" customHeight="true" outlineLevel="0" collapsed="false">
      <c r="A24" s="5" t="s">
        <v>808</v>
      </c>
      <c r="B24" s="5" t="n">
        <v>2</v>
      </c>
      <c r="C24" s="5" t="s">
        <v>1000</v>
      </c>
      <c r="D24" s="6" t="s">
        <v>1001</v>
      </c>
      <c r="E24" s="5" t="s">
        <v>1002</v>
      </c>
      <c r="F24" s="6" t="s">
        <v>1003</v>
      </c>
      <c r="G24" s="5" t="s">
        <v>420</v>
      </c>
      <c r="H24" s="6" t="s">
        <v>1004</v>
      </c>
      <c r="I24" s="6" t="s">
        <v>1005</v>
      </c>
      <c r="J24" s="6" t="s">
        <v>1006</v>
      </c>
      <c r="K24" s="5" t="s">
        <v>1007</v>
      </c>
    </row>
    <row r="25" customFormat="false" ht="48" hidden="false" customHeight="true" outlineLevel="0" collapsed="false">
      <c r="A25" s="7" t="s">
        <v>808</v>
      </c>
      <c r="B25" s="7" t="n">
        <v>3</v>
      </c>
      <c r="C25" s="7" t="s">
        <v>1008</v>
      </c>
      <c r="D25" s="8" t="s">
        <v>1009</v>
      </c>
      <c r="E25" s="7" t="s">
        <v>901</v>
      </c>
      <c r="F25" s="8" t="s">
        <v>1010</v>
      </c>
      <c r="G25" s="7" t="s">
        <v>422</v>
      </c>
      <c r="H25" s="8" t="s">
        <v>1011</v>
      </c>
      <c r="I25" s="8" t="s">
        <v>1012</v>
      </c>
      <c r="J25" s="8" t="s">
        <v>1013</v>
      </c>
      <c r="K25" s="7" t="s">
        <v>1014</v>
      </c>
    </row>
    <row r="26" customFormat="false" ht="48" hidden="false" customHeight="true" outlineLevel="0" collapsed="false">
      <c r="A26" s="5" t="s">
        <v>808</v>
      </c>
      <c r="B26" s="5" t="n">
        <v>4</v>
      </c>
      <c r="C26" s="5" t="s">
        <v>1015</v>
      </c>
      <c r="D26" s="6" t="s">
        <v>1016</v>
      </c>
      <c r="E26" s="5" t="s">
        <v>901</v>
      </c>
      <c r="F26" s="6" t="s">
        <v>1017</v>
      </c>
      <c r="G26" s="5" t="s">
        <v>420</v>
      </c>
      <c r="H26" s="6" t="s">
        <v>1018</v>
      </c>
      <c r="I26" s="6" t="s">
        <v>1019</v>
      </c>
      <c r="J26" s="6"/>
      <c r="K26" s="5" t="s">
        <v>1020</v>
      </c>
    </row>
    <row r="27" customFormat="false" ht="48" hidden="false" customHeight="true" outlineLevel="0" collapsed="false">
      <c r="A27" s="7" t="s">
        <v>808</v>
      </c>
      <c r="B27" s="7" t="n">
        <v>5</v>
      </c>
      <c r="C27" s="7" t="s">
        <v>1021</v>
      </c>
      <c r="D27" s="8" t="s">
        <v>1022</v>
      </c>
      <c r="E27" s="7" t="s">
        <v>901</v>
      </c>
      <c r="F27" s="8" t="s">
        <v>1023</v>
      </c>
      <c r="G27" s="7" t="s">
        <v>420</v>
      </c>
      <c r="H27" s="8" t="s">
        <v>1024</v>
      </c>
      <c r="I27" s="8" t="s">
        <v>1025</v>
      </c>
      <c r="J27" s="8" t="s">
        <v>1026</v>
      </c>
      <c r="K27" s="7" t="s">
        <v>1027</v>
      </c>
    </row>
    <row r="28" customFormat="false" ht="48" hidden="false" customHeight="true" outlineLevel="0" collapsed="false">
      <c r="A28" s="5" t="s">
        <v>808</v>
      </c>
      <c r="B28" s="5" t="n">
        <v>6</v>
      </c>
      <c r="C28" s="5" t="s">
        <v>1028</v>
      </c>
      <c r="D28" s="6" t="s">
        <v>1029</v>
      </c>
      <c r="E28" s="5" t="s">
        <v>901</v>
      </c>
      <c r="F28" s="6" t="s">
        <v>1030</v>
      </c>
      <c r="G28" s="5" t="s">
        <v>420</v>
      </c>
      <c r="H28" s="6" t="s">
        <v>1031</v>
      </c>
      <c r="I28" s="6" t="s">
        <v>1032</v>
      </c>
      <c r="J28" s="6"/>
      <c r="K28" s="5" t="s">
        <v>1033</v>
      </c>
    </row>
    <row r="29" customFormat="false" ht="48" hidden="false" customHeight="true" outlineLevel="0" collapsed="false">
      <c r="A29" s="7" t="s">
        <v>808</v>
      </c>
      <c r="B29" s="7" t="n">
        <v>7</v>
      </c>
      <c r="C29" s="7" t="s">
        <v>1034</v>
      </c>
      <c r="D29" s="8" t="s">
        <v>1035</v>
      </c>
      <c r="E29" s="7" t="s">
        <v>877</v>
      </c>
      <c r="F29" s="8" t="s">
        <v>1036</v>
      </c>
      <c r="G29" s="7" t="s">
        <v>420</v>
      </c>
      <c r="H29" s="8" t="s">
        <v>1037</v>
      </c>
      <c r="I29" s="8"/>
      <c r="J29" s="8"/>
      <c r="K29" s="7" t="s">
        <v>1038</v>
      </c>
    </row>
    <row r="30" customFormat="false" ht="48" hidden="false" customHeight="true" outlineLevel="0" collapsed="false">
      <c r="A30" s="5" t="s">
        <v>808</v>
      </c>
      <c r="B30" s="5" t="n">
        <v>8</v>
      </c>
      <c r="C30" s="5" t="s">
        <v>1039</v>
      </c>
      <c r="D30" s="6" t="s">
        <v>1040</v>
      </c>
      <c r="E30" s="5" t="s">
        <v>901</v>
      </c>
      <c r="F30" s="6" t="s">
        <v>1041</v>
      </c>
      <c r="G30" s="5" t="s">
        <v>420</v>
      </c>
      <c r="H30" s="6" t="s">
        <v>1042</v>
      </c>
      <c r="I30" s="6" t="s">
        <v>1043</v>
      </c>
      <c r="J30" s="6"/>
      <c r="K30" s="5" t="s">
        <v>1044</v>
      </c>
    </row>
    <row r="31" customFormat="false" ht="48" hidden="false" customHeight="true" outlineLevel="0" collapsed="false">
      <c r="A31" s="7" t="s">
        <v>808</v>
      </c>
      <c r="B31" s="7" t="n">
        <v>9</v>
      </c>
      <c r="C31" s="7" t="s">
        <v>1045</v>
      </c>
      <c r="D31" s="8" t="s">
        <v>1046</v>
      </c>
      <c r="E31" s="7" t="s">
        <v>901</v>
      </c>
      <c r="F31" s="8" t="s">
        <v>1047</v>
      </c>
      <c r="G31" s="7" t="s">
        <v>420</v>
      </c>
      <c r="H31" s="8" t="s">
        <v>1048</v>
      </c>
      <c r="I31" s="8" t="s">
        <v>1049</v>
      </c>
      <c r="J31" s="8" t="s">
        <v>1050</v>
      </c>
      <c r="K31" s="7" t="s">
        <v>1051</v>
      </c>
    </row>
    <row r="32" customFormat="false" ht="48" hidden="false" customHeight="true" outlineLevel="0" collapsed="false">
      <c r="A32" s="5" t="s">
        <v>808</v>
      </c>
      <c r="B32" s="5" t="n">
        <v>10</v>
      </c>
      <c r="C32" s="5" t="s">
        <v>1052</v>
      </c>
      <c r="D32" s="6" t="s">
        <v>1053</v>
      </c>
      <c r="E32" s="5" t="s">
        <v>1054</v>
      </c>
      <c r="F32" s="6" t="s">
        <v>1055</v>
      </c>
      <c r="G32" s="5" t="s">
        <v>420</v>
      </c>
      <c r="H32" s="6" t="s">
        <v>1056</v>
      </c>
      <c r="I32" s="6" t="s">
        <v>1057</v>
      </c>
      <c r="J32" s="6" t="s">
        <v>1058</v>
      </c>
      <c r="K32" s="5" t="s">
        <v>1059</v>
      </c>
    </row>
    <row r="33" customFormat="false" ht="48" hidden="false" customHeight="true" outlineLevel="0" collapsed="false">
      <c r="A33" s="7" t="s">
        <v>808</v>
      </c>
      <c r="B33" s="7" t="n">
        <v>11</v>
      </c>
      <c r="C33" s="7" t="s">
        <v>1060</v>
      </c>
      <c r="D33" s="8" t="s">
        <v>1061</v>
      </c>
      <c r="E33" s="7" t="s">
        <v>901</v>
      </c>
      <c r="F33" s="8" t="s">
        <v>1062</v>
      </c>
      <c r="G33" s="7" t="s">
        <v>420</v>
      </c>
      <c r="H33" s="8" t="s">
        <v>1018</v>
      </c>
      <c r="I33" s="8" t="s">
        <v>1063</v>
      </c>
      <c r="J33" s="8" t="s">
        <v>1064</v>
      </c>
      <c r="K33" s="7" t="s">
        <v>1065</v>
      </c>
    </row>
    <row r="34" customFormat="false" ht="48" hidden="false" customHeight="true" outlineLevel="0" collapsed="false">
      <c r="A34" s="5" t="s">
        <v>808</v>
      </c>
      <c r="B34" s="5" t="n">
        <v>12</v>
      </c>
      <c r="C34" s="5" t="s">
        <v>1066</v>
      </c>
      <c r="D34" s="6" t="s">
        <v>1067</v>
      </c>
      <c r="E34" s="5" t="s">
        <v>877</v>
      </c>
      <c r="F34" s="6" t="s">
        <v>916</v>
      </c>
      <c r="G34" s="5" t="s">
        <v>422</v>
      </c>
      <c r="H34" s="6" t="s">
        <v>1068</v>
      </c>
      <c r="I34" s="6"/>
      <c r="J34" s="6" t="s">
        <v>1069</v>
      </c>
      <c r="K34" s="5" t="s">
        <v>1070</v>
      </c>
    </row>
    <row r="35" customFormat="false" ht="48" hidden="false" customHeight="true" outlineLevel="0" collapsed="false">
      <c r="A35" s="7" t="s">
        <v>808</v>
      </c>
      <c r="B35" s="7" t="n">
        <v>13</v>
      </c>
      <c r="C35" s="7" t="s">
        <v>1071</v>
      </c>
      <c r="D35" s="8" t="s">
        <v>1072</v>
      </c>
      <c r="E35" s="7" t="s">
        <v>901</v>
      </c>
      <c r="F35" s="8" t="s">
        <v>1073</v>
      </c>
      <c r="G35" s="7" t="s">
        <v>420</v>
      </c>
      <c r="H35" s="8" t="s">
        <v>1018</v>
      </c>
      <c r="I35" s="8" t="s">
        <v>1074</v>
      </c>
      <c r="J35" s="8"/>
      <c r="K35" s="7" t="s">
        <v>1075</v>
      </c>
    </row>
    <row r="36" customFormat="false" ht="48" hidden="false" customHeight="true" outlineLevel="0" collapsed="false">
      <c r="A36" s="5" t="s">
        <v>808</v>
      </c>
      <c r="B36" s="5" t="n">
        <v>14</v>
      </c>
      <c r="C36" s="5" t="s">
        <v>1076</v>
      </c>
      <c r="D36" s="6" t="s">
        <v>1077</v>
      </c>
      <c r="E36" s="5" t="s">
        <v>1078</v>
      </c>
      <c r="F36" s="6" t="s">
        <v>1079</v>
      </c>
      <c r="G36" s="5" t="s">
        <v>420</v>
      </c>
      <c r="H36" s="6" t="s">
        <v>1080</v>
      </c>
      <c r="I36" s="6" t="s">
        <v>1081</v>
      </c>
      <c r="J36" s="6" t="s">
        <v>1082</v>
      </c>
      <c r="K36" s="5" t="s">
        <v>1083</v>
      </c>
    </row>
    <row r="37" customFormat="false" ht="48" hidden="false" customHeight="true" outlineLevel="0" collapsed="false">
      <c r="A37" s="7" t="s">
        <v>808</v>
      </c>
      <c r="B37" s="7" t="n">
        <v>15</v>
      </c>
      <c r="C37" s="7" t="s">
        <v>1084</v>
      </c>
      <c r="D37" s="8" t="s">
        <v>1085</v>
      </c>
      <c r="E37" s="7" t="s">
        <v>1086</v>
      </c>
      <c r="F37" s="8" t="s">
        <v>1087</v>
      </c>
      <c r="G37" s="7" t="s">
        <v>422</v>
      </c>
      <c r="H37" s="8" t="s">
        <v>1088</v>
      </c>
      <c r="I37" s="8" t="s">
        <v>1089</v>
      </c>
      <c r="J37" s="8" t="s">
        <v>1090</v>
      </c>
      <c r="K37" s="7" t="s">
        <v>1091</v>
      </c>
    </row>
    <row r="38" customFormat="false" ht="48" hidden="false" customHeight="true" outlineLevel="0" collapsed="false">
      <c r="A38" s="5" t="s">
        <v>808</v>
      </c>
      <c r="B38" s="5" t="n">
        <v>16</v>
      </c>
      <c r="C38" s="5" t="s">
        <v>1092</v>
      </c>
      <c r="D38" s="6" t="s">
        <v>1093</v>
      </c>
      <c r="E38" s="5" t="s">
        <v>1094</v>
      </c>
      <c r="F38" s="6" t="s">
        <v>1095</v>
      </c>
      <c r="G38" s="5" t="s">
        <v>420</v>
      </c>
      <c r="H38" s="6" t="s">
        <v>1096</v>
      </c>
      <c r="I38" s="6" t="s">
        <v>1097</v>
      </c>
      <c r="J38" s="6" t="s">
        <v>1098</v>
      </c>
      <c r="K38" s="5" t="s">
        <v>1099</v>
      </c>
    </row>
    <row r="39" customFormat="false" ht="48" hidden="false" customHeight="true" outlineLevel="0" collapsed="false">
      <c r="A39" s="7" t="s">
        <v>812</v>
      </c>
      <c r="B39" s="7" t="n">
        <v>1</v>
      </c>
      <c r="C39" s="7" t="s">
        <v>1100</v>
      </c>
      <c r="D39" s="8" t="s">
        <v>1101</v>
      </c>
      <c r="E39" s="7" t="s">
        <v>901</v>
      </c>
      <c r="F39" s="8" t="s">
        <v>1102</v>
      </c>
      <c r="G39" s="7" t="s">
        <v>420</v>
      </c>
      <c r="H39" s="8" t="s">
        <v>1018</v>
      </c>
      <c r="I39" s="8" t="s">
        <v>1103</v>
      </c>
      <c r="J39" s="8" t="s">
        <v>1104</v>
      </c>
      <c r="K39" s="7" t="s">
        <v>1105</v>
      </c>
    </row>
    <row r="40" customFormat="false" ht="48" hidden="false" customHeight="true" outlineLevel="0" collapsed="false">
      <c r="A40" s="5" t="s">
        <v>812</v>
      </c>
      <c r="B40" s="5" t="n">
        <v>2</v>
      </c>
      <c r="C40" s="5" t="s">
        <v>1106</v>
      </c>
      <c r="D40" s="6" t="s">
        <v>1107</v>
      </c>
      <c r="E40" s="5" t="s">
        <v>901</v>
      </c>
      <c r="F40" s="6" t="s">
        <v>1108</v>
      </c>
      <c r="G40" s="5" t="s">
        <v>420</v>
      </c>
      <c r="H40" s="6" t="s">
        <v>1109</v>
      </c>
      <c r="I40" s="6" t="s">
        <v>1110</v>
      </c>
      <c r="J40" s="6" t="s">
        <v>1111</v>
      </c>
      <c r="K40" s="5" t="s">
        <v>1112</v>
      </c>
    </row>
    <row r="41" customFormat="false" ht="48" hidden="false" customHeight="true" outlineLevel="0" collapsed="false">
      <c r="A41" s="7" t="s">
        <v>812</v>
      </c>
      <c r="B41" s="7" t="n">
        <v>3</v>
      </c>
      <c r="C41" s="7" t="s">
        <v>1113</v>
      </c>
      <c r="D41" s="8" t="s">
        <v>1114</v>
      </c>
      <c r="E41" s="7" t="s">
        <v>1115</v>
      </c>
      <c r="F41" s="8" t="s">
        <v>1116</v>
      </c>
      <c r="G41" s="7" t="s">
        <v>422</v>
      </c>
      <c r="H41" s="8" t="s">
        <v>1117</v>
      </c>
      <c r="I41" s="8" t="s">
        <v>1118</v>
      </c>
      <c r="J41" s="8" t="s">
        <v>1119</v>
      </c>
      <c r="K41" s="7" t="s">
        <v>1120</v>
      </c>
    </row>
    <row r="42" customFormat="false" ht="48" hidden="false" customHeight="true" outlineLevel="0" collapsed="false">
      <c r="A42" s="5" t="s">
        <v>812</v>
      </c>
      <c r="B42" s="5" t="n">
        <v>4</v>
      </c>
      <c r="C42" s="5" t="s">
        <v>1121</v>
      </c>
      <c r="D42" s="6" t="s">
        <v>1122</v>
      </c>
      <c r="E42" s="5" t="s">
        <v>1123</v>
      </c>
      <c r="F42" s="6" t="s">
        <v>1124</v>
      </c>
      <c r="G42" s="5" t="s">
        <v>420</v>
      </c>
      <c r="H42" s="6" t="s">
        <v>1125</v>
      </c>
      <c r="I42" s="6" t="s">
        <v>1126</v>
      </c>
      <c r="J42" s="6" t="s">
        <v>1127</v>
      </c>
      <c r="K42" s="5" t="s">
        <v>1128</v>
      </c>
    </row>
    <row r="43" customFormat="false" ht="48" hidden="false" customHeight="true" outlineLevel="0" collapsed="false">
      <c r="A43" s="7" t="s">
        <v>812</v>
      </c>
      <c r="B43" s="7" t="n">
        <v>5</v>
      </c>
      <c r="C43" s="7" t="s">
        <v>1129</v>
      </c>
      <c r="D43" s="8" t="s">
        <v>1130</v>
      </c>
      <c r="E43" s="7" t="s">
        <v>1131</v>
      </c>
      <c r="F43" s="8" t="s">
        <v>1132</v>
      </c>
      <c r="G43" s="7" t="s">
        <v>420</v>
      </c>
      <c r="H43" s="8" t="s">
        <v>1133</v>
      </c>
      <c r="I43" s="8" t="s">
        <v>1134</v>
      </c>
      <c r="J43" s="8" t="s">
        <v>1135</v>
      </c>
      <c r="K43" s="7" t="s">
        <v>1136</v>
      </c>
    </row>
    <row r="44" customFormat="false" ht="48" hidden="false" customHeight="true" outlineLevel="0" collapsed="false">
      <c r="A44" s="5" t="s">
        <v>812</v>
      </c>
      <c r="B44" s="5" t="n">
        <v>6</v>
      </c>
      <c r="C44" s="5" t="s">
        <v>1137</v>
      </c>
      <c r="D44" s="6" t="s">
        <v>1138</v>
      </c>
      <c r="E44" s="5" t="s">
        <v>901</v>
      </c>
      <c r="F44" s="6" t="s">
        <v>1139</v>
      </c>
      <c r="G44" s="5" t="s">
        <v>420</v>
      </c>
      <c r="H44" s="6" t="s">
        <v>1018</v>
      </c>
      <c r="I44" s="6" t="s">
        <v>1140</v>
      </c>
      <c r="J44" s="6"/>
      <c r="K44" s="5" t="s">
        <v>1141</v>
      </c>
    </row>
    <row r="45" customFormat="false" ht="48" hidden="false" customHeight="true" outlineLevel="0" collapsed="false">
      <c r="A45" s="7" t="s">
        <v>812</v>
      </c>
      <c r="B45" s="7" t="n">
        <v>7</v>
      </c>
      <c r="C45" s="7" t="s">
        <v>1142</v>
      </c>
      <c r="D45" s="8" t="s">
        <v>1143</v>
      </c>
      <c r="E45" s="7" t="s">
        <v>1115</v>
      </c>
      <c r="F45" s="8" t="s">
        <v>1144</v>
      </c>
      <c r="G45" s="7" t="s">
        <v>422</v>
      </c>
      <c r="H45" s="8" t="s">
        <v>1145</v>
      </c>
      <c r="I45" s="8" t="s">
        <v>1146</v>
      </c>
      <c r="J45" s="8" t="s">
        <v>1147</v>
      </c>
      <c r="K45" s="7" t="s">
        <v>1148</v>
      </c>
    </row>
    <row r="46" customFormat="false" ht="48" hidden="false" customHeight="true" outlineLevel="0" collapsed="false">
      <c r="A46" s="5" t="s">
        <v>812</v>
      </c>
      <c r="B46" s="5" t="n">
        <v>8</v>
      </c>
      <c r="C46" s="5" t="s">
        <v>1149</v>
      </c>
      <c r="D46" s="6" t="s">
        <v>1150</v>
      </c>
      <c r="E46" s="5" t="s">
        <v>901</v>
      </c>
      <c r="F46" s="6" t="s">
        <v>1151</v>
      </c>
      <c r="G46" s="5" t="s">
        <v>420</v>
      </c>
      <c r="H46" s="6" t="s">
        <v>1152</v>
      </c>
      <c r="I46" s="6" t="s">
        <v>1153</v>
      </c>
      <c r="J46" s="6" t="s">
        <v>1154</v>
      </c>
      <c r="K46" s="5" t="s">
        <v>1155</v>
      </c>
    </row>
    <row r="47" customFormat="false" ht="48" hidden="false" customHeight="true" outlineLevel="0" collapsed="false">
      <c r="A47" s="7" t="s">
        <v>816</v>
      </c>
      <c r="B47" s="7" t="n">
        <v>1</v>
      </c>
      <c r="C47" s="7" t="s">
        <v>1156</v>
      </c>
      <c r="D47" s="8" t="s">
        <v>1157</v>
      </c>
      <c r="E47" s="7" t="s">
        <v>1158</v>
      </c>
      <c r="F47" s="8" t="s">
        <v>1159</v>
      </c>
      <c r="G47" s="7" t="s">
        <v>422</v>
      </c>
      <c r="H47" s="8" t="s">
        <v>1160</v>
      </c>
      <c r="I47" s="8" t="s">
        <v>1161</v>
      </c>
      <c r="J47" s="8" t="s">
        <v>1162</v>
      </c>
      <c r="K47" s="7" t="s">
        <v>1163</v>
      </c>
    </row>
    <row r="48" customFormat="false" ht="48" hidden="false" customHeight="true" outlineLevel="0" collapsed="false">
      <c r="A48" s="5" t="s">
        <v>816</v>
      </c>
      <c r="B48" s="5" t="n">
        <v>2</v>
      </c>
      <c r="C48" s="5" t="s">
        <v>1164</v>
      </c>
      <c r="D48" s="6" t="s">
        <v>1165</v>
      </c>
      <c r="E48" s="5" t="s">
        <v>1158</v>
      </c>
      <c r="F48" s="6" t="s">
        <v>1159</v>
      </c>
      <c r="G48" s="5" t="s">
        <v>422</v>
      </c>
      <c r="H48" s="6" t="s">
        <v>1166</v>
      </c>
      <c r="I48" s="6" t="s">
        <v>1167</v>
      </c>
      <c r="J48" s="6"/>
      <c r="K48" s="5" t="s">
        <v>1168</v>
      </c>
    </row>
    <row r="49" customFormat="false" ht="48" hidden="false" customHeight="true" outlineLevel="0" collapsed="false">
      <c r="A49" s="7" t="s">
        <v>816</v>
      </c>
      <c r="B49" s="7" t="n">
        <v>3</v>
      </c>
      <c r="C49" s="7" t="s">
        <v>1169</v>
      </c>
      <c r="D49" s="8" t="s">
        <v>1170</v>
      </c>
      <c r="E49" s="7" t="s">
        <v>1171</v>
      </c>
      <c r="F49" s="8" t="s">
        <v>1172</v>
      </c>
      <c r="G49" s="7" t="s">
        <v>420</v>
      </c>
      <c r="H49" s="8" t="s">
        <v>1173</v>
      </c>
      <c r="I49" s="8" t="s">
        <v>1174</v>
      </c>
      <c r="J49" s="8" t="s">
        <v>1175</v>
      </c>
      <c r="K49" s="7" t="s">
        <v>819</v>
      </c>
    </row>
    <row r="50" customFormat="false" ht="48" hidden="false" customHeight="true" outlineLevel="0" collapsed="false">
      <c r="A50" s="5" t="s">
        <v>816</v>
      </c>
      <c r="B50" s="5" t="n">
        <v>4</v>
      </c>
      <c r="C50" s="5" t="s">
        <v>1176</v>
      </c>
      <c r="D50" s="6" t="s">
        <v>1177</v>
      </c>
      <c r="E50" s="5" t="s">
        <v>877</v>
      </c>
      <c r="F50" s="6" t="s">
        <v>1178</v>
      </c>
      <c r="G50" s="5" t="s">
        <v>420</v>
      </c>
      <c r="H50" s="6" t="s">
        <v>1179</v>
      </c>
      <c r="I50" s="6"/>
      <c r="J50" s="6" t="s">
        <v>1180</v>
      </c>
      <c r="K50" s="5" t="s">
        <v>1181</v>
      </c>
    </row>
    <row r="51" customFormat="false" ht="48" hidden="false" customHeight="true" outlineLevel="0" collapsed="false">
      <c r="A51" s="7" t="s">
        <v>816</v>
      </c>
      <c r="B51" s="7" t="n">
        <v>5</v>
      </c>
      <c r="C51" s="7" t="s">
        <v>1182</v>
      </c>
      <c r="D51" s="8" t="s">
        <v>1183</v>
      </c>
      <c r="E51" s="7" t="s">
        <v>901</v>
      </c>
      <c r="F51" s="8" t="s">
        <v>1184</v>
      </c>
      <c r="G51" s="7" t="s">
        <v>420</v>
      </c>
      <c r="H51" s="8" t="s">
        <v>1179</v>
      </c>
      <c r="I51" s="8" t="s">
        <v>1185</v>
      </c>
      <c r="J51" s="8" t="s">
        <v>1186</v>
      </c>
      <c r="K51" s="7" t="s">
        <v>1187</v>
      </c>
    </row>
    <row r="52" customFormat="false" ht="48" hidden="false" customHeight="true" outlineLevel="0" collapsed="false">
      <c r="A52" s="5" t="s">
        <v>816</v>
      </c>
      <c r="B52" s="5" t="n">
        <v>6</v>
      </c>
      <c r="C52" s="5" t="s">
        <v>1188</v>
      </c>
      <c r="D52" s="6" t="s">
        <v>1189</v>
      </c>
      <c r="E52" s="5" t="s">
        <v>1190</v>
      </c>
      <c r="F52" s="6" t="s">
        <v>1191</v>
      </c>
      <c r="G52" s="5" t="s">
        <v>420</v>
      </c>
      <c r="H52" s="6" t="s">
        <v>1192</v>
      </c>
      <c r="I52" s="6" t="s">
        <v>1193</v>
      </c>
      <c r="J52" s="6"/>
      <c r="K52" s="5" t="s">
        <v>1194</v>
      </c>
    </row>
    <row r="53" customFormat="false" ht="48" hidden="false" customHeight="true" outlineLevel="0" collapsed="false">
      <c r="A53" s="7" t="s">
        <v>816</v>
      </c>
      <c r="B53" s="7" t="n">
        <v>7</v>
      </c>
      <c r="C53" s="7" t="s">
        <v>1195</v>
      </c>
      <c r="D53" s="8" t="s">
        <v>1196</v>
      </c>
      <c r="E53" s="7" t="s">
        <v>901</v>
      </c>
      <c r="F53" s="8" t="s">
        <v>1197</v>
      </c>
      <c r="G53" s="7" t="s">
        <v>420</v>
      </c>
      <c r="H53" s="8" t="s">
        <v>1198</v>
      </c>
      <c r="I53" s="8" t="s">
        <v>1199</v>
      </c>
      <c r="J53" s="8" t="s">
        <v>1200</v>
      </c>
      <c r="K53" s="7" t="s">
        <v>1201</v>
      </c>
    </row>
    <row r="54" customFormat="false" ht="48" hidden="false" customHeight="true" outlineLevel="0" collapsed="false">
      <c r="A54" s="5" t="s">
        <v>816</v>
      </c>
      <c r="B54" s="5" t="n">
        <v>8</v>
      </c>
      <c r="C54" s="5" t="s">
        <v>1202</v>
      </c>
      <c r="D54" s="6" t="s">
        <v>1203</v>
      </c>
      <c r="E54" s="5" t="s">
        <v>1054</v>
      </c>
      <c r="F54" s="6" t="s">
        <v>1204</v>
      </c>
      <c r="G54" s="5" t="s">
        <v>422</v>
      </c>
      <c r="H54" s="6" t="s">
        <v>1205</v>
      </c>
      <c r="I54" s="6" t="s">
        <v>1206</v>
      </c>
      <c r="J54" s="6" t="s">
        <v>1207</v>
      </c>
      <c r="K54" s="5" t="s">
        <v>1208</v>
      </c>
    </row>
    <row r="55" customFormat="false" ht="48" hidden="false" customHeight="true" outlineLevel="0" collapsed="false">
      <c r="A55" s="7" t="s">
        <v>816</v>
      </c>
      <c r="B55" s="7" t="n">
        <v>9</v>
      </c>
      <c r="C55" s="7" t="s">
        <v>1209</v>
      </c>
      <c r="D55" s="8" t="s">
        <v>1210</v>
      </c>
      <c r="E55" s="7" t="s">
        <v>901</v>
      </c>
      <c r="F55" s="8" t="s">
        <v>1211</v>
      </c>
      <c r="G55" s="7" t="s">
        <v>422</v>
      </c>
      <c r="H55" s="8" t="s">
        <v>1212</v>
      </c>
      <c r="I55" s="8" t="s">
        <v>1213</v>
      </c>
      <c r="J55" s="8" t="s">
        <v>1214</v>
      </c>
      <c r="K55" s="7" t="s">
        <v>1215</v>
      </c>
    </row>
    <row r="56" customFormat="false" ht="48" hidden="false" customHeight="true" outlineLevel="0" collapsed="false">
      <c r="A56" s="5" t="s">
        <v>820</v>
      </c>
      <c r="B56" s="5" t="n">
        <v>1</v>
      </c>
      <c r="C56" s="5" t="s">
        <v>1216</v>
      </c>
      <c r="D56" s="6" t="s">
        <v>1217</v>
      </c>
      <c r="E56" s="5" t="s">
        <v>901</v>
      </c>
      <c r="F56" s="6" t="s">
        <v>1218</v>
      </c>
      <c r="G56" s="5" t="s">
        <v>420</v>
      </c>
      <c r="H56" s="6" t="s">
        <v>1018</v>
      </c>
      <c r="I56" s="6" t="s">
        <v>1219</v>
      </c>
      <c r="J56" s="6" t="s">
        <v>1220</v>
      </c>
      <c r="K56" s="5" t="s">
        <v>1221</v>
      </c>
    </row>
    <row r="57" customFormat="false" ht="48" hidden="false" customHeight="true" outlineLevel="0" collapsed="false">
      <c r="A57" s="7" t="s">
        <v>820</v>
      </c>
      <c r="B57" s="7" t="n">
        <v>2</v>
      </c>
      <c r="C57" s="7" t="s">
        <v>1222</v>
      </c>
      <c r="D57" s="8" t="s">
        <v>1223</v>
      </c>
      <c r="E57" s="7" t="s">
        <v>1115</v>
      </c>
      <c r="F57" s="8" t="s">
        <v>1224</v>
      </c>
      <c r="G57" s="7" t="s">
        <v>420</v>
      </c>
      <c r="H57" s="8" t="s">
        <v>1225</v>
      </c>
      <c r="I57" s="8" t="s">
        <v>1226</v>
      </c>
      <c r="J57" s="8"/>
      <c r="K57" s="7" t="s">
        <v>1227</v>
      </c>
    </row>
    <row r="58" customFormat="false" ht="48" hidden="false" customHeight="true" outlineLevel="0" collapsed="false">
      <c r="A58" s="5" t="s">
        <v>820</v>
      </c>
      <c r="B58" s="5" t="n">
        <v>3</v>
      </c>
      <c r="C58" s="5" t="s">
        <v>1228</v>
      </c>
      <c r="D58" s="6" t="s">
        <v>1229</v>
      </c>
      <c r="E58" s="5" t="s">
        <v>1230</v>
      </c>
      <c r="F58" s="6" t="s">
        <v>1231</v>
      </c>
      <c r="G58" s="5" t="s">
        <v>420</v>
      </c>
      <c r="H58" s="6" t="s">
        <v>1232</v>
      </c>
      <c r="I58" s="6" t="s">
        <v>1233</v>
      </c>
      <c r="J58" s="6" t="s">
        <v>1234</v>
      </c>
      <c r="K58" s="5" t="s">
        <v>1235</v>
      </c>
    </row>
    <row r="59" customFormat="false" ht="48" hidden="false" customHeight="true" outlineLevel="0" collapsed="false">
      <c r="A59" s="7" t="s">
        <v>820</v>
      </c>
      <c r="B59" s="7" t="n">
        <v>4</v>
      </c>
      <c r="C59" s="7" t="s">
        <v>1236</v>
      </c>
      <c r="D59" s="8" t="s">
        <v>1237</v>
      </c>
      <c r="E59" s="7" t="s">
        <v>901</v>
      </c>
      <c r="F59" s="8" t="s">
        <v>1238</v>
      </c>
      <c r="G59" s="7" t="s">
        <v>420</v>
      </c>
      <c r="H59" s="8" t="s">
        <v>1018</v>
      </c>
      <c r="I59" s="8" t="s">
        <v>1239</v>
      </c>
      <c r="J59" s="8"/>
      <c r="K59" s="7" t="s">
        <v>1240</v>
      </c>
    </row>
    <row r="60" customFormat="false" ht="48" hidden="false" customHeight="true" outlineLevel="0" collapsed="false">
      <c r="A60" s="5" t="s">
        <v>820</v>
      </c>
      <c r="B60" s="5" t="n">
        <v>5</v>
      </c>
      <c r="C60" s="5" t="s">
        <v>1241</v>
      </c>
      <c r="D60" s="6" t="s">
        <v>1242</v>
      </c>
      <c r="E60" s="5" t="s">
        <v>901</v>
      </c>
      <c r="F60" s="6" t="s">
        <v>1243</v>
      </c>
      <c r="G60" s="5" t="s">
        <v>420</v>
      </c>
      <c r="H60" s="6" t="s">
        <v>1244</v>
      </c>
      <c r="I60" s="6" t="s">
        <v>1245</v>
      </c>
      <c r="J60" s="6" t="s">
        <v>1246</v>
      </c>
      <c r="K60" s="5" t="s">
        <v>1247</v>
      </c>
    </row>
    <row r="61" customFormat="false" ht="48" hidden="false" customHeight="true" outlineLevel="0" collapsed="false">
      <c r="A61" s="7" t="s">
        <v>820</v>
      </c>
      <c r="B61" s="7" t="n">
        <v>6</v>
      </c>
      <c r="C61" s="7" t="s">
        <v>1248</v>
      </c>
      <c r="D61" s="8" t="s">
        <v>1249</v>
      </c>
      <c r="E61" s="7" t="s">
        <v>901</v>
      </c>
      <c r="F61" s="8" t="s">
        <v>1250</v>
      </c>
      <c r="G61" s="7" t="s">
        <v>420</v>
      </c>
      <c r="H61" s="8" t="s">
        <v>1018</v>
      </c>
      <c r="I61" s="8" t="s">
        <v>1251</v>
      </c>
      <c r="J61" s="8" t="s">
        <v>1252</v>
      </c>
      <c r="K61" s="7" t="s">
        <v>1253</v>
      </c>
    </row>
    <row r="62" customFormat="false" ht="48" hidden="false" customHeight="true" outlineLevel="0" collapsed="false">
      <c r="A62" s="5" t="s">
        <v>820</v>
      </c>
      <c r="B62" s="5" t="n">
        <v>7</v>
      </c>
      <c r="C62" s="5" t="s">
        <v>1254</v>
      </c>
      <c r="D62" s="6" t="s">
        <v>1255</v>
      </c>
      <c r="E62" s="5" t="s">
        <v>1115</v>
      </c>
      <c r="F62" s="6" t="s">
        <v>1256</v>
      </c>
      <c r="G62" s="5" t="s">
        <v>420</v>
      </c>
      <c r="H62" s="6" t="s">
        <v>1257</v>
      </c>
      <c r="I62" s="6" t="s">
        <v>1258</v>
      </c>
      <c r="J62" s="6" t="s">
        <v>1259</v>
      </c>
      <c r="K62" s="5" t="s">
        <v>1260</v>
      </c>
    </row>
    <row r="63" customFormat="false" ht="48" hidden="false" customHeight="true" outlineLevel="0" collapsed="false">
      <c r="A63" s="7" t="s">
        <v>820</v>
      </c>
      <c r="B63" s="7" t="n">
        <v>8</v>
      </c>
      <c r="C63" s="7" t="s">
        <v>1261</v>
      </c>
      <c r="D63" s="8" t="s">
        <v>1262</v>
      </c>
      <c r="E63" s="7" t="s">
        <v>1094</v>
      </c>
      <c r="F63" s="8" t="s">
        <v>916</v>
      </c>
      <c r="G63" s="7" t="s">
        <v>422</v>
      </c>
      <c r="H63" s="8" t="s">
        <v>1263</v>
      </c>
      <c r="I63" s="8" t="s">
        <v>1264</v>
      </c>
      <c r="J63" s="8" t="s">
        <v>1265</v>
      </c>
      <c r="K63" s="7" t="s">
        <v>1266</v>
      </c>
    </row>
    <row r="64" customFormat="false" ht="48" hidden="false" customHeight="true" outlineLevel="0" collapsed="false">
      <c r="A64" s="5" t="s">
        <v>824</v>
      </c>
      <c r="B64" s="5" t="n">
        <v>1</v>
      </c>
      <c r="C64" s="5" t="s">
        <v>1267</v>
      </c>
      <c r="D64" s="6" t="s">
        <v>1268</v>
      </c>
      <c r="E64" s="5" t="s">
        <v>901</v>
      </c>
      <c r="F64" s="6" t="s">
        <v>1269</v>
      </c>
      <c r="G64" s="5" t="s">
        <v>420</v>
      </c>
      <c r="H64" s="6" t="s">
        <v>1270</v>
      </c>
      <c r="I64" s="6" t="s">
        <v>1271</v>
      </c>
      <c r="J64" s="6" t="s">
        <v>1272</v>
      </c>
      <c r="K64" s="5" t="s">
        <v>1273</v>
      </c>
    </row>
    <row r="65" customFormat="false" ht="48" hidden="false" customHeight="true" outlineLevel="0" collapsed="false">
      <c r="A65" s="7" t="s">
        <v>824</v>
      </c>
      <c r="B65" s="7" t="n">
        <v>2</v>
      </c>
      <c r="C65" s="7" t="s">
        <v>1274</v>
      </c>
      <c r="D65" s="8" t="s">
        <v>1275</v>
      </c>
      <c r="E65" s="7" t="s">
        <v>877</v>
      </c>
      <c r="F65" s="8" t="s">
        <v>894</v>
      </c>
      <c r="G65" s="7" t="s">
        <v>420</v>
      </c>
      <c r="H65" s="8" t="s">
        <v>1276</v>
      </c>
      <c r="I65" s="8" t="s">
        <v>1277</v>
      </c>
      <c r="J65" s="8" t="s">
        <v>1278</v>
      </c>
      <c r="K65" s="7" t="s">
        <v>1279</v>
      </c>
    </row>
    <row r="66" customFormat="false" ht="48" hidden="false" customHeight="true" outlineLevel="0" collapsed="false">
      <c r="A66" s="5" t="s">
        <v>824</v>
      </c>
      <c r="B66" s="5" t="n">
        <v>3</v>
      </c>
      <c r="C66" s="5" t="s">
        <v>1280</v>
      </c>
      <c r="D66" s="6" t="s">
        <v>1281</v>
      </c>
      <c r="E66" s="5" t="s">
        <v>901</v>
      </c>
      <c r="F66" s="6" t="s">
        <v>1282</v>
      </c>
      <c r="G66" s="5" t="s">
        <v>420</v>
      </c>
      <c r="H66" s="6" t="s">
        <v>1018</v>
      </c>
      <c r="I66" s="6"/>
      <c r="J66" s="6"/>
      <c r="K66" s="5" t="s">
        <v>1283</v>
      </c>
    </row>
    <row r="67" customFormat="false" ht="48" hidden="false" customHeight="true" outlineLevel="0" collapsed="false">
      <c r="A67" s="7" t="s">
        <v>824</v>
      </c>
      <c r="B67" s="7" t="n">
        <v>4</v>
      </c>
      <c r="C67" s="7" t="s">
        <v>1284</v>
      </c>
      <c r="D67" s="8" t="s">
        <v>1285</v>
      </c>
      <c r="E67" s="7" t="s">
        <v>877</v>
      </c>
      <c r="F67" s="8" t="s">
        <v>1286</v>
      </c>
      <c r="G67" s="7" t="s">
        <v>420</v>
      </c>
      <c r="H67" s="8" t="s">
        <v>1287</v>
      </c>
      <c r="I67" s="8"/>
      <c r="J67" s="8" t="s">
        <v>1288</v>
      </c>
      <c r="K67" s="7" t="s">
        <v>1289</v>
      </c>
    </row>
    <row r="68" customFormat="false" ht="48" hidden="false" customHeight="true" outlineLevel="0" collapsed="false">
      <c r="A68" s="5" t="s">
        <v>824</v>
      </c>
      <c r="B68" s="5" t="n">
        <v>5</v>
      </c>
      <c r="C68" s="5" t="s">
        <v>1290</v>
      </c>
      <c r="D68" s="6" t="s">
        <v>1291</v>
      </c>
      <c r="E68" s="5" t="s">
        <v>1292</v>
      </c>
      <c r="F68" s="6" t="s">
        <v>1293</v>
      </c>
      <c r="G68" s="5" t="s">
        <v>420</v>
      </c>
      <c r="H68" s="6" t="s">
        <v>1294</v>
      </c>
      <c r="I68" s="6" t="s">
        <v>1295</v>
      </c>
      <c r="J68" s="6" t="s">
        <v>1296</v>
      </c>
      <c r="K68" s="5" t="s">
        <v>1297</v>
      </c>
    </row>
    <row r="69" customFormat="false" ht="48" hidden="false" customHeight="true" outlineLevel="0" collapsed="false">
      <c r="A69" s="7" t="s">
        <v>824</v>
      </c>
      <c r="B69" s="7" t="n">
        <v>6</v>
      </c>
      <c r="C69" s="7" t="s">
        <v>1298</v>
      </c>
      <c r="D69" s="8" t="s">
        <v>1299</v>
      </c>
      <c r="E69" s="7" t="s">
        <v>877</v>
      </c>
      <c r="F69" s="8" t="s">
        <v>916</v>
      </c>
      <c r="G69" s="7" t="s">
        <v>422</v>
      </c>
      <c r="H69" s="8" t="s">
        <v>1031</v>
      </c>
      <c r="I69" s="8" t="s">
        <v>1300</v>
      </c>
      <c r="J69" s="8"/>
      <c r="K69" s="7" t="s">
        <v>1301</v>
      </c>
    </row>
    <row r="70" customFormat="false" ht="48" hidden="false" customHeight="true" outlineLevel="0" collapsed="false">
      <c r="A70" s="5" t="s">
        <v>824</v>
      </c>
      <c r="B70" s="5" t="n">
        <v>7</v>
      </c>
      <c r="C70" s="5" t="s">
        <v>1302</v>
      </c>
      <c r="D70" s="6" t="s">
        <v>1303</v>
      </c>
      <c r="E70" s="5" t="s">
        <v>1304</v>
      </c>
      <c r="F70" s="6" t="s">
        <v>1305</v>
      </c>
      <c r="G70" s="5" t="s">
        <v>420</v>
      </c>
      <c r="H70" s="6" t="s">
        <v>1306</v>
      </c>
      <c r="I70" s="6" t="s">
        <v>1307</v>
      </c>
      <c r="J70" s="6" t="s">
        <v>1308</v>
      </c>
      <c r="K70" s="5" t="s">
        <v>1309</v>
      </c>
    </row>
    <row r="71" customFormat="false" ht="48" hidden="false" customHeight="true" outlineLevel="0" collapsed="false">
      <c r="A71" s="7" t="s">
        <v>828</v>
      </c>
      <c r="B71" s="7" t="n">
        <v>1</v>
      </c>
      <c r="C71" s="7" t="s">
        <v>1310</v>
      </c>
      <c r="D71" s="8" t="s">
        <v>1311</v>
      </c>
      <c r="E71" s="7" t="s">
        <v>901</v>
      </c>
      <c r="F71" s="8" t="s">
        <v>1312</v>
      </c>
      <c r="G71" s="7" t="s">
        <v>420</v>
      </c>
      <c r="H71" s="8" t="s">
        <v>1313</v>
      </c>
      <c r="I71" s="8" t="s">
        <v>1314</v>
      </c>
      <c r="J71" s="8" t="s">
        <v>1315</v>
      </c>
      <c r="K71" s="7" t="s">
        <v>1316</v>
      </c>
    </row>
    <row r="72" customFormat="false" ht="48" hidden="false" customHeight="true" outlineLevel="0" collapsed="false">
      <c r="A72" s="5" t="s">
        <v>828</v>
      </c>
      <c r="B72" s="5" t="n">
        <v>2</v>
      </c>
      <c r="C72" s="5" t="s">
        <v>1317</v>
      </c>
      <c r="D72" s="6" t="s">
        <v>1318</v>
      </c>
      <c r="E72" s="5" t="s">
        <v>1078</v>
      </c>
      <c r="F72" s="6" t="s">
        <v>1319</v>
      </c>
      <c r="G72" s="5" t="s">
        <v>420</v>
      </c>
      <c r="H72" s="6" t="s">
        <v>1320</v>
      </c>
      <c r="I72" s="6"/>
      <c r="J72" s="6" t="s">
        <v>1321</v>
      </c>
      <c r="K72" s="5" t="s">
        <v>1322</v>
      </c>
    </row>
    <row r="73" customFormat="false" ht="48" hidden="false" customHeight="true" outlineLevel="0" collapsed="false">
      <c r="A73" s="7" t="s">
        <v>828</v>
      </c>
      <c r="B73" s="7" t="n">
        <v>3</v>
      </c>
      <c r="C73" s="7" t="s">
        <v>1323</v>
      </c>
      <c r="D73" s="8" t="s">
        <v>1324</v>
      </c>
      <c r="E73" s="7" t="s">
        <v>877</v>
      </c>
      <c r="F73" s="8" t="s">
        <v>1325</v>
      </c>
      <c r="G73" s="7" t="s">
        <v>420</v>
      </c>
      <c r="H73" s="8" t="s">
        <v>1326</v>
      </c>
      <c r="I73" s="8"/>
      <c r="J73" s="8"/>
      <c r="K73" s="7" t="s">
        <v>1327</v>
      </c>
    </row>
    <row r="74" customFormat="false" ht="48" hidden="false" customHeight="true" outlineLevel="0" collapsed="false">
      <c r="A74" s="5" t="s">
        <v>828</v>
      </c>
      <c r="B74" s="5" t="n">
        <v>4</v>
      </c>
      <c r="C74" s="5" t="s">
        <v>1328</v>
      </c>
      <c r="D74" s="6" t="s">
        <v>1329</v>
      </c>
      <c r="E74" s="5" t="s">
        <v>1002</v>
      </c>
      <c r="F74" s="6" t="s">
        <v>1330</v>
      </c>
      <c r="G74" s="5" t="s">
        <v>420</v>
      </c>
      <c r="H74" s="6" t="s">
        <v>1331</v>
      </c>
      <c r="I74" s="6"/>
      <c r="J74" s="6"/>
      <c r="K74" s="5" t="s">
        <v>1332</v>
      </c>
    </row>
    <row r="75" customFormat="false" ht="48" hidden="false" customHeight="true" outlineLevel="0" collapsed="false">
      <c r="A75" s="7" t="s">
        <v>828</v>
      </c>
      <c r="B75" s="7" t="n">
        <v>5</v>
      </c>
      <c r="C75" s="7" t="s">
        <v>1333</v>
      </c>
      <c r="D75" s="8" t="s">
        <v>1334</v>
      </c>
      <c r="E75" s="7" t="s">
        <v>1335</v>
      </c>
      <c r="F75" s="8" t="s">
        <v>1336</v>
      </c>
      <c r="G75" s="7" t="s">
        <v>420</v>
      </c>
      <c r="H75" s="8" t="s">
        <v>1337</v>
      </c>
      <c r="I75" s="8" t="s">
        <v>1338</v>
      </c>
      <c r="J75" s="8" t="s">
        <v>1339</v>
      </c>
      <c r="K75" s="7" t="s">
        <v>1340</v>
      </c>
    </row>
    <row r="76" customFormat="false" ht="48" hidden="false" customHeight="true" outlineLevel="0" collapsed="false">
      <c r="A76" s="5" t="s">
        <v>828</v>
      </c>
      <c r="B76" s="5" t="n">
        <v>6</v>
      </c>
      <c r="C76" s="5" t="s">
        <v>1341</v>
      </c>
      <c r="D76" s="6" t="s">
        <v>1342</v>
      </c>
      <c r="E76" s="5" t="s">
        <v>1343</v>
      </c>
      <c r="F76" s="6" t="s">
        <v>1344</v>
      </c>
      <c r="G76" s="5" t="s">
        <v>420</v>
      </c>
      <c r="H76" s="6" t="s">
        <v>1345</v>
      </c>
      <c r="I76" s="6" t="s">
        <v>1346</v>
      </c>
      <c r="J76" s="6" t="s">
        <v>1347</v>
      </c>
      <c r="K76" s="5" t="s">
        <v>1348</v>
      </c>
    </row>
    <row r="77" customFormat="false" ht="48" hidden="false" customHeight="true" outlineLevel="0" collapsed="false">
      <c r="A77" s="7" t="s">
        <v>828</v>
      </c>
      <c r="B77" s="7" t="n">
        <v>7</v>
      </c>
      <c r="C77" s="7" t="s">
        <v>1349</v>
      </c>
      <c r="D77" s="8" t="s">
        <v>1350</v>
      </c>
      <c r="E77" s="7" t="s">
        <v>494</v>
      </c>
      <c r="F77" s="8" t="s">
        <v>1351</v>
      </c>
      <c r="G77" s="7" t="s">
        <v>494</v>
      </c>
      <c r="H77" s="8" t="s">
        <v>1352</v>
      </c>
      <c r="I77" s="8" t="s">
        <v>1353</v>
      </c>
      <c r="J77" s="8"/>
      <c r="K77" s="7" t="s">
        <v>1354</v>
      </c>
    </row>
    <row r="78" customFormat="false" ht="48" hidden="false" customHeight="true" outlineLevel="0" collapsed="false">
      <c r="A78" s="5" t="s">
        <v>828</v>
      </c>
      <c r="B78" s="5" t="n">
        <v>8</v>
      </c>
      <c r="C78" s="5" t="s">
        <v>1355</v>
      </c>
      <c r="D78" s="6" t="s">
        <v>1356</v>
      </c>
      <c r="E78" s="5" t="s">
        <v>1357</v>
      </c>
      <c r="F78" s="6" t="s">
        <v>1358</v>
      </c>
      <c r="G78" s="5" t="s">
        <v>1359</v>
      </c>
      <c r="H78" s="6" t="s">
        <v>1360</v>
      </c>
      <c r="I78" s="6" t="s">
        <v>1361</v>
      </c>
      <c r="J78" s="6" t="s">
        <v>1362</v>
      </c>
      <c r="K78" s="5" t="s">
        <v>1363</v>
      </c>
    </row>
    <row r="79" customFormat="false" ht="48" hidden="false" customHeight="true" outlineLevel="0" collapsed="false">
      <c r="A79" s="7" t="s">
        <v>828</v>
      </c>
      <c r="B79" s="7" t="n">
        <v>9</v>
      </c>
      <c r="C79" s="7" t="s">
        <v>1364</v>
      </c>
      <c r="D79" s="8" t="s">
        <v>1365</v>
      </c>
      <c r="E79" s="7" t="s">
        <v>494</v>
      </c>
      <c r="F79" s="8" t="s">
        <v>1366</v>
      </c>
      <c r="G79" s="7" t="s">
        <v>494</v>
      </c>
      <c r="H79" s="8" t="s">
        <v>1367</v>
      </c>
      <c r="I79" s="8" t="s">
        <v>1368</v>
      </c>
      <c r="J79" s="8"/>
      <c r="K79" s="7" t="s">
        <v>1369</v>
      </c>
    </row>
    <row r="80" customFormat="false" ht="48" hidden="false" customHeight="true" outlineLevel="0" collapsed="false">
      <c r="A80" s="5" t="s">
        <v>832</v>
      </c>
      <c r="B80" s="5" t="n">
        <v>1</v>
      </c>
      <c r="C80" s="5" t="s">
        <v>1370</v>
      </c>
      <c r="D80" s="6" t="s">
        <v>56</v>
      </c>
      <c r="E80" s="5" t="s">
        <v>1371</v>
      </c>
      <c r="F80" s="6" t="s">
        <v>1372</v>
      </c>
      <c r="G80" s="5" t="s">
        <v>420</v>
      </c>
      <c r="H80" s="6" t="s">
        <v>1373</v>
      </c>
      <c r="I80" s="6" t="s">
        <v>1374</v>
      </c>
      <c r="J80" s="6"/>
      <c r="K80" s="5" t="s">
        <v>1375</v>
      </c>
    </row>
    <row r="81" customFormat="false" ht="48" hidden="false" customHeight="true" outlineLevel="0" collapsed="false">
      <c r="A81" s="7" t="s">
        <v>832</v>
      </c>
      <c r="B81" s="7" t="n">
        <v>2</v>
      </c>
      <c r="C81" s="7" t="s">
        <v>1376</v>
      </c>
      <c r="D81" s="8" t="s">
        <v>59</v>
      </c>
      <c r="E81" s="7" t="s">
        <v>1371</v>
      </c>
      <c r="F81" s="8" t="s">
        <v>1377</v>
      </c>
      <c r="G81" s="7" t="s">
        <v>420</v>
      </c>
      <c r="H81" s="8" t="s">
        <v>1378</v>
      </c>
      <c r="I81" s="8" t="s">
        <v>1379</v>
      </c>
      <c r="J81" s="8" t="s">
        <v>1380</v>
      </c>
      <c r="K81" s="7" t="s">
        <v>1381</v>
      </c>
    </row>
    <row r="82" customFormat="false" ht="48" hidden="false" customHeight="true" outlineLevel="0" collapsed="false">
      <c r="A82" s="5" t="s">
        <v>832</v>
      </c>
      <c r="B82" s="5" t="n">
        <v>3</v>
      </c>
      <c r="C82" s="5" t="s">
        <v>1382</v>
      </c>
      <c r="D82" s="6" t="s">
        <v>61</v>
      </c>
      <c r="E82" s="5" t="s">
        <v>1371</v>
      </c>
      <c r="F82" s="6" t="s">
        <v>1377</v>
      </c>
      <c r="G82" s="5" t="s">
        <v>420</v>
      </c>
      <c r="H82" s="6" t="s">
        <v>1383</v>
      </c>
      <c r="I82" s="6" t="s">
        <v>1384</v>
      </c>
      <c r="J82" s="6" t="s">
        <v>1385</v>
      </c>
      <c r="K82" s="5" t="s">
        <v>1386</v>
      </c>
    </row>
    <row r="83" customFormat="false" ht="48" hidden="false" customHeight="true" outlineLevel="0" collapsed="false">
      <c r="A83" s="7" t="s">
        <v>832</v>
      </c>
      <c r="B83" s="7" t="n">
        <v>4</v>
      </c>
      <c r="C83" s="7" t="s">
        <v>1387</v>
      </c>
      <c r="D83" s="8" t="s">
        <v>1388</v>
      </c>
      <c r="E83" s="7" t="s">
        <v>1371</v>
      </c>
      <c r="F83" s="8" t="s">
        <v>1389</v>
      </c>
      <c r="G83" s="7" t="s">
        <v>420</v>
      </c>
      <c r="H83" s="8" t="s">
        <v>1390</v>
      </c>
      <c r="I83" s="8" t="s">
        <v>1391</v>
      </c>
      <c r="J83" s="8" t="s">
        <v>1392</v>
      </c>
      <c r="K83" s="7" t="s">
        <v>1393</v>
      </c>
    </row>
    <row r="84" customFormat="false" ht="48" hidden="false" customHeight="true" outlineLevel="0" collapsed="false">
      <c r="A84" s="5" t="s">
        <v>832</v>
      </c>
      <c r="B84" s="5" t="n">
        <v>5</v>
      </c>
      <c r="C84" s="5" t="s">
        <v>1394</v>
      </c>
      <c r="D84" s="6" t="s">
        <v>63</v>
      </c>
      <c r="E84" s="5" t="s">
        <v>1371</v>
      </c>
      <c r="F84" s="6" t="s">
        <v>1395</v>
      </c>
      <c r="G84" s="5" t="s">
        <v>420</v>
      </c>
      <c r="H84" s="6" t="s">
        <v>1383</v>
      </c>
      <c r="I84" s="6" t="s">
        <v>1396</v>
      </c>
      <c r="J84" s="6"/>
      <c r="K84" s="5" t="s">
        <v>1397</v>
      </c>
    </row>
    <row r="85" customFormat="false" ht="48" hidden="false" customHeight="true" outlineLevel="0" collapsed="false">
      <c r="A85" s="7" t="s">
        <v>832</v>
      </c>
      <c r="B85" s="7" t="n">
        <v>6</v>
      </c>
      <c r="C85" s="7" t="s">
        <v>1398</v>
      </c>
      <c r="D85" s="8" t="s">
        <v>1399</v>
      </c>
      <c r="E85" s="7" t="s">
        <v>1371</v>
      </c>
      <c r="F85" s="8" t="s">
        <v>1400</v>
      </c>
      <c r="G85" s="7" t="s">
        <v>420</v>
      </c>
      <c r="H85" s="8" t="s">
        <v>1383</v>
      </c>
      <c r="I85" s="8" t="s">
        <v>1401</v>
      </c>
      <c r="J85" s="8" t="s">
        <v>1402</v>
      </c>
      <c r="K85" s="7" t="s">
        <v>1403</v>
      </c>
    </row>
    <row r="86" customFormat="false" ht="48" hidden="false" customHeight="true" outlineLevel="0" collapsed="false">
      <c r="A86" s="5" t="s">
        <v>832</v>
      </c>
      <c r="B86" s="5" t="n">
        <v>7</v>
      </c>
      <c r="C86" s="5" t="s">
        <v>1404</v>
      </c>
      <c r="D86" s="6" t="s">
        <v>1405</v>
      </c>
      <c r="E86" s="5" t="s">
        <v>1371</v>
      </c>
      <c r="F86" s="6" t="s">
        <v>1406</v>
      </c>
      <c r="G86" s="5" t="s">
        <v>422</v>
      </c>
      <c r="H86" s="6" t="s">
        <v>1407</v>
      </c>
      <c r="I86" s="6" t="s">
        <v>1408</v>
      </c>
      <c r="J86" s="6" t="s">
        <v>1409</v>
      </c>
      <c r="K86" s="5" t="s">
        <v>1410</v>
      </c>
    </row>
    <row r="87" customFormat="false" ht="48" hidden="false" customHeight="true" outlineLevel="0" collapsed="false">
      <c r="A87" s="7" t="s">
        <v>832</v>
      </c>
      <c r="B87" s="7" t="n">
        <v>8</v>
      </c>
      <c r="C87" s="7" t="s">
        <v>1411</v>
      </c>
      <c r="D87" s="8" t="s">
        <v>1412</v>
      </c>
      <c r="E87" s="7" t="s">
        <v>1371</v>
      </c>
      <c r="F87" s="8" t="s">
        <v>1413</v>
      </c>
      <c r="G87" s="7" t="s">
        <v>422</v>
      </c>
      <c r="H87" s="8" t="s">
        <v>1414</v>
      </c>
      <c r="I87" s="8"/>
      <c r="J87" s="8"/>
      <c r="K87" s="7" t="s">
        <v>1415</v>
      </c>
    </row>
    <row r="88" customFormat="false" ht="48" hidden="false" customHeight="true" outlineLevel="0" collapsed="false">
      <c r="A88" s="5" t="s">
        <v>836</v>
      </c>
      <c r="B88" s="5" t="n">
        <v>1</v>
      </c>
      <c r="C88" s="5" t="s">
        <v>1416</v>
      </c>
      <c r="D88" s="6" t="s">
        <v>1417</v>
      </c>
      <c r="E88" s="5" t="s">
        <v>1305</v>
      </c>
      <c r="F88" s="6" t="s">
        <v>1418</v>
      </c>
      <c r="G88" s="5" t="s">
        <v>420</v>
      </c>
      <c r="H88" s="6" t="s">
        <v>1419</v>
      </c>
      <c r="I88" s="6" t="s">
        <v>1420</v>
      </c>
      <c r="J88" s="6" t="s">
        <v>1421</v>
      </c>
      <c r="K88" s="5" t="s">
        <v>1422</v>
      </c>
    </row>
    <row r="89" customFormat="false" ht="48" hidden="false" customHeight="true" outlineLevel="0" collapsed="false">
      <c r="A89" s="7" t="s">
        <v>836</v>
      </c>
      <c r="B89" s="7" t="n">
        <v>2</v>
      </c>
      <c r="C89" s="7" t="s">
        <v>1423</v>
      </c>
      <c r="D89" s="8" t="s">
        <v>1424</v>
      </c>
      <c r="E89" s="7" t="s">
        <v>1305</v>
      </c>
      <c r="F89" s="8" t="s">
        <v>1425</v>
      </c>
      <c r="G89" s="7" t="s">
        <v>420</v>
      </c>
      <c r="H89" s="8" t="s">
        <v>1426</v>
      </c>
      <c r="I89" s="8" t="s">
        <v>1427</v>
      </c>
      <c r="J89" s="8"/>
      <c r="K89" s="7" t="s">
        <v>1428</v>
      </c>
    </row>
    <row r="90" customFormat="false" ht="48" hidden="false" customHeight="true" outlineLevel="0" collapsed="false">
      <c r="A90" s="5" t="s">
        <v>836</v>
      </c>
      <c r="B90" s="5" t="n">
        <v>3</v>
      </c>
      <c r="C90" s="5" t="s">
        <v>1429</v>
      </c>
      <c r="D90" s="6" t="s">
        <v>1430</v>
      </c>
      <c r="E90" s="5" t="s">
        <v>901</v>
      </c>
      <c r="F90" s="6" t="s">
        <v>1431</v>
      </c>
      <c r="G90" s="5" t="s">
        <v>420</v>
      </c>
      <c r="H90" s="6" t="s">
        <v>1432</v>
      </c>
      <c r="I90" s="6" t="s">
        <v>1433</v>
      </c>
      <c r="J90" s="6" t="s">
        <v>1434</v>
      </c>
      <c r="K90" s="5" t="s">
        <v>1435</v>
      </c>
    </row>
    <row r="91" customFormat="false" ht="48" hidden="false" customHeight="true" outlineLevel="0" collapsed="false">
      <c r="A91" s="7" t="s">
        <v>836</v>
      </c>
      <c r="B91" s="7" t="n">
        <v>4</v>
      </c>
      <c r="C91" s="7" t="s">
        <v>1436</v>
      </c>
      <c r="D91" s="8" t="s">
        <v>1437</v>
      </c>
      <c r="E91" s="7" t="s">
        <v>945</v>
      </c>
      <c r="F91" s="8" t="s">
        <v>1438</v>
      </c>
      <c r="G91" s="7" t="s">
        <v>420</v>
      </c>
      <c r="H91" s="8" t="s">
        <v>1439</v>
      </c>
      <c r="I91" s="8" t="s">
        <v>1440</v>
      </c>
      <c r="J91" s="8" t="s">
        <v>1441</v>
      </c>
      <c r="K91" s="7" t="s">
        <v>1442</v>
      </c>
    </row>
    <row r="92" customFormat="false" ht="48" hidden="false" customHeight="true" outlineLevel="0" collapsed="false">
      <c r="A92" s="5" t="s">
        <v>836</v>
      </c>
      <c r="B92" s="5" t="n">
        <v>5</v>
      </c>
      <c r="C92" s="5" t="s">
        <v>1443</v>
      </c>
      <c r="D92" s="6" t="s">
        <v>1444</v>
      </c>
      <c r="E92" s="5" t="s">
        <v>1445</v>
      </c>
      <c r="F92" s="6" t="s">
        <v>1446</v>
      </c>
      <c r="G92" s="5" t="s">
        <v>420</v>
      </c>
      <c r="H92" s="6" t="s">
        <v>1447</v>
      </c>
      <c r="I92" s="6" t="s">
        <v>1448</v>
      </c>
      <c r="J92" s="6" t="s">
        <v>1449</v>
      </c>
      <c r="K92" s="5" t="s">
        <v>1450</v>
      </c>
    </row>
    <row r="93" customFormat="false" ht="48" hidden="false" customHeight="true" outlineLevel="0" collapsed="false">
      <c r="A93" s="7" t="s">
        <v>836</v>
      </c>
      <c r="B93" s="7" t="n">
        <v>6</v>
      </c>
      <c r="C93" s="7" t="s">
        <v>1451</v>
      </c>
      <c r="D93" s="8" t="s">
        <v>1452</v>
      </c>
      <c r="E93" s="7" t="s">
        <v>1094</v>
      </c>
      <c r="F93" s="8" t="s">
        <v>1453</v>
      </c>
      <c r="G93" s="7" t="s">
        <v>420</v>
      </c>
      <c r="H93" s="8" t="s">
        <v>1454</v>
      </c>
      <c r="I93" s="8" t="s">
        <v>1455</v>
      </c>
      <c r="J93" s="8" t="s">
        <v>1456</v>
      </c>
      <c r="K93" s="7" t="s">
        <v>1457</v>
      </c>
    </row>
    <row r="94" customFormat="false" ht="48" hidden="false" customHeight="true" outlineLevel="0" collapsed="false">
      <c r="A94" s="5" t="s">
        <v>836</v>
      </c>
      <c r="B94" s="5" t="n">
        <v>7</v>
      </c>
      <c r="C94" s="5" t="s">
        <v>1458</v>
      </c>
      <c r="D94" s="6" t="s">
        <v>1459</v>
      </c>
      <c r="E94" s="5" t="s">
        <v>901</v>
      </c>
      <c r="F94" s="6" t="s">
        <v>1460</v>
      </c>
      <c r="G94" s="5" t="s">
        <v>420</v>
      </c>
      <c r="H94" s="6" t="s">
        <v>1461</v>
      </c>
      <c r="I94" s="6" t="s">
        <v>1462</v>
      </c>
      <c r="J94" s="6" t="s">
        <v>1463</v>
      </c>
      <c r="K94" s="5" t="s">
        <v>1464</v>
      </c>
    </row>
    <row r="95" customFormat="false" ht="48" hidden="false" customHeight="true" outlineLevel="0" collapsed="false">
      <c r="A95" s="7" t="s">
        <v>836</v>
      </c>
      <c r="B95" s="7" t="n">
        <v>8</v>
      </c>
      <c r="C95" s="7" t="s">
        <v>1465</v>
      </c>
      <c r="D95" s="8" t="s">
        <v>1466</v>
      </c>
      <c r="E95" s="7" t="s">
        <v>1467</v>
      </c>
      <c r="F95" s="8" t="s">
        <v>1468</v>
      </c>
      <c r="G95" s="7" t="s">
        <v>494</v>
      </c>
      <c r="H95" s="8" t="s">
        <v>1469</v>
      </c>
      <c r="I95" s="8" t="s">
        <v>1470</v>
      </c>
      <c r="J95" s="8"/>
      <c r="K95" s="7" t="s">
        <v>1471</v>
      </c>
    </row>
    <row r="96" customFormat="false" ht="48" hidden="false" customHeight="true" outlineLevel="0" collapsed="false">
      <c r="A96" s="5" t="s">
        <v>836</v>
      </c>
      <c r="B96" s="5" t="n">
        <v>9</v>
      </c>
      <c r="C96" s="5" t="s">
        <v>1472</v>
      </c>
      <c r="D96" s="6" t="s">
        <v>1473</v>
      </c>
      <c r="E96" s="5" t="s">
        <v>494</v>
      </c>
      <c r="F96" s="6" t="s">
        <v>1474</v>
      </c>
      <c r="G96" s="5" t="s">
        <v>494</v>
      </c>
      <c r="H96" s="6" t="s">
        <v>1475</v>
      </c>
      <c r="I96" s="6" t="s">
        <v>1476</v>
      </c>
      <c r="J96" s="6" t="s">
        <v>1477</v>
      </c>
      <c r="K96" s="5" t="s">
        <v>1478</v>
      </c>
    </row>
    <row r="97" customFormat="false" ht="48" hidden="false" customHeight="true" outlineLevel="0" collapsed="false">
      <c r="A97" s="7" t="s">
        <v>840</v>
      </c>
      <c r="B97" s="7" t="n">
        <v>1</v>
      </c>
      <c r="C97" s="7" t="s">
        <v>1479</v>
      </c>
      <c r="D97" s="8" t="s">
        <v>1480</v>
      </c>
      <c r="E97" s="7" t="s">
        <v>1481</v>
      </c>
      <c r="F97" s="8" t="s">
        <v>1482</v>
      </c>
      <c r="G97" s="7" t="s">
        <v>420</v>
      </c>
      <c r="H97" s="8" t="s">
        <v>1483</v>
      </c>
      <c r="I97" s="8"/>
      <c r="J97" s="8" t="s">
        <v>1484</v>
      </c>
      <c r="K97" s="7" t="s">
        <v>1485</v>
      </c>
    </row>
    <row r="98" customFormat="false" ht="48" hidden="false" customHeight="true" outlineLevel="0" collapsed="false">
      <c r="A98" s="5" t="s">
        <v>840</v>
      </c>
      <c r="B98" s="5" t="n">
        <v>2</v>
      </c>
      <c r="C98" s="5" t="s">
        <v>1486</v>
      </c>
      <c r="D98" s="6" t="s">
        <v>1487</v>
      </c>
      <c r="E98" s="5" t="s">
        <v>901</v>
      </c>
      <c r="F98" s="6" t="s">
        <v>1488</v>
      </c>
      <c r="G98" s="5" t="s">
        <v>420</v>
      </c>
      <c r="H98" s="6" t="s">
        <v>1489</v>
      </c>
      <c r="I98" s="6" t="s">
        <v>1490</v>
      </c>
      <c r="J98" s="6" t="s">
        <v>1491</v>
      </c>
      <c r="K98" s="5" t="s">
        <v>1492</v>
      </c>
    </row>
    <row r="99" customFormat="false" ht="48" hidden="false" customHeight="true" outlineLevel="0" collapsed="false">
      <c r="A99" s="7" t="s">
        <v>840</v>
      </c>
      <c r="B99" s="7" t="n">
        <v>3</v>
      </c>
      <c r="C99" s="7" t="s">
        <v>1493</v>
      </c>
      <c r="D99" s="8" t="s">
        <v>1494</v>
      </c>
      <c r="E99" s="7" t="s">
        <v>901</v>
      </c>
      <c r="F99" s="8" t="s">
        <v>930</v>
      </c>
      <c r="G99" s="7" t="s">
        <v>420</v>
      </c>
      <c r="H99" s="8" t="s">
        <v>1018</v>
      </c>
      <c r="I99" s="8"/>
      <c r="J99" s="8" t="s">
        <v>1495</v>
      </c>
      <c r="K99" s="7" t="s">
        <v>1496</v>
      </c>
    </row>
    <row r="100" customFormat="false" ht="48" hidden="false" customHeight="true" outlineLevel="0" collapsed="false">
      <c r="A100" s="5" t="s">
        <v>840</v>
      </c>
      <c r="B100" s="5" t="n">
        <v>4</v>
      </c>
      <c r="C100" s="5" t="s">
        <v>1497</v>
      </c>
      <c r="D100" s="6" t="s">
        <v>1498</v>
      </c>
      <c r="E100" s="5" t="s">
        <v>1305</v>
      </c>
      <c r="F100" s="6" t="s">
        <v>1499</v>
      </c>
      <c r="G100" s="5" t="s">
        <v>420</v>
      </c>
      <c r="H100" s="6" t="s">
        <v>1500</v>
      </c>
      <c r="I100" s="6"/>
      <c r="J100" s="6" t="s">
        <v>1501</v>
      </c>
      <c r="K100" s="5" t="s">
        <v>1502</v>
      </c>
    </row>
    <row r="101" customFormat="false" ht="48" hidden="false" customHeight="true" outlineLevel="0" collapsed="false">
      <c r="A101" s="7" t="s">
        <v>840</v>
      </c>
      <c r="B101" s="7" t="n">
        <v>5</v>
      </c>
      <c r="C101" s="7" t="s">
        <v>1503</v>
      </c>
      <c r="D101" s="8" t="s">
        <v>1504</v>
      </c>
      <c r="E101" s="7" t="s">
        <v>494</v>
      </c>
      <c r="F101" s="8" t="s">
        <v>1505</v>
      </c>
      <c r="G101" s="7" t="s">
        <v>494</v>
      </c>
      <c r="H101" s="8" t="s">
        <v>1506</v>
      </c>
      <c r="I101" s="8" t="s">
        <v>1507</v>
      </c>
      <c r="J101" s="8"/>
      <c r="K101" s="7" t="s">
        <v>1508</v>
      </c>
    </row>
    <row r="102" customFormat="false" ht="48" hidden="false" customHeight="true" outlineLevel="0" collapsed="false">
      <c r="A102" s="5" t="s">
        <v>844</v>
      </c>
      <c r="B102" s="5" t="n">
        <v>1</v>
      </c>
      <c r="C102" s="5" t="s">
        <v>1509</v>
      </c>
      <c r="D102" s="6" t="s">
        <v>1510</v>
      </c>
      <c r="E102" s="5" t="s">
        <v>1054</v>
      </c>
      <c r="F102" s="6" t="s">
        <v>1511</v>
      </c>
      <c r="G102" s="5" t="s">
        <v>420</v>
      </c>
      <c r="H102" s="6" t="s">
        <v>1512</v>
      </c>
      <c r="I102" s="6"/>
      <c r="J102" s="6" t="s">
        <v>1513</v>
      </c>
      <c r="K102" s="5" t="s">
        <v>847</v>
      </c>
    </row>
    <row r="103" customFormat="false" ht="48" hidden="false" customHeight="true" outlineLevel="0" collapsed="false">
      <c r="A103" s="7" t="s">
        <v>844</v>
      </c>
      <c r="B103" s="7" t="n">
        <v>2</v>
      </c>
      <c r="C103" s="7" t="s">
        <v>1514</v>
      </c>
      <c r="D103" s="8" t="s">
        <v>1515</v>
      </c>
      <c r="E103" s="7" t="s">
        <v>1516</v>
      </c>
      <c r="F103" s="8" t="s">
        <v>1517</v>
      </c>
      <c r="G103" s="7" t="s">
        <v>420</v>
      </c>
      <c r="H103" s="8" t="s">
        <v>1518</v>
      </c>
      <c r="I103" s="8" t="s">
        <v>1519</v>
      </c>
      <c r="J103" s="8"/>
      <c r="K103" s="7" t="s">
        <v>1520</v>
      </c>
    </row>
    <row r="104" customFormat="false" ht="48" hidden="false" customHeight="true" outlineLevel="0" collapsed="false">
      <c r="A104" s="5" t="s">
        <v>844</v>
      </c>
      <c r="B104" s="5" t="n">
        <v>3</v>
      </c>
      <c r="C104" s="5" t="s">
        <v>1521</v>
      </c>
      <c r="D104" s="6" t="s">
        <v>1522</v>
      </c>
      <c r="E104" s="5" t="s">
        <v>1523</v>
      </c>
      <c r="F104" s="6" t="s">
        <v>1524</v>
      </c>
      <c r="G104" s="5" t="s">
        <v>420</v>
      </c>
      <c r="H104" s="6" t="s">
        <v>1518</v>
      </c>
      <c r="I104" s="6"/>
      <c r="J104" s="6" t="s">
        <v>1525</v>
      </c>
      <c r="K104" s="5" t="s">
        <v>1526</v>
      </c>
    </row>
    <row r="105" customFormat="false" ht="48" hidden="false" customHeight="true" outlineLevel="0" collapsed="false">
      <c r="A105" s="7" t="s">
        <v>844</v>
      </c>
      <c r="B105" s="7" t="n">
        <v>4</v>
      </c>
      <c r="C105" s="7" t="s">
        <v>1527</v>
      </c>
      <c r="D105" s="8" t="s">
        <v>1528</v>
      </c>
      <c r="E105" s="7" t="s">
        <v>494</v>
      </c>
      <c r="F105" s="8" t="s">
        <v>1529</v>
      </c>
      <c r="G105" s="7" t="s">
        <v>494</v>
      </c>
      <c r="H105" s="8" t="s">
        <v>1530</v>
      </c>
      <c r="I105" s="8" t="s">
        <v>1531</v>
      </c>
      <c r="J105" s="8"/>
      <c r="K105" s="7" t="s">
        <v>1532</v>
      </c>
    </row>
    <row r="106" customFormat="false" ht="48" hidden="false" customHeight="true" outlineLevel="0" collapsed="false">
      <c r="A106" s="5" t="s">
        <v>848</v>
      </c>
      <c r="B106" s="5" t="n">
        <v>1</v>
      </c>
      <c r="C106" s="5" t="s">
        <v>1533</v>
      </c>
      <c r="D106" s="6" t="s">
        <v>1534</v>
      </c>
      <c r="E106" s="5" t="s">
        <v>1305</v>
      </c>
      <c r="F106" s="6" t="s">
        <v>1535</v>
      </c>
      <c r="G106" s="5" t="s">
        <v>420</v>
      </c>
      <c r="H106" s="6" t="s">
        <v>1536</v>
      </c>
      <c r="I106" s="6" t="s">
        <v>1537</v>
      </c>
      <c r="J106" s="6" t="s">
        <v>1538</v>
      </c>
      <c r="K106" s="5" t="s">
        <v>851</v>
      </c>
    </row>
    <row r="107" customFormat="false" ht="48" hidden="false" customHeight="true" outlineLevel="0" collapsed="false">
      <c r="A107" s="7" t="s">
        <v>848</v>
      </c>
      <c r="B107" s="7" t="n">
        <v>2</v>
      </c>
      <c r="C107" s="7" t="s">
        <v>1539</v>
      </c>
      <c r="D107" s="8" t="s">
        <v>1540</v>
      </c>
      <c r="E107" s="7" t="s">
        <v>1541</v>
      </c>
      <c r="F107" s="8" t="s">
        <v>1542</v>
      </c>
      <c r="G107" s="7" t="s">
        <v>420</v>
      </c>
      <c r="H107" s="8" t="s">
        <v>1543</v>
      </c>
      <c r="I107" s="8"/>
      <c r="J107" s="8"/>
      <c r="K107" s="7" t="s">
        <v>1544</v>
      </c>
    </row>
    <row r="108" customFormat="false" ht="48" hidden="false" customHeight="true" outlineLevel="0" collapsed="false">
      <c r="A108" s="5" t="s">
        <v>848</v>
      </c>
      <c r="B108" s="5" t="n">
        <v>3</v>
      </c>
      <c r="C108" s="5" t="s">
        <v>1545</v>
      </c>
      <c r="D108" s="6" t="s">
        <v>1546</v>
      </c>
      <c r="E108" s="5" t="s">
        <v>945</v>
      </c>
      <c r="F108" s="6" t="s">
        <v>1547</v>
      </c>
      <c r="G108" s="5" t="s">
        <v>422</v>
      </c>
      <c r="H108" s="6" t="s">
        <v>1548</v>
      </c>
      <c r="I108" s="6"/>
      <c r="J108" s="6" t="s">
        <v>1549</v>
      </c>
      <c r="K108" s="5" t="s">
        <v>1550</v>
      </c>
    </row>
    <row r="109" customFormat="false" ht="48" hidden="false" customHeight="true" outlineLevel="0" collapsed="false">
      <c r="A109" s="7" t="s">
        <v>848</v>
      </c>
      <c r="B109" s="7" t="n">
        <v>4</v>
      </c>
      <c r="C109" s="7" t="s">
        <v>1551</v>
      </c>
      <c r="D109" s="8" t="s">
        <v>1552</v>
      </c>
      <c r="E109" s="7" t="s">
        <v>945</v>
      </c>
      <c r="F109" s="8" t="s">
        <v>1553</v>
      </c>
      <c r="G109" s="7" t="s">
        <v>422</v>
      </c>
      <c r="H109" s="8" t="s">
        <v>1554</v>
      </c>
      <c r="I109" s="8" t="s">
        <v>1555</v>
      </c>
      <c r="J109" s="8" t="s">
        <v>1556</v>
      </c>
      <c r="K109" s="7" t="s">
        <v>1557</v>
      </c>
    </row>
    <row r="110" customFormat="false" ht="48" hidden="false" customHeight="true" outlineLevel="0" collapsed="false">
      <c r="A110" s="5" t="s">
        <v>852</v>
      </c>
      <c r="B110" s="5" t="n">
        <v>1</v>
      </c>
      <c r="C110" s="5" t="s">
        <v>1558</v>
      </c>
      <c r="D110" s="6" t="s">
        <v>1559</v>
      </c>
      <c r="E110" s="5" t="s">
        <v>1560</v>
      </c>
      <c r="F110" s="6" t="s">
        <v>1561</v>
      </c>
      <c r="G110" s="5" t="s">
        <v>1562</v>
      </c>
      <c r="H110" s="6" t="s">
        <v>1563</v>
      </c>
      <c r="I110" s="6" t="s">
        <v>1564</v>
      </c>
      <c r="J110" s="6" t="s">
        <v>1565</v>
      </c>
      <c r="K110" s="5" t="s">
        <v>1566</v>
      </c>
    </row>
    <row r="111" customFormat="false" ht="48" hidden="false" customHeight="true" outlineLevel="0" collapsed="false">
      <c r="A111" s="7" t="s">
        <v>852</v>
      </c>
      <c r="B111" s="7" t="n">
        <v>2</v>
      </c>
      <c r="C111" s="7" t="s">
        <v>1567</v>
      </c>
      <c r="D111" s="8" t="s">
        <v>1568</v>
      </c>
      <c r="E111" s="7" t="s">
        <v>468</v>
      </c>
      <c r="F111" s="8" t="s">
        <v>1569</v>
      </c>
      <c r="G111" s="7" t="s">
        <v>1570</v>
      </c>
      <c r="H111" s="8" t="s">
        <v>1571</v>
      </c>
      <c r="I111" s="8"/>
      <c r="J111" s="8" t="s">
        <v>1572</v>
      </c>
      <c r="K111" s="7" t="s">
        <v>1573</v>
      </c>
    </row>
    <row r="112" customFormat="false" ht="48" hidden="false" customHeight="true" outlineLevel="0" collapsed="false">
      <c r="A112" s="5" t="s">
        <v>852</v>
      </c>
      <c r="B112" s="5" t="n">
        <v>3</v>
      </c>
      <c r="C112" s="5" t="s">
        <v>1574</v>
      </c>
      <c r="D112" s="6" t="s">
        <v>1575</v>
      </c>
      <c r="E112" s="5" t="s">
        <v>468</v>
      </c>
      <c r="F112" s="6" t="s">
        <v>1576</v>
      </c>
      <c r="G112" s="5" t="s">
        <v>1570</v>
      </c>
      <c r="H112" s="6" t="s">
        <v>1577</v>
      </c>
      <c r="I112" s="6"/>
      <c r="J112" s="6"/>
      <c r="K112" s="5" t="s">
        <v>1578</v>
      </c>
    </row>
    <row r="113" customFormat="false" ht="48" hidden="false" customHeight="true" outlineLevel="0" collapsed="false">
      <c r="A113" s="7" t="s">
        <v>852</v>
      </c>
      <c r="B113" s="7" t="n">
        <v>4</v>
      </c>
      <c r="C113" s="7" t="s">
        <v>1579</v>
      </c>
      <c r="D113" s="8" t="s">
        <v>1580</v>
      </c>
      <c r="E113" s="7" t="s">
        <v>468</v>
      </c>
      <c r="F113" s="8" t="s">
        <v>1581</v>
      </c>
      <c r="G113" s="7" t="s">
        <v>1562</v>
      </c>
      <c r="H113" s="8" t="s">
        <v>1582</v>
      </c>
      <c r="I113" s="8" t="s">
        <v>1583</v>
      </c>
      <c r="J113" s="8" t="s">
        <v>1584</v>
      </c>
      <c r="K113" s="7" t="s">
        <v>1585</v>
      </c>
    </row>
    <row r="114" customFormat="false" ht="48" hidden="false" customHeight="true" outlineLevel="0" collapsed="false">
      <c r="A114" s="5" t="s">
        <v>852</v>
      </c>
      <c r="B114" s="5" t="n">
        <v>5</v>
      </c>
      <c r="C114" s="5" t="s">
        <v>1586</v>
      </c>
      <c r="D114" s="6" t="s">
        <v>1587</v>
      </c>
      <c r="E114" s="5" t="s">
        <v>468</v>
      </c>
      <c r="F114" s="6" t="s">
        <v>1588</v>
      </c>
      <c r="G114" s="5" t="s">
        <v>1562</v>
      </c>
      <c r="H114" s="6" t="s">
        <v>1589</v>
      </c>
      <c r="I114" s="6" t="s">
        <v>1590</v>
      </c>
      <c r="J114" s="6" t="s">
        <v>1591</v>
      </c>
      <c r="K114" s="5" t="s">
        <v>1592</v>
      </c>
    </row>
    <row r="115" customFormat="false" ht="48" hidden="false" customHeight="true" outlineLevel="0" collapsed="false">
      <c r="A115" s="7" t="s">
        <v>852</v>
      </c>
      <c r="B115" s="7" t="n">
        <v>6</v>
      </c>
      <c r="C115" s="7" t="s">
        <v>1593</v>
      </c>
      <c r="D115" s="8" t="s">
        <v>1594</v>
      </c>
      <c r="E115" s="7" t="s">
        <v>1595</v>
      </c>
      <c r="F115" s="8" t="s">
        <v>1596</v>
      </c>
      <c r="G115" s="7" t="s">
        <v>1570</v>
      </c>
      <c r="H115" s="8" t="s">
        <v>1597</v>
      </c>
      <c r="I115" s="8"/>
      <c r="J115" s="8" t="s">
        <v>1598</v>
      </c>
      <c r="K115" s="7" t="s">
        <v>1599</v>
      </c>
    </row>
    <row r="116" customFormat="false" ht="48" hidden="false" customHeight="true" outlineLevel="0" collapsed="false">
      <c r="A116" s="5" t="s">
        <v>852</v>
      </c>
      <c r="B116" s="5" t="n">
        <v>7</v>
      </c>
      <c r="C116" s="5" t="s">
        <v>1600</v>
      </c>
      <c r="D116" s="6" t="s">
        <v>1601</v>
      </c>
      <c r="E116" s="5" t="s">
        <v>468</v>
      </c>
      <c r="F116" s="6" t="s">
        <v>1602</v>
      </c>
      <c r="G116" s="5" t="s">
        <v>1570</v>
      </c>
      <c r="H116" s="6" t="s">
        <v>1603</v>
      </c>
      <c r="I116" s="6" t="s">
        <v>1604</v>
      </c>
      <c r="J116" s="6" t="s">
        <v>1605</v>
      </c>
      <c r="K116" s="5" t="s">
        <v>1606</v>
      </c>
    </row>
    <row r="117" customFormat="false" ht="48" hidden="false" customHeight="true" outlineLevel="0" collapsed="false">
      <c r="A117" s="7" t="s">
        <v>852</v>
      </c>
      <c r="B117" s="7" t="n">
        <v>8</v>
      </c>
      <c r="C117" s="7" t="s">
        <v>1607</v>
      </c>
      <c r="D117" s="8" t="s">
        <v>1608</v>
      </c>
      <c r="E117" s="7" t="s">
        <v>468</v>
      </c>
      <c r="F117" s="8" t="s">
        <v>1609</v>
      </c>
      <c r="G117" s="7" t="s">
        <v>1570</v>
      </c>
      <c r="H117" s="8" t="s">
        <v>1610</v>
      </c>
      <c r="I117" s="8"/>
      <c r="J117" s="8"/>
      <c r="K117" s="7" t="s">
        <v>1611</v>
      </c>
    </row>
    <row r="118" customFormat="false" ht="48" hidden="false" customHeight="true" outlineLevel="0" collapsed="false">
      <c r="A118" s="5" t="s">
        <v>852</v>
      </c>
      <c r="B118" s="5" t="n">
        <v>9</v>
      </c>
      <c r="C118" s="5" t="s">
        <v>1612</v>
      </c>
      <c r="D118" s="6" t="s">
        <v>1613</v>
      </c>
      <c r="E118" s="5" t="s">
        <v>468</v>
      </c>
      <c r="F118" s="6" t="s">
        <v>1614</v>
      </c>
      <c r="G118" s="5" t="s">
        <v>1570</v>
      </c>
      <c r="H118" s="6" t="s">
        <v>1615</v>
      </c>
      <c r="I118" s="6"/>
      <c r="J118" s="6"/>
      <c r="K118" s="5" t="s">
        <v>811</v>
      </c>
    </row>
    <row r="119" customFormat="false" ht="48" hidden="false" customHeight="true" outlineLevel="0" collapsed="false">
      <c r="A119" s="7" t="s">
        <v>857</v>
      </c>
      <c r="B119" s="7" t="n">
        <v>1</v>
      </c>
      <c r="C119" s="7" t="s">
        <v>1616</v>
      </c>
      <c r="D119" s="8" t="s">
        <v>1617</v>
      </c>
      <c r="E119" s="7" t="s">
        <v>1305</v>
      </c>
      <c r="F119" s="8" t="s">
        <v>1618</v>
      </c>
      <c r="G119" s="7" t="s">
        <v>420</v>
      </c>
      <c r="H119" s="8"/>
      <c r="I119" s="8" t="s">
        <v>1619</v>
      </c>
      <c r="J119" s="8" t="s">
        <v>1620</v>
      </c>
      <c r="K119" s="7" t="s">
        <v>1621</v>
      </c>
    </row>
    <row r="120" customFormat="false" ht="48" hidden="false" customHeight="true" outlineLevel="0" collapsed="false">
      <c r="A120" s="5" t="s">
        <v>857</v>
      </c>
      <c r="B120" s="5" t="n">
        <v>2</v>
      </c>
      <c r="C120" s="5" t="s">
        <v>1622</v>
      </c>
      <c r="D120" s="6" t="s">
        <v>1623</v>
      </c>
      <c r="E120" s="5" t="s">
        <v>1115</v>
      </c>
      <c r="F120" s="6" t="s">
        <v>1624</v>
      </c>
      <c r="G120" s="5" t="s">
        <v>420</v>
      </c>
      <c r="H120" s="6" t="s">
        <v>1625</v>
      </c>
      <c r="I120" s="6"/>
      <c r="J120" s="6"/>
      <c r="K120" s="5" t="s">
        <v>1626</v>
      </c>
    </row>
    <row r="121" customFormat="false" ht="48" hidden="false" customHeight="true" outlineLevel="0" collapsed="false">
      <c r="A121" s="7" t="s">
        <v>857</v>
      </c>
      <c r="B121" s="7" t="n">
        <v>3</v>
      </c>
      <c r="C121" s="7" t="s">
        <v>1627</v>
      </c>
      <c r="D121" s="8" t="s">
        <v>1628</v>
      </c>
      <c r="E121" s="7" t="s">
        <v>1115</v>
      </c>
      <c r="F121" s="8" t="s">
        <v>1629</v>
      </c>
      <c r="G121" s="7" t="s">
        <v>420</v>
      </c>
      <c r="H121" s="8" t="s">
        <v>1625</v>
      </c>
      <c r="I121" s="8"/>
      <c r="J121" s="8"/>
      <c r="K121" s="7" t="s">
        <v>1630</v>
      </c>
    </row>
    <row r="122" customFormat="false" ht="48" hidden="false" customHeight="true" outlineLevel="0" collapsed="false">
      <c r="A122" s="5" t="s">
        <v>857</v>
      </c>
      <c r="B122" s="5" t="n">
        <v>4</v>
      </c>
      <c r="C122" s="5" t="s">
        <v>1631</v>
      </c>
      <c r="D122" s="6" t="s">
        <v>1632</v>
      </c>
      <c r="E122" s="5" t="s">
        <v>1054</v>
      </c>
      <c r="F122" s="6" t="s">
        <v>1633</v>
      </c>
      <c r="G122" s="5" t="s">
        <v>420</v>
      </c>
      <c r="H122" s="6" t="s">
        <v>1634</v>
      </c>
      <c r="I122" s="6"/>
      <c r="J122" s="6"/>
      <c r="K122" s="5" t="s">
        <v>1635</v>
      </c>
    </row>
    <row r="123" customFormat="false" ht="48" hidden="false" customHeight="true" outlineLevel="0" collapsed="false">
      <c r="A123" s="7" t="s">
        <v>857</v>
      </c>
      <c r="B123" s="7" t="n">
        <v>5</v>
      </c>
      <c r="C123" s="7" t="s">
        <v>1636</v>
      </c>
      <c r="D123" s="8" t="s">
        <v>1637</v>
      </c>
      <c r="E123" s="7" t="s">
        <v>1638</v>
      </c>
      <c r="F123" s="8" t="s">
        <v>1639</v>
      </c>
      <c r="G123" s="7" t="s">
        <v>420</v>
      </c>
      <c r="H123" s="8" t="s">
        <v>1640</v>
      </c>
      <c r="I123" s="8" t="s">
        <v>1641</v>
      </c>
      <c r="J123" s="8" t="s">
        <v>1642</v>
      </c>
      <c r="K123" s="7" t="s">
        <v>1643</v>
      </c>
    </row>
    <row r="124" customFormat="false" ht="48" hidden="false" customHeight="true" outlineLevel="0" collapsed="false">
      <c r="A124" s="5" t="s">
        <v>857</v>
      </c>
      <c r="B124" s="5" t="n">
        <v>6</v>
      </c>
      <c r="C124" s="5" t="s">
        <v>1644</v>
      </c>
      <c r="D124" s="6" t="s">
        <v>1645</v>
      </c>
      <c r="E124" s="5" t="s">
        <v>1371</v>
      </c>
      <c r="F124" s="6" t="s">
        <v>1646</v>
      </c>
      <c r="G124" s="5" t="s">
        <v>420</v>
      </c>
      <c r="H124" s="6" t="s">
        <v>1383</v>
      </c>
      <c r="I124" s="6"/>
      <c r="J124" s="6"/>
      <c r="K124" s="5" t="s">
        <v>1647</v>
      </c>
    </row>
    <row r="125" customFormat="false" ht="48" hidden="false" customHeight="true" outlineLevel="0" collapsed="false">
      <c r="A125" s="7" t="s">
        <v>857</v>
      </c>
      <c r="B125" s="7" t="n">
        <v>7</v>
      </c>
      <c r="C125" s="7" t="s">
        <v>1648</v>
      </c>
      <c r="D125" s="8" t="s">
        <v>1649</v>
      </c>
      <c r="E125" s="7" t="s">
        <v>1371</v>
      </c>
      <c r="F125" s="8" t="s">
        <v>1406</v>
      </c>
      <c r="G125" s="7" t="s">
        <v>422</v>
      </c>
      <c r="H125" s="8" t="s">
        <v>1650</v>
      </c>
      <c r="I125" s="8"/>
      <c r="J125" s="8" t="s">
        <v>1651</v>
      </c>
      <c r="K125" s="7" t="s">
        <v>1652</v>
      </c>
    </row>
    <row r="126" customFormat="false" ht="48" hidden="false" customHeight="true" outlineLevel="0" collapsed="false">
      <c r="A126" s="5" t="s">
        <v>857</v>
      </c>
      <c r="B126" s="5" t="n">
        <v>8</v>
      </c>
      <c r="C126" s="5" t="s">
        <v>1653</v>
      </c>
      <c r="D126" s="6" t="s">
        <v>1654</v>
      </c>
      <c r="E126" s="5" t="s">
        <v>494</v>
      </c>
      <c r="F126" s="6" t="s">
        <v>1655</v>
      </c>
      <c r="G126" s="5" t="s">
        <v>494</v>
      </c>
      <c r="H126" s="6" t="s">
        <v>1656</v>
      </c>
      <c r="I126" s="6" t="s">
        <v>1657</v>
      </c>
      <c r="J126" s="6"/>
      <c r="K126" s="5" t="s">
        <v>1658</v>
      </c>
    </row>
    <row r="127" customFormat="false" ht="48" hidden="false" customHeight="true" outlineLevel="0" collapsed="false">
      <c r="A127" s="7" t="s">
        <v>861</v>
      </c>
      <c r="B127" s="7" t="n">
        <v>1</v>
      </c>
      <c r="C127" s="7" t="s">
        <v>1659</v>
      </c>
      <c r="D127" s="8" t="s">
        <v>1660</v>
      </c>
      <c r="E127" s="7" t="s">
        <v>494</v>
      </c>
      <c r="F127" s="8" t="s">
        <v>1661</v>
      </c>
      <c r="G127" s="7" t="s">
        <v>494</v>
      </c>
      <c r="H127" s="8" t="s">
        <v>1662</v>
      </c>
      <c r="I127" s="8"/>
      <c r="J127" s="8" t="s">
        <v>1663</v>
      </c>
      <c r="K127" s="7" t="s">
        <v>1664</v>
      </c>
    </row>
    <row r="128" customFormat="false" ht="48" hidden="false" customHeight="true" outlineLevel="0" collapsed="false">
      <c r="A128" s="5" t="s">
        <v>861</v>
      </c>
      <c r="B128" s="5" t="n">
        <v>2</v>
      </c>
      <c r="C128" s="5" t="s">
        <v>1665</v>
      </c>
      <c r="D128" s="6" t="s">
        <v>1666</v>
      </c>
      <c r="E128" s="5" t="s">
        <v>945</v>
      </c>
      <c r="F128" s="6" t="s">
        <v>1667</v>
      </c>
      <c r="G128" s="5" t="s">
        <v>422</v>
      </c>
      <c r="H128" s="6" t="s">
        <v>1668</v>
      </c>
      <c r="I128" s="6"/>
      <c r="J128" s="6"/>
      <c r="K128" s="5" t="s">
        <v>1669</v>
      </c>
    </row>
    <row r="129" customFormat="false" ht="48" hidden="false" customHeight="true" outlineLevel="0" collapsed="false">
      <c r="A129" s="7" t="s">
        <v>861</v>
      </c>
      <c r="B129" s="7" t="n">
        <v>3</v>
      </c>
      <c r="C129" s="7" t="s">
        <v>1670</v>
      </c>
      <c r="D129" s="8" t="s">
        <v>1671</v>
      </c>
      <c r="E129" s="7" t="s">
        <v>1305</v>
      </c>
      <c r="F129" s="8" t="s">
        <v>1672</v>
      </c>
      <c r="G129" s="7" t="s">
        <v>1562</v>
      </c>
      <c r="H129" s="8" t="s">
        <v>1673</v>
      </c>
      <c r="I129" s="8"/>
      <c r="J129" s="8" t="s">
        <v>1674</v>
      </c>
      <c r="K129" s="7" t="s">
        <v>1675</v>
      </c>
    </row>
    <row r="130" customFormat="false" ht="48" hidden="false" customHeight="true" outlineLevel="0" collapsed="false">
      <c r="A130" s="5" t="s">
        <v>861</v>
      </c>
      <c r="B130" s="5" t="n">
        <v>4</v>
      </c>
      <c r="C130" s="5" t="s">
        <v>1676</v>
      </c>
      <c r="D130" s="6" t="s">
        <v>1677</v>
      </c>
      <c r="E130" s="5" t="s">
        <v>468</v>
      </c>
      <c r="F130" s="6" t="s">
        <v>1678</v>
      </c>
      <c r="G130" s="5" t="s">
        <v>1562</v>
      </c>
      <c r="H130" s="6" t="s">
        <v>1679</v>
      </c>
      <c r="I130" s="6"/>
      <c r="J130" s="6"/>
      <c r="K130" s="5" t="s">
        <v>1680</v>
      </c>
    </row>
    <row r="131" customFormat="false" ht="48" hidden="false" customHeight="true" outlineLevel="0" collapsed="false">
      <c r="A131" s="7" t="s">
        <v>861</v>
      </c>
      <c r="B131" s="7" t="n">
        <v>5</v>
      </c>
      <c r="C131" s="7" t="s">
        <v>1681</v>
      </c>
      <c r="D131" s="8" t="s">
        <v>1682</v>
      </c>
      <c r="E131" s="7" t="s">
        <v>945</v>
      </c>
      <c r="F131" s="8" t="s">
        <v>1683</v>
      </c>
      <c r="G131" s="7" t="s">
        <v>422</v>
      </c>
      <c r="H131" s="8" t="s">
        <v>1684</v>
      </c>
      <c r="I131" s="8"/>
      <c r="J131" s="8" t="s">
        <v>1685</v>
      </c>
      <c r="K131" s="7" t="s">
        <v>1686</v>
      </c>
    </row>
  </sheetData>
  <autoFilter ref="A5:K131"/>
  <mergeCells count="3">
    <mergeCell ref="A1:K1"/>
    <mergeCell ref="A2:K2"/>
    <mergeCell ref="A3:K3"/>
  </mergeCells>
  <conditionalFormatting sqref="G6:G132">
    <cfRule type="cellIs" priority="2" operator="equal" aboveAverage="0" equalAverage="0" bottom="0" percent="0" rank="0" text="" dxfId="15">
      <formula>"Yes"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2"/>
    <col collapsed="false" customWidth="true" hidden="false" outlineLevel="0" max="3" min="3" style="0" width="50"/>
    <col collapsed="false" customWidth="true" hidden="false" outlineLevel="0" max="4" min="4" style="0" width="86"/>
  </cols>
  <sheetData>
    <row r="1" customFormat="false" ht="19.5" hidden="false" customHeight="true" outlineLevel="0" collapsed="false">
      <c r="A1" s="21" t="s">
        <v>782</v>
      </c>
      <c r="B1" s="21"/>
      <c r="C1" s="21"/>
      <c r="D1" s="21"/>
    </row>
    <row r="2" customFormat="false" ht="27.75" hidden="false" customHeight="true" outlineLevel="0" collapsed="false">
      <c r="A2" s="22" t="s">
        <v>1687</v>
      </c>
      <c r="B2" s="22"/>
      <c r="C2" s="22"/>
      <c r="D2" s="22"/>
    </row>
    <row r="3" customFormat="false" ht="30" hidden="false" customHeight="true" outlineLevel="0" collapsed="false">
      <c r="A3" s="23" t="s">
        <v>1688</v>
      </c>
      <c r="B3" s="23"/>
      <c r="C3" s="23"/>
      <c r="D3" s="23"/>
    </row>
    <row r="4" customFormat="false" ht="6" hidden="false" customHeight="true" outlineLevel="0" collapsed="false"/>
    <row r="5" customFormat="false" ht="30" hidden="false" customHeight="true" outlineLevel="0" collapsed="false">
      <c r="A5" s="24" t="s">
        <v>23</v>
      </c>
      <c r="B5" s="24" t="s">
        <v>289</v>
      </c>
      <c r="C5" s="24" t="s">
        <v>1689</v>
      </c>
      <c r="D5" s="24" t="s">
        <v>1690</v>
      </c>
    </row>
    <row r="6" customFormat="false" ht="42" hidden="false" customHeight="true" outlineLevel="0" collapsed="false">
      <c r="A6" s="5" t="s">
        <v>1691</v>
      </c>
      <c r="B6" s="6" t="s">
        <v>1692</v>
      </c>
      <c r="C6" s="6" t="s">
        <v>1693</v>
      </c>
      <c r="D6" s="6" t="s">
        <v>1694</v>
      </c>
    </row>
    <row r="7" customFormat="false" ht="42" hidden="false" customHeight="true" outlineLevel="0" collapsed="false">
      <c r="A7" s="7" t="s">
        <v>1695</v>
      </c>
      <c r="B7" s="8" t="s">
        <v>1696</v>
      </c>
      <c r="C7" s="8" t="s">
        <v>1697</v>
      </c>
      <c r="D7" s="8" t="s">
        <v>1698</v>
      </c>
    </row>
    <row r="8" customFormat="false" ht="42" hidden="false" customHeight="true" outlineLevel="0" collapsed="false">
      <c r="A8" s="5" t="s">
        <v>1699</v>
      </c>
      <c r="B8" s="6" t="s">
        <v>1700</v>
      </c>
      <c r="C8" s="6" t="s">
        <v>1701</v>
      </c>
      <c r="D8" s="6" t="s">
        <v>1702</v>
      </c>
    </row>
    <row r="9" customFormat="false" ht="42" hidden="false" customHeight="true" outlineLevel="0" collapsed="false">
      <c r="A9" s="7" t="s">
        <v>1703</v>
      </c>
      <c r="B9" s="8" t="s">
        <v>1704</v>
      </c>
      <c r="C9" s="8" t="s">
        <v>1705</v>
      </c>
      <c r="D9" s="8" t="s">
        <v>1706</v>
      </c>
    </row>
    <row r="10" customFormat="false" ht="42" hidden="false" customHeight="true" outlineLevel="0" collapsed="false">
      <c r="A10" s="5" t="s">
        <v>1707</v>
      </c>
      <c r="B10" s="6" t="s">
        <v>1708</v>
      </c>
      <c r="C10" s="6" t="s">
        <v>1709</v>
      </c>
      <c r="D10" s="6" t="s">
        <v>1710</v>
      </c>
    </row>
    <row r="11" customFormat="false" ht="42" hidden="false" customHeight="true" outlineLevel="0" collapsed="false">
      <c r="A11" s="7" t="s">
        <v>1711</v>
      </c>
      <c r="B11" s="8" t="s">
        <v>1712</v>
      </c>
      <c r="C11" s="8" t="s">
        <v>1713</v>
      </c>
      <c r="D11" s="8" t="s">
        <v>1714</v>
      </c>
    </row>
    <row r="12" customFormat="false" ht="42" hidden="false" customHeight="true" outlineLevel="0" collapsed="false">
      <c r="A12" s="5" t="s">
        <v>1715</v>
      </c>
      <c r="B12" s="6" t="s">
        <v>1716</v>
      </c>
      <c r="C12" s="6" t="s">
        <v>1717</v>
      </c>
      <c r="D12" s="6" t="s">
        <v>1718</v>
      </c>
    </row>
    <row r="13" customFormat="false" ht="42" hidden="false" customHeight="true" outlineLevel="0" collapsed="false">
      <c r="A13" s="7" t="s">
        <v>1719</v>
      </c>
      <c r="B13" s="8" t="s">
        <v>1720</v>
      </c>
      <c r="C13" s="8" t="s">
        <v>1721</v>
      </c>
      <c r="D13" s="8" t="s">
        <v>1722</v>
      </c>
    </row>
    <row r="14" customFormat="false" ht="42" hidden="false" customHeight="true" outlineLevel="0" collapsed="false">
      <c r="A14" s="5" t="s">
        <v>1723</v>
      </c>
      <c r="B14" s="6" t="s">
        <v>1724</v>
      </c>
      <c r="C14" s="6" t="s">
        <v>1725</v>
      </c>
      <c r="D14" s="6" t="s">
        <v>1726</v>
      </c>
    </row>
    <row r="15" customFormat="false" ht="42" hidden="false" customHeight="true" outlineLevel="0" collapsed="false">
      <c r="A15" s="7" t="s">
        <v>1727</v>
      </c>
      <c r="B15" s="8" t="s">
        <v>1728</v>
      </c>
      <c r="C15" s="8" t="s">
        <v>1729</v>
      </c>
      <c r="D15" s="8" t="s">
        <v>1730</v>
      </c>
    </row>
    <row r="16" customFormat="false" ht="42" hidden="false" customHeight="true" outlineLevel="0" collapsed="false">
      <c r="A16" s="5" t="s">
        <v>1731</v>
      </c>
      <c r="B16" s="6" t="s">
        <v>1732</v>
      </c>
      <c r="C16" s="6" t="s">
        <v>1733</v>
      </c>
      <c r="D16" s="6" t="s">
        <v>1734</v>
      </c>
    </row>
    <row r="17" customFormat="false" ht="42" hidden="false" customHeight="true" outlineLevel="0" collapsed="false">
      <c r="A17" s="7" t="s">
        <v>1735</v>
      </c>
      <c r="B17" s="8" t="s">
        <v>1736</v>
      </c>
      <c r="C17" s="8" t="s">
        <v>1737</v>
      </c>
      <c r="D17" s="8" t="s">
        <v>1738</v>
      </c>
    </row>
  </sheetData>
  <autoFilter ref="A5:D17"/>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26"/>
    <col collapsed="false" customWidth="true" hidden="false" outlineLevel="0" max="4" min="4" style="0" width="50"/>
    <col collapsed="false" customWidth="true" hidden="false" outlineLevel="0" max="5" min="5" style="0" width="58"/>
    <col collapsed="false" customWidth="true" hidden="false" outlineLevel="0" max="6" min="6" style="0" width="54"/>
  </cols>
  <sheetData>
    <row r="1" customFormat="false" ht="19.5" hidden="false" customHeight="true" outlineLevel="0" collapsed="false">
      <c r="A1" s="21" t="s">
        <v>782</v>
      </c>
      <c r="B1" s="21"/>
      <c r="C1" s="21"/>
      <c r="D1" s="21"/>
      <c r="E1" s="21"/>
      <c r="F1" s="21"/>
    </row>
    <row r="2" customFormat="false" ht="27.75" hidden="false" customHeight="true" outlineLevel="0" collapsed="false">
      <c r="A2" s="22" t="s">
        <v>1739</v>
      </c>
      <c r="B2" s="22"/>
      <c r="C2" s="22"/>
      <c r="D2" s="22"/>
      <c r="E2" s="22"/>
      <c r="F2" s="22"/>
    </row>
    <row r="3" customFormat="false" ht="30" hidden="false" customHeight="true" outlineLevel="0" collapsed="false">
      <c r="A3" s="23" t="s">
        <v>1740</v>
      </c>
      <c r="B3" s="23"/>
      <c r="C3" s="23"/>
      <c r="D3" s="23"/>
      <c r="E3" s="23"/>
      <c r="F3" s="23"/>
    </row>
    <row r="4" customFormat="false" ht="6" hidden="false" customHeight="true" outlineLevel="0" collapsed="false"/>
    <row r="5" customFormat="false" ht="30" hidden="false" customHeight="true" outlineLevel="0" collapsed="false">
      <c r="A5" s="24" t="s">
        <v>1741</v>
      </c>
      <c r="B5" s="24" t="s">
        <v>1742</v>
      </c>
      <c r="C5" s="24" t="s">
        <v>1743</v>
      </c>
      <c r="D5" s="24" t="s">
        <v>1744</v>
      </c>
      <c r="E5" s="24" t="s">
        <v>1745</v>
      </c>
      <c r="F5" s="24" t="s">
        <v>23</v>
      </c>
    </row>
    <row r="6" customFormat="false" ht="33.75" hidden="false" customHeight="true" outlineLevel="0" collapsed="false">
      <c r="A6" s="5" t="s">
        <v>1746</v>
      </c>
      <c r="B6" s="5" t="s">
        <v>1747</v>
      </c>
      <c r="C6" s="5" t="s">
        <v>1748</v>
      </c>
      <c r="D6" s="6" t="s">
        <v>1749</v>
      </c>
      <c r="E6" s="6" t="s">
        <v>1750</v>
      </c>
      <c r="F6" s="6" t="s">
        <v>1751</v>
      </c>
    </row>
    <row r="7" customFormat="false" ht="33.75" hidden="false" customHeight="true" outlineLevel="0" collapsed="false">
      <c r="A7" s="7" t="s">
        <v>1752</v>
      </c>
      <c r="B7" s="7" t="s">
        <v>1753</v>
      </c>
      <c r="C7" s="7" t="s">
        <v>1748</v>
      </c>
      <c r="D7" s="8" t="s">
        <v>1754</v>
      </c>
      <c r="E7" s="8" t="s">
        <v>1755</v>
      </c>
      <c r="F7" s="8" t="s">
        <v>1756</v>
      </c>
    </row>
    <row r="8" customFormat="false" ht="33.75" hidden="false" customHeight="true" outlineLevel="0" collapsed="false">
      <c r="A8" s="5" t="s">
        <v>1757</v>
      </c>
      <c r="B8" s="5" t="s">
        <v>1758</v>
      </c>
      <c r="C8" s="5" t="s">
        <v>1759</v>
      </c>
      <c r="D8" s="6" t="s">
        <v>1760</v>
      </c>
      <c r="E8" s="6" t="s">
        <v>1761</v>
      </c>
      <c r="F8" s="6" t="s">
        <v>1762</v>
      </c>
    </row>
    <row r="9" customFormat="false" ht="33.75" hidden="false" customHeight="true" outlineLevel="0" collapsed="false">
      <c r="A9" s="7" t="s">
        <v>1763</v>
      </c>
      <c r="B9" s="7" t="s">
        <v>1758</v>
      </c>
      <c r="C9" s="7" t="s">
        <v>1759</v>
      </c>
      <c r="D9" s="8" t="s">
        <v>1760</v>
      </c>
      <c r="E9" s="8" t="s">
        <v>1764</v>
      </c>
      <c r="F9" s="8" t="s">
        <v>1765</v>
      </c>
    </row>
    <row r="10" customFormat="false" ht="33.75" hidden="false" customHeight="true" outlineLevel="0" collapsed="false">
      <c r="A10" s="5" t="s">
        <v>1766</v>
      </c>
      <c r="B10" s="5" t="s">
        <v>1767</v>
      </c>
      <c r="C10" s="5" t="s">
        <v>1768</v>
      </c>
      <c r="D10" s="6" t="s">
        <v>1769</v>
      </c>
      <c r="E10" s="6" t="s">
        <v>1770</v>
      </c>
      <c r="F10" s="6" t="s">
        <v>1771</v>
      </c>
    </row>
    <row r="11" customFormat="false" ht="33.75" hidden="false" customHeight="true" outlineLevel="0" collapsed="false">
      <c r="A11" s="7" t="s">
        <v>1772</v>
      </c>
      <c r="B11" s="7" t="s">
        <v>1767</v>
      </c>
      <c r="C11" s="7" t="s">
        <v>1773</v>
      </c>
      <c r="D11" s="8" t="s">
        <v>1774</v>
      </c>
      <c r="E11" s="8" t="s">
        <v>1775</v>
      </c>
      <c r="F11" s="8" t="s">
        <v>1776</v>
      </c>
    </row>
    <row r="12" customFormat="false" ht="33.75" hidden="false" customHeight="true" outlineLevel="0" collapsed="false">
      <c r="A12" s="5" t="s">
        <v>1777</v>
      </c>
      <c r="B12" s="5" t="s">
        <v>1767</v>
      </c>
      <c r="C12" s="5" t="s">
        <v>1748</v>
      </c>
      <c r="D12" s="6" t="s">
        <v>1778</v>
      </c>
      <c r="E12" s="6" t="s">
        <v>1779</v>
      </c>
      <c r="F12" s="6" t="s">
        <v>1780</v>
      </c>
    </row>
    <row r="13" customFormat="false" ht="33.75" hidden="false" customHeight="true" outlineLevel="0" collapsed="false">
      <c r="A13" s="7" t="s">
        <v>1781</v>
      </c>
      <c r="B13" s="7" t="s">
        <v>1782</v>
      </c>
      <c r="C13" s="7" t="s">
        <v>1748</v>
      </c>
      <c r="D13" s="8" t="s">
        <v>1783</v>
      </c>
      <c r="E13" s="8" t="s">
        <v>1784</v>
      </c>
      <c r="F13" s="8" t="s">
        <v>1785</v>
      </c>
    </row>
    <row r="14" customFormat="false" ht="33.75" hidden="false" customHeight="true" outlineLevel="0" collapsed="false">
      <c r="A14" s="5" t="s">
        <v>1786</v>
      </c>
      <c r="B14" s="5" t="s">
        <v>1787</v>
      </c>
      <c r="C14" s="5" t="s">
        <v>1788</v>
      </c>
      <c r="D14" s="6" t="s">
        <v>1789</v>
      </c>
      <c r="E14" s="6" t="s">
        <v>1790</v>
      </c>
      <c r="F14" s="6" t="s">
        <v>1791</v>
      </c>
    </row>
    <row r="15" customFormat="false" ht="33.75" hidden="false" customHeight="true" outlineLevel="0" collapsed="false">
      <c r="A15" s="7" t="s">
        <v>1792</v>
      </c>
      <c r="B15" s="7" t="s">
        <v>1793</v>
      </c>
      <c r="C15" s="7" t="s">
        <v>1788</v>
      </c>
      <c r="D15" s="8" t="s">
        <v>1794</v>
      </c>
      <c r="E15" s="8" t="s">
        <v>1795</v>
      </c>
      <c r="F15" s="8" t="s">
        <v>1796</v>
      </c>
    </row>
    <row r="16" customFormat="false" ht="33.75" hidden="false" customHeight="true" outlineLevel="0" collapsed="false">
      <c r="A16" s="5" t="s">
        <v>1797</v>
      </c>
      <c r="B16" s="5" t="s">
        <v>1753</v>
      </c>
      <c r="C16" s="5" t="s">
        <v>1759</v>
      </c>
      <c r="D16" s="6" t="s">
        <v>1798</v>
      </c>
      <c r="E16" s="6" t="s">
        <v>1799</v>
      </c>
      <c r="F16" s="6" t="s">
        <v>1800</v>
      </c>
    </row>
    <row r="17" customFormat="false" ht="33.75" hidden="false" customHeight="true" outlineLevel="0" collapsed="false">
      <c r="A17" s="7" t="s">
        <v>1801</v>
      </c>
      <c r="B17" s="7" t="s">
        <v>1753</v>
      </c>
      <c r="C17" s="7" t="s">
        <v>1802</v>
      </c>
      <c r="D17" s="8" t="s">
        <v>1803</v>
      </c>
      <c r="E17" s="8" t="s">
        <v>1804</v>
      </c>
      <c r="F17" s="8" t="s">
        <v>1805</v>
      </c>
    </row>
  </sheetData>
  <autoFilter ref="A5:F17"/>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4" min="3" style="0" width="18"/>
    <col collapsed="false" customWidth="true" hidden="false" outlineLevel="0" max="5" min="5" style="0" width="32"/>
    <col collapsed="false" customWidth="true" hidden="false" outlineLevel="0" max="6" min="6" style="0" width="60"/>
  </cols>
  <sheetData>
    <row r="1" customFormat="false" ht="19.5" hidden="false" customHeight="true" outlineLevel="0" collapsed="false">
      <c r="A1" s="21" t="s">
        <v>782</v>
      </c>
      <c r="B1" s="21"/>
      <c r="C1" s="21"/>
      <c r="D1" s="21"/>
      <c r="E1" s="21"/>
      <c r="F1" s="21"/>
    </row>
    <row r="2" customFormat="false" ht="27.75" hidden="false" customHeight="true" outlineLevel="0" collapsed="false">
      <c r="A2" s="22" t="s">
        <v>1806</v>
      </c>
      <c r="B2" s="22"/>
      <c r="C2" s="22"/>
      <c r="D2" s="22"/>
      <c r="E2" s="22"/>
      <c r="F2" s="22"/>
    </row>
    <row r="3" customFormat="false" ht="30" hidden="false" customHeight="true" outlineLevel="0" collapsed="false">
      <c r="A3" s="23" t="s">
        <v>1807</v>
      </c>
      <c r="B3" s="23"/>
      <c r="C3" s="23"/>
      <c r="D3" s="23"/>
      <c r="E3" s="23"/>
      <c r="F3" s="23"/>
    </row>
    <row r="4" customFormat="false" ht="6" hidden="false" customHeight="true" outlineLevel="0" collapsed="false"/>
    <row r="5" customFormat="false" ht="30" hidden="false" customHeight="true" outlineLevel="0" collapsed="false">
      <c r="A5" s="24" t="s">
        <v>80</v>
      </c>
      <c r="B5" s="24" t="s">
        <v>1808</v>
      </c>
      <c r="C5" s="24" t="s">
        <v>871</v>
      </c>
      <c r="D5" s="24" t="s">
        <v>1809</v>
      </c>
      <c r="E5" s="24" t="s">
        <v>1810</v>
      </c>
      <c r="F5" s="24" t="s">
        <v>1811</v>
      </c>
    </row>
    <row r="6" customFormat="false" ht="24" hidden="false" customHeight="true" outlineLevel="0" collapsed="false">
      <c r="A6" s="5" t="s">
        <v>1370</v>
      </c>
      <c r="B6" s="5" t="s">
        <v>56</v>
      </c>
      <c r="C6" s="5" t="s">
        <v>420</v>
      </c>
      <c r="D6" s="5" t="s">
        <v>420</v>
      </c>
      <c r="E6" s="5" t="s">
        <v>1812</v>
      </c>
      <c r="F6" s="6" t="s">
        <v>1813</v>
      </c>
    </row>
    <row r="7" customFormat="false" ht="24" hidden="false" customHeight="true" outlineLevel="0" collapsed="false">
      <c r="A7" s="7" t="s">
        <v>1376</v>
      </c>
      <c r="B7" s="7" t="s">
        <v>59</v>
      </c>
      <c r="C7" s="7" t="s">
        <v>420</v>
      </c>
      <c r="D7" s="7" t="s">
        <v>420</v>
      </c>
      <c r="E7" s="7" t="s">
        <v>1812</v>
      </c>
      <c r="F7" s="8" t="s">
        <v>1813</v>
      </c>
    </row>
    <row r="8" customFormat="false" ht="24" hidden="false" customHeight="true" outlineLevel="0" collapsed="false">
      <c r="A8" s="5" t="s">
        <v>1382</v>
      </c>
      <c r="B8" s="5" t="s">
        <v>61</v>
      </c>
      <c r="C8" s="5" t="s">
        <v>420</v>
      </c>
      <c r="D8" s="5" t="s">
        <v>420</v>
      </c>
      <c r="E8" s="5" t="s">
        <v>1812</v>
      </c>
      <c r="F8" s="6" t="s">
        <v>1813</v>
      </c>
    </row>
    <row r="9" customFormat="false" ht="24" hidden="false" customHeight="true" outlineLevel="0" collapsed="false">
      <c r="A9" s="7" t="s">
        <v>1387</v>
      </c>
      <c r="B9" s="7" t="s">
        <v>1388</v>
      </c>
      <c r="C9" s="7" t="s">
        <v>420</v>
      </c>
      <c r="D9" s="7" t="s">
        <v>420</v>
      </c>
      <c r="E9" s="7" t="s">
        <v>1814</v>
      </c>
      <c r="F9" s="8" t="s">
        <v>1815</v>
      </c>
    </row>
    <row r="10" customFormat="false" ht="24" hidden="false" customHeight="true" outlineLevel="0" collapsed="false">
      <c r="A10" s="5" t="s">
        <v>1394</v>
      </c>
      <c r="B10" s="5" t="s">
        <v>63</v>
      </c>
      <c r="C10" s="5" t="s">
        <v>420</v>
      </c>
      <c r="D10" s="5" t="s">
        <v>420</v>
      </c>
      <c r="E10" s="5" t="s">
        <v>1812</v>
      </c>
      <c r="F10" s="6" t="s">
        <v>1813</v>
      </c>
    </row>
    <row r="11" customFormat="false" ht="24" hidden="false" customHeight="true" outlineLevel="0" collapsed="false">
      <c r="A11" s="7" t="s">
        <v>1398</v>
      </c>
      <c r="B11" s="7" t="s">
        <v>1399</v>
      </c>
      <c r="C11" s="7" t="s">
        <v>420</v>
      </c>
      <c r="D11" s="7" t="s">
        <v>420</v>
      </c>
      <c r="E11" s="7" t="s">
        <v>1812</v>
      </c>
      <c r="F11" s="8" t="s">
        <v>1816</v>
      </c>
    </row>
    <row r="12" customFormat="false" ht="24" hidden="false" customHeight="true" outlineLevel="0" collapsed="false">
      <c r="A12" s="5" t="s">
        <v>1404</v>
      </c>
      <c r="B12" s="5" t="s">
        <v>1817</v>
      </c>
      <c r="C12" s="5" t="s">
        <v>422</v>
      </c>
      <c r="D12" s="5" t="s">
        <v>420</v>
      </c>
      <c r="E12" s="5" t="s">
        <v>1818</v>
      </c>
      <c r="F12" s="6" t="s">
        <v>1819</v>
      </c>
    </row>
    <row r="13" customFormat="false" ht="24" hidden="false" customHeight="true" outlineLevel="0" collapsed="false">
      <c r="A13" s="7" t="s">
        <v>1411</v>
      </c>
      <c r="B13" s="7" t="s">
        <v>1820</v>
      </c>
      <c r="C13" s="7" t="s">
        <v>422</v>
      </c>
      <c r="D13" s="7" t="s">
        <v>420</v>
      </c>
      <c r="E13" s="7" t="s">
        <v>1821</v>
      </c>
      <c r="F13" s="8" t="s">
        <v>1822</v>
      </c>
    </row>
    <row r="14" customFormat="false" ht="24" hidden="false" customHeight="true" outlineLevel="0" collapsed="false">
      <c r="A14" s="5" t="s">
        <v>1823</v>
      </c>
      <c r="B14" s="5" t="s">
        <v>1645</v>
      </c>
      <c r="C14" s="5" t="s">
        <v>1824</v>
      </c>
      <c r="D14" s="5" t="s">
        <v>420</v>
      </c>
      <c r="E14" s="5" t="s">
        <v>1825</v>
      </c>
      <c r="F14" s="6" t="s">
        <v>1826</v>
      </c>
    </row>
    <row r="15" customFormat="false" ht="24" hidden="false" customHeight="true" outlineLevel="0" collapsed="false">
      <c r="A15" s="7" t="s">
        <v>1827</v>
      </c>
      <c r="B15" s="7" t="s">
        <v>1649</v>
      </c>
      <c r="C15" s="7" t="s">
        <v>422</v>
      </c>
      <c r="D15" s="7" t="s">
        <v>420</v>
      </c>
      <c r="E15" s="7" t="s">
        <v>1818</v>
      </c>
      <c r="F15" s="8" t="s">
        <v>1828</v>
      </c>
    </row>
    <row r="16" customFormat="false" ht="24" hidden="false" customHeight="true" outlineLevel="0" collapsed="false">
      <c r="A16" s="5" t="s">
        <v>1829</v>
      </c>
      <c r="B16" s="5" t="s">
        <v>1830</v>
      </c>
      <c r="C16" s="5" t="s">
        <v>1831</v>
      </c>
      <c r="D16" s="5" t="s">
        <v>420</v>
      </c>
      <c r="E16" s="5" t="s">
        <v>1832</v>
      </c>
      <c r="F16" s="6" t="s">
        <v>1833</v>
      </c>
    </row>
  </sheetData>
  <autoFilter ref="A5:F16"/>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4A16"/>
    <pageSetUpPr fitToPage="tru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 collapsed="false" customWidth="true" hidden="false" outlineLevel="0" max="4" min="4" style="0" width="72"/>
    <col collapsed="false" customWidth="true" hidden="false" outlineLevel="0" max="5" min="5" style="0" width="26"/>
    <col collapsed="false" customWidth="true" hidden="false" outlineLevel="0" max="6" min="6" style="0" width="16"/>
    <col collapsed="false" customWidth="true" hidden="false" outlineLevel="0" max="7" min="7" style="0" width="34"/>
    <col collapsed="false" customWidth="true" hidden="false" outlineLevel="0" max="8" min="8" style="0" width="22"/>
    <col collapsed="false" customWidth="true" hidden="false" outlineLevel="0" max="9" min="9" style="0" width="20"/>
    <col collapsed="false" customWidth="true" hidden="false" outlineLevel="0" max="10" min="10" style="0" width="34"/>
  </cols>
  <sheetData>
    <row r="1" customFormat="false" ht="19.5" hidden="false" customHeight="true" outlineLevel="0" collapsed="false">
      <c r="A1" s="25" t="s">
        <v>1834</v>
      </c>
      <c r="B1" s="25"/>
      <c r="C1" s="25"/>
      <c r="D1" s="25"/>
      <c r="E1" s="25"/>
      <c r="F1" s="25"/>
      <c r="G1" s="25"/>
      <c r="H1" s="25"/>
      <c r="I1" s="25"/>
      <c r="J1" s="25"/>
    </row>
    <row r="2" customFormat="false" ht="27.75" hidden="false" customHeight="true" outlineLevel="0" collapsed="false">
      <c r="A2" s="26" t="s">
        <v>1835</v>
      </c>
      <c r="B2" s="26"/>
      <c r="C2" s="26"/>
      <c r="D2" s="26"/>
      <c r="E2" s="26"/>
      <c r="F2" s="26"/>
      <c r="G2" s="26"/>
      <c r="H2" s="26"/>
      <c r="I2" s="26"/>
      <c r="J2" s="26"/>
    </row>
    <row r="3" customFormat="false" ht="30" hidden="false" customHeight="true" outlineLevel="0" collapsed="false">
      <c r="A3" s="27" t="s">
        <v>1836</v>
      </c>
      <c r="B3" s="27"/>
      <c r="C3" s="27"/>
      <c r="D3" s="27"/>
      <c r="E3" s="27"/>
      <c r="F3" s="27"/>
      <c r="G3" s="27"/>
      <c r="H3" s="27"/>
      <c r="I3" s="27"/>
      <c r="J3" s="27"/>
    </row>
    <row r="4" customFormat="false" ht="6" hidden="false" customHeight="true" outlineLevel="0" collapsed="false"/>
    <row r="5" customFormat="false" ht="30" hidden="false" customHeight="true" outlineLevel="0" collapsed="false">
      <c r="A5" s="28" t="s">
        <v>1837</v>
      </c>
      <c r="B5" s="28" t="s">
        <v>339</v>
      </c>
      <c r="C5" s="28" t="s">
        <v>1838</v>
      </c>
      <c r="D5" s="28" t="s">
        <v>1839</v>
      </c>
      <c r="E5" s="28" t="s">
        <v>1840</v>
      </c>
      <c r="F5" s="28" t="s">
        <v>1841</v>
      </c>
      <c r="G5" s="28" t="s">
        <v>1842</v>
      </c>
      <c r="H5" s="28" t="s">
        <v>1843</v>
      </c>
      <c r="I5" s="28" t="s">
        <v>40</v>
      </c>
      <c r="J5" s="28" t="s">
        <v>1844</v>
      </c>
    </row>
    <row r="6" customFormat="false" ht="42" hidden="false" customHeight="true" outlineLevel="0" collapsed="false">
      <c r="A6" s="5" t="s">
        <v>1845</v>
      </c>
      <c r="B6" s="5" t="s">
        <v>1846</v>
      </c>
      <c r="C6" s="5" t="s">
        <v>792</v>
      </c>
      <c r="D6" s="6" t="s">
        <v>1847</v>
      </c>
      <c r="E6" s="5" t="s">
        <v>351</v>
      </c>
      <c r="F6" s="5" t="s">
        <v>790</v>
      </c>
      <c r="G6" s="5" t="s">
        <v>1848</v>
      </c>
      <c r="H6" s="5" t="s">
        <v>1849</v>
      </c>
      <c r="I6" s="5" t="s">
        <v>135</v>
      </c>
      <c r="J6" s="5" t="s">
        <v>1850</v>
      </c>
    </row>
    <row r="7" customFormat="false" ht="42" hidden="false" customHeight="true" outlineLevel="0" collapsed="false">
      <c r="A7" s="7" t="s">
        <v>1851</v>
      </c>
      <c r="B7" s="7" t="s">
        <v>1852</v>
      </c>
      <c r="C7" s="7" t="s">
        <v>1853</v>
      </c>
      <c r="D7" s="8" t="s">
        <v>1854</v>
      </c>
      <c r="E7" s="7" t="s">
        <v>1852</v>
      </c>
      <c r="F7" s="7" t="s">
        <v>795</v>
      </c>
      <c r="G7" s="7" t="s">
        <v>1855</v>
      </c>
      <c r="H7" s="7" t="s">
        <v>1849</v>
      </c>
      <c r="I7" s="7" t="s">
        <v>494</v>
      </c>
      <c r="J7" s="7" t="s">
        <v>1856</v>
      </c>
    </row>
    <row r="8" customFormat="false" ht="42" hidden="false" customHeight="true" outlineLevel="0" collapsed="false">
      <c r="A8" s="5" t="s">
        <v>1857</v>
      </c>
      <c r="B8" s="5" t="s">
        <v>1858</v>
      </c>
      <c r="C8" s="5" t="s">
        <v>1853</v>
      </c>
      <c r="D8" s="6" t="s">
        <v>1859</v>
      </c>
      <c r="E8" s="5" t="s">
        <v>1860</v>
      </c>
      <c r="F8" s="5" t="s">
        <v>799</v>
      </c>
      <c r="G8" s="5" t="s">
        <v>1861</v>
      </c>
      <c r="H8" s="5" t="s">
        <v>1849</v>
      </c>
      <c r="I8" s="5" t="s">
        <v>494</v>
      </c>
      <c r="J8" s="5" t="s">
        <v>1862</v>
      </c>
    </row>
    <row r="9" customFormat="false" ht="42" hidden="false" customHeight="true" outlineLevel="0" collapsed="false">
      <c r="A9" s="7" t="s">
        <v>1863</v>
      </c>
      <c r="B9" s="7" t="s">
        <v>1864</v>
      </c>
      <c r="C9" s="7" t="s">
        <v>1853</v>
      </c>
      <c r="D9" s="8" t="s">
        <v>1865</v>
      </c>
      <c r="E9" s="7" t="s">
        <v>1866</v>
      </c>
      <c r="F9" s="7" t="s">
        <v>803</v>
      </c>
      <c r="G9" s="7" t="s">
        <v>1867</v>
      </c>
      <c r="H9" s="7" t="s">
        <v>1849</v>
      </c>
      <c r="I9" s="7" t="s">
        <v>494</v>
      </c>
      <c r="J9" s="7" t="s">
        <v>1868</v>
      </c>
    </row>
    <row r="10" customFormat="false" ht="42" hidden="false" customHeight="true" outlineLevel="0" collapsed="false">
      <c r="A10" s="5" t="s">
        <v>1869</v>
      </c>
      <c r="B10" s="5" t="s">
        <v>346</v>
      </c>
      <c r="C10" s="5" t="s">
        <v>345</v>
      </c>
      <c r="D10" s="6" t="s">
        <v>1870</v>
      </c>
      <c r="E10" s="5" t="s">
        <v>1871</v>
      </c>
      <c r="F10" s="5" t="s">
        <v>1872</v>
      </c>
      <c r="G10" s="5" t="s">
        <v>1873</v>
      </c>
      <c r="H10" s="5" t="s">
        <v>1849</v>
      </c>
      <c r="I10" s="5" t="s">
        <v>494</v>
      </c>
      <c r="J10" s="5" t="s">
        <v>1874</v>
      </c>
    </row>
    <row r="11" customFormat="false" ht="42" hidden="false" customHeight="true" outlineLevel="0" collapsed="false">
      <c r="A11" s="7" t="s">
        <v>1875</v>
      </c>
      <c r="B11" s="7" t="s">
        <v>1876</v>
      </c>
      <c r="C11" s="7" t="s">
        <v>345</v>
      </c>
      <c r="D11" s="8" t="s">
        <v>1877</v>
      </c>
      <c r="E11" s="7" t="s">
        <v>1876</v>
      </c>
      <c r="F11" s="7" t="s">
        <v>828</v>
      </c>
      <c r="G11" s="7" t="s">
        <v>1878</v>
      </c>
      <c r="H11" s="7" t="s">
        <v>1849</v>
      </c>
      <c r="I11" s="7" t="s">
        <v>494</v>
      </c>
      <c r="J11" s="7" t="s">
        <v>1879</v>
      </c>
    </row>
    <row r="12" customFormat="false" ht="42" hidden="false" customHeight="true" outlineLevel="0" collapsed="false">
      <c r="A12" s="5" t="s">
        <v>1880</v>
      </c>
      <c r="B12" s="5" t="s">
        <v>1881</v>
      </c>
      <c r="C12" s="5" t="s">
        <v>345</v>
      </c>
      <c r="D12" s="6" t="s">
        <v>1882</v>
      </c>
      <c r="E12" s="5" t="s">
        <v>1883</v>
      </c>
      <c r="F12" s="5" t="s">
        <v>1884</v>
      </c>
      <c r="G12" s="5" t="s">
        <v>1885</v>
      </c>
      <c r="H12" s="5" t="s">
        <v>1886</v>
      </c>
      <c r="I12" s="5" t="s">
        <v>99</v>
      </c>
      <c r="J12" s="5" t="s">
        <v>1887</v>
      </c>
    </row>
    <row r="13" customFormat="false" ht="42" hidden="false" customHeight="true" outlineLevel="0" collapsed="false">
      <c r="A13" s="7" t="s">
        <v>1888</v>
      </c>
      <c r="B13" s="7" t="s">
        <v>1889</v>
      </c>
      <c r="C13" s="7" t="s">
        <v>345</v>
      </c>
      <c r="D13" s="8" t="s">
        <v>1890</v>
      </c>
      <c r="E13" s="7" t="s">
        <v>1891</v>
      </c>
      <c r="F13" s="7" t="s">
        <v>836</v>
      </c>
      <c r="G13" s="7" t="s">
        <v>1892</v>
      </c>
      <c r="H13" s="7" t="s">
        <v>1893</v>
      </c>
      <c r="I13" s="7" t="s">
        <v>104</v>
      </c>
      <c r="J13" s="7" t="s">
        <v>1894</v>
      </c>
    </row>
    <row r="14" customFormat="false" ht="42" hidden="false" customHeight="true" outlineLevel="0" collapsed="false">
      <c r="A14" s="5" t="s">
        <v>1895</v>
      </c>
      <c r="B14" s="5" t="s">
        <v>1896</v>
      </c>
      <c r="C14" s="5" t="s">
        <v>345</v>
      </c>
      <c r="D14" s="6" t="s">
        <v>1897</v>
      </c>
      <c r="E14" s="5" t="s">
        <v>1898</v>
      </c>
      <c r="F14" s="5" t="s">
        <v>1884</v>
      </c>
      <c r="G14" s="5" t="s">
        <v>1899</v>
      </c>
      <c r="H14" s="5" t="s">
        <v>1900</v>
      </c>
      <c r="I14" s="5" t="s">
        <v>104</v>
      </c>
      <c r="J14" s="5" t="s">
        <v>1901</v>
      </c>
    </row>
    <row r="15" customFormat="false" ht="42" hidden="false" customHeight="true" outlineLevel="0" collapsed="false">
      <c r="A15" s="7" t="s">
        <v>1902</v>
      </c>
      <c r="B15" s="7" t="s">
        <v>1903</v>
      </c>
      <c r="C15" s="7" t="s">
        <v>353</v>
      </c>
      <c r="D15" s="8" t="s">
        <v>1904</v>
      </c>
      <c r="E15" s="7" t="s">
        <v>1905</v>
      </c>
      <c r="F15" s="7" t="s">
        <v>1884</v>
      </c>
      <c r="G15" s="7" t="s">
        <v>1906</v>
      </c>
      <c r="H15" s="7" t="s">
        <v>1907</v>
      </c>
      <c r="I15" s="7" t="s">
        <v>41</v>
      </c>
      <c r="J15" s="7" t="s">
        <v>1908</v>
      </c>
    </row>
    <row r="16" customFormat="false" ht="42" hidden="false" customHeight="true" outlineLevel="0" collapsed="false">
      <c r="A16" s="5" t="s">
        <v>1909</v>
      </c>
      <c r="B16" s="5" t="s">
        <v>1910</v>
      </c>
      <c r="C16" s="5" t="s">
        <v>353</v>
      </c>
      <c r="D16" s="6" t="s">
        <v>1911</v>
      </c>
      <c r="E16" s="5" t="s">
        <v>1912</v>
      </c>
      <c r="F16" s="5" t="s">
        <v>840</v>
      </c>
      <c r="G16" s="5" t="s">
        <v>1913</v>
      </c>
      <c r="H16" s="5" t="s">
        <v>1914</v>
      </c>
      <c r="I16" s="5" t="s">
        <v>99</v>
      </c>
      <c r="J16" s="5" t="s">
        <v>1915</v>
      </c>
    </row>
    <row r="17" customFormat="false" ht="42" hidden="false" customHeight="true" outlineLevel="0" collapsed="false">
      <c r="A17" s="7" t="s">
        <v>1916</v>
      </c>
      <c r="B17" s="7" t="s">
        <v>1917</v>
      </c>
      <c r="C17" s="7" t="s">
        <v>353</v>
      </c>
      <c r="D17" s="8" t="s">
        <v>1918</v>
      </c>
      <c r="E17" s="7" t="s">
        <v>1919</v>
      </c>
      <c r="F17" s="7" t="s">
        <v>1884</v>
      </c>
      <c r="G17" s="7" t="s">
        <v>1920</v>
      </c>
      <c r="H17" s="7" t="s">
        <v>1921</v>
      </c>
      <c r="I17" s="7" t="s">
        <v>99</v>
      </c>
      <c r="J17" s="7" t="s">
        <v>1922</v>
      </c>
    </row>
    <row r="18" customFormat="false" ht="42" hidden="false" customHeight="true" outlineLevel="0" collapsed="false">
      <c r="A18" s="5" t="s">
        <v>1923</v>
      </c>
      <c r="B18" s="5" t="s">
        <v>1924</v>
      </c>
      <c r="C18" s="5" t="s">
        <v>353</v>
      </c>
      <c r="D18" s="6" t="s">
        <v>1925</v>
      </c>
      <c r="E18" s="5" t="s">
        <v>1926</v>
      </c>
      <c r="F18" s="5" t="s">
        <v>852</v>
      </c>
      <c r="G18" s="5" t="s">
        <v>1927</v>
      </c>
      <c r="H18" s="5" t="s">
        <v>1928</v>
      </c>
      <c r="I18" s="5" t="s">
        <v>110</v>
      </c>
      <c r="J18" s="5" t="s">
        <v>1929</v>
      </c>
    </row>
    <row r="19" customFormat="false" ht="42" hidden="false" customHeight="true" outlineLevel="0" collapsed="false">
      <c r="A19" s="7" t="s">
        <v>1930</v>
      </c>
      <c r="B19" s="7" t="s">
        <v>1931</v>
      </c>
      <c r="C19" s="7" t="s">
        <v>353</v>
      </c>
      <c r="D19" s="8" t="s">
        <v>1932</v>
      </c>
      <c r="E19" s="7" t="s">
        <v>1933</v>
      </c>
      <c r="F19" s="7" t="s">
        <v>1934</v>
      </c>
      <c r="G19" s="7" t="s">
        <v>1935</v>
      </c>
      <c r="H19" s="7" t="s">
        <v>1936</v>
      </c>
      <c r="I19" s="7" t="s">
        <v>110</v>
      </c>
      <c r="J19" s="7" t="s">
        <v>1937</v>
      </c>
    </row>
    <row r="20" customFormat="false" ht="42" hidden="false" customHeight="true" outlineLevel="0" collapsed="false">
      <c r="A20" s="5" t="s">
        <v>1938</v>
      </c>
      <c r="B20" s="5" t="s">
        <v>1939</v>
      </c>
      <c r="C20" s="5" t="s">
        <v>360</v>
      </c>
      <c r="D20" s="6" t="s">
        <v>1940</v>
      </c>
      <c r="E20" s="5" t="s">
        <v>1905</v>
      </c>
      <c r="F20" s="5" t="s">
        <v>1884</v>
      </c>
      <c r="G20" s="5" t="s">
        <v>1941</v>
      </c>
      <c r="H20" s="5" t="s">
        <v>1942</v>
      </c>
      <c r="I20" s="5" t="s">
        <v>41</v>
      </c>
      <c r="J20" s="5" t="s">
        <v>1943</v>
      </c>
    </row>
    <row r="21" customFormat="false" ht="42" hidden="false" customHeight="true" outlineLevel="0" collapsed="false">
      <c r="A21" s="7" t="s">
        <v>1944</v>
      </c>
      <c r="B21" s="7" t="s">
        <v>1945</v>
      </c>
      <c r="C21" s="7" t="s">
        <v>360</v>
      </c>
      <c r="D21" s="8" t="s">
        <v>1946</v>
      </c>
      <c r="E21" s="7" t="s">
        <v>1947</v>
      </c>
      <c r="F21" s="7" t="s">
        <v>1934</v>
      </c>
      <c r="G21" s="7" t="s">
        <v>1948</v>
      </c>
      <c r="H21" s="7" t="s">
        <v>1949</v>
      </c>
      <c r="I21" s="7" t="s">
        <v>494</v>
      </c>
      <c r="J21" s="7" t="s">
        <v>1950</v>
      </c>
    </row>
    <row r="22" customFormat="false" ht="42" hidden="false" customHeight="true" outlineLevel="0" collapsed="false">
      <c r="A22" s="5" t="s">
        <v>1951</v>
      </c>
      <c r="B22" s="5" t="s">
        <v>1952</v>
      </c>
      <c r="C22" s="5" t="s">
        <v>367</v>
      </c>
      <c r="D22" s="6" t="s">
        <v>1953</v>
      </c>
      <c r="E22" s="5" t="s">
        <v>1905</v>
      </c>
      <c r="F22" s="5" t="s">
        <v>1884</v>
      </c>
      <c r="G22" s="5" t="s">
        <v>1954</v>
      </c>
      <c r="H22" s="5" t="s">
        <v>1955</v>
      </c>
      <c r="I22" s="5" t="s">
        <v>1956</v>
      </c>
      <c r="J22" s="5" t="s">
        <v>1957</v>
      </c>
    </row>
    <row r="23" customFormat="false" ht="42" hidden="false" customHeight="true" outlineLevel="0" collapsed="false">
      <c r="A23" s="7" t="s">
        <v>1958</v>
      </c>
      <c r="B23" s="7" t="s">
        <v>1959</v>
      </c>
      <c r="C23" s="7" t="s">
        <v>375</v>
      </c>
      <c r="D23" s="8" t="s">
        <v>1960</v>
      </c>
      <c r="E23" s="7" t="s">
        <v>1905</v>
      </c>
      <c r="F23" s="7" t="s">
        <v>468</v>
      </c>
      <c r="G23" s="7" t="s">
        <v>1961</v>
      </c>
      <c r="H23" s="7" t="s">
        <v>1962</v>
      </c>
      <c r="I23" s="7" t="s">
        <v>468</v>
      </c>
      <c r="J23" s="7" t="s">
        <v>1963</v>
      </c>
    </row>
    <row r="24" customFormat="false" ht="42" hidden="false" customHeight="true" outlineLevel="0" collapsed="false">
      <c r="A24" s="5" t="s">
        <v>1964</v>
      </c>
      <c r="B24" s="5" t="s">
        <v>1965</v>
      </c>
      <c r="C24" s="5" t="s">
        <v>1966</v>
      </c>
      <c r="D24" s="6" t="s">
        <v>1967</v>
      </c>
      <c r="E24" s="5" t="s">
        <v>1968</v>
      </c>
      <c r="F24" s="5" t="s">
        <v>494</v>
      </c>
      <c r="G24" s="5" t="s">
        <v>1969</v>
      </c>
      <c r="H24" s="5" t="s">
        <v>479</v>
      </c>
      <c r="I24" s="5" t="s">
        <v>494</v>
      </c>
      <c r="J24" s="5" t="s">
        <v>1970</v>
      </c>
    </row>
    <row r="25" customFormat="false" ht="42" hidden="false" customHeight="true" outlineLevel="0" collapsed="false">
      <c r="A25" s="7" t="s">
        <v>1971</v>
      </c>
      <c r="B25" s="7" t="s">
        <v>1972</v>
      </c>
      <c r="C25" s="7" t="s">
        <v>351</v>
      </c>
      <c r="D25" s="8" t="s">
        <v>1973</v>
      </c>
      <c r="E25" s="7" t="s">
        <v>1974</v>
      </c>
      <c r="F25" s="7" t="s">
        <v>848</v>
      </c>
      <c r="G25" s="7" t="s">
        <v>1975</v>
      </c>
      <c r="H25" s="7" t="s">
        <v>231</v>
      </c>
      <c r="I25" s="7" t="s">
        <v>41</v>
      </c>
      <c r="J25" s="7" t="s">
        <v>1976</v>
      </c>
    </row>
  </sheetData>
  <autoFilter ref="A5:J25"/>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4A16"/>
    <pageSetUpPr fitToPage="tru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80"/>
    <col collapsed="false" customWidth="true" hidden="false" outlineLevel="0" max="4" min="4" style="0" width="16"/>
    <col collapsed="false" customWidth="true" hidden="false" outlineLevel="0" max="5" min="5" style="0" width="26"/>
    <col collapsed="false" customWidth="true" hidden="false" outlineLevel="0" max="6" min="6" style="0" width="58"/>
    <col collapsed="false" customWidth="true" hidden="false" outlineLevel="0" max="7" min="7" style="0" width="26"/>
  </cols>
  <sheetData>
    <row r="1" customFormat="false" ht="19.5" hidden="false" customHeight="true" outlineLevel="0" collapsed="false">
      <c r="A1" s="25" t="s">
        <v>1834</v>
      </c>
      <c r="B1" s="25"/>
      <c r="C1" s="25"/>
      <c r="D1" s="25"/>
      <c r="E1" s="25"/>
      <c r="F1" s="25"/>
      <c r="G1" s="25"/>
    </row>
    <row r="2" customFormat="false" ht="27.75" hidden="false" customHeight="true" outlineLevel="0" collapsed="false">
      <c r="A2" s="26" t="s">
        <v>1977</v>
      </c>
      <c r="B2" s="26"/>
      <c r="C2" s="26"/>
      <c r="D2" s="26"/>
      <c r="E2" s="26"/>
      <c r="F2" s="26"/>
      <c r="G2" s="26"/>
    </row>
    <row r="3" customFormat="false" ht="30" hidden="false" customHeight="true" outlineLevel="0" collapsed="false">
      <c r="A3" s="27" t="s">
        <v>1978</v>
      </c>
      <c r="B3" s="27"/>
      <c r="C3" s="27"/>
      <c r="D3" s="27"/>
      <c r="E3" s="27"/>
      <c r="F3" s="27"/>
      <c r="G3" s="27"/>
    </row>
    <row r="4" customFormat="false" ht="6" hidden="false" customHeight="true" outlineLevel="0" collapsed="false"/>
    <row r="5" customFormat="false" ht="30" hidden="false" customHeight="true" outlineLevel="0" collapsed="false">
      <c r="A5" s="28" t="s">
        <v>80</v>
      </c>
      <c r="B5" s="28" t="s">
        <v>1979</v>
      </c>
      <c r="C5" s="28" t="s">
        <v>1980</v>
      </c>
      <c r="D5" s="28" t="s">
        <v>40</v>
      </c>
      <c r="E5" s="28" t="s">
        <v>1981</v>
      </c>
      <c r="F5" s="28" t="s">
        <v>1982</v>
      </c>
      <c r="G5" s="28" t="s">
        <v>1983</v>
      </c>
    </row>
    <row r="6" customFormat="false" ht="33.75" hidden="false" customHeight="true" outlineLevel="0" collapsed="false">
      <c r="A6" s="5" t="s">
        <v>1984</v>
      </c>
      <c r="B6" s="5" t="s">
        <v>1852</v>
      </c>
      <c r="C6" s="6" t="s">
        <v>1985</v>
      </c>
      <c r="D6" s="5" t="s">
        <v>494</v>
      </c>
      <c r="E6" s="5" t="s">
        <v>1849</v>
      </c>
      <c r="F6" s="6" t="s">
        <v>1986</v>
      </c>
      <c r="G6" s="5" t="s">
        <v>802</v>
      </c>
    </row>
    <row r="7" customFormat="false" ht="33.75" hidden="false" customHeight="true" outlineLevel="0" collapsed="false">
      <c r="A7" s="7" t="s">
        <v>1987</v>
      </c>
      <c r="B7" s="7" t="s">
        <v>1860</v>
      </c>
      <c r="C7" s="8" t="s">
        <v>1988</v>
      </c>
      <c r="D7" s="7" t="s">
        <v>494</v>
      </c>
      <c r="E7" s="7" t="s">
        <v>1849</v>
      </c>
      <c r="F7" s="8" t="s">
        <v>351</v>
      </c>
      <c r="G7" s="7" t="s">
        <v>798</v>
      </c>
    </row>
    <row r="8" customFormat="false" ht="33.75" hidden="false" customHeight="true" outlineLevel="0" collapsed="false">
      <c r="A8" s="5" t="s">
        <v>1989</v>
      </c>
      <c r="B8" s="5" t="s">
        <v>1990</v>
      </c>
      <c r="C8" s="6" t="s">
        <v>1991</v>
      </c>
      <c r="D8" s="5" t="s">
        <v>494</v>
      </c>
      <c r="E8" s="5" t="s">
        <v>1992</v>
      </c>
      <c r="F8" s="6" t="s">
        <v>1993</v>
      </c>
      <c r="G8" s="5" t="s">
        <v>798</v>
      </c>
    </row>
    <row r="9" customFormat="false" ht="33.75" hidden="false" customHeight="true" outlineLevel="0" collapsed="false">
      <c r="A9" s="7" t="s">
        <v>1994</v>
      </c>
      <c r="B9" s="7" t="s">
        <v>1871</v>
      </c>
      <c r="C9" s="8" t="s">
        <v>1995</v>
      </c>
      <c r="D9" s="7" t="s">
        <v>494</v>
      </c>
      <c r="E9" s="7" t="s">
        <v>1849</v>
      </c>
      <c r="F9" s="8" t="s">
        <v>1996</v>
      </c>
      <c r="G9" s="7" t="s">
        <v>831</v>
      </c>
    </row>
    <row r="10" customFormat="false" ht="33.75" hidden="false" customHeight="true" outlineLevel="0" collapsed="false">
      <c r="A10" s="5" t="s">
        <v>1997</v>
      </c>
      <c r="B10" s="5" t="s">
        <v>1998</v>
      </c>
      <c r="C10" s="6" t="s">
        <v>1999</v>
      </c>
      <c r="D10" s="5" t="s">
        <v>494</v>
      </c>
      <c r="E10" s="5" t="s">
        <v>1849</v>
      </c>
      <c r="F10" s="6" t="s">
        <v>2000</v>
      </c>
      <c r="G10" s="5" t="s">
        <v>811</v>
      </c>
    </row>
    <row r="11" customFormat="false" ht="33.75" hidden="false" customHeight="true" outlineLevel="0" collapsed="false">
      <c r="A11" s="7" t="s">
        <v>2001</v>
      </c>
      <c r="B11" s="7" t="s">
        <v>2002</v>
      </c>
      <c r="C11" s="8" t="s">
        <v>2003</v>
      </c>
      <c r="D11" s="7" t="s">
        <v>494</v>
      </c>
      <c r="E11" s="7" t="s">
        <v>1849</v>
      </c>
      <c r="F11" s="8" t="s">
        <v>2004</v>
      </c>
      <c r="G11" s="7" t="s">
        <v>831</v>
      </c>
    </row>
    <row r="12" customFormat="false" ht="33.75" hidden="false" customHeight="true" outlineLevel="0" collapsed="false">
      <c r="A12" s="5" t="s">
        <v>2005</v>
      </c>
      <c r="B12" s="5" t="s">
        <v>2006</v>
      </c>
      <c r="C12" s="6" t="s">
        <v>2007</v>
      </c>
      <c r="D12" s="5" t="s">
        <v>494</v>
      </c>
      <c r="E12" s="5" t="s">
        <v>1849</v>
      </c>
      <c r="F12" s="6" t="s">
        <v>2008</v>
      </c>
      <c r="G12" s="5" t="s">
        <v>831</v>
      </c>
    </row>
    <row r="13" customFormat="false" ht="33.75" hidden="false" customHeight="true" outlineLevel="0" collapsed="false">
      <c r="A13" s="7" t="s">
        <v>2009</v>
      </c>
      <c r="B13" s="7" t="s">
        <v>2010</v>
      </c>
      <c r="C13" s="8" t="s">
        <v>2011</v>
      </c>
      <c r="D13" s="7" t="s">
        <v>494</v>
      </c>
      <c r="E13" s="7" t="s">
        <v>1849</v>
      </c>
      <c r="F13" s="8" t="s">
        <v>1771</v>
      </c>
      <c r="G13" s="7" t="s">
        <v>831</v>
      </c>
    </row>
    <row r="14" customFormat="false" ht="33.75" hidden="false" customHeight="true" outlineLevel="0" collapsed="false">
      <c r="A14" s="5" t="s">
        <v>2012</v>
      </c>
      <c r="B14" s="5" t="s">
        <v>2013</v>
      </c>
      <c r="C14" s="6" t="s">
        <v>2014</v>
      </c>
      <c r="D14" s="5" t="s">
        <v>494</v>
      </c>
      <c r="E14" s="5" t="s">
        <v>1849</v>
      </c>
      <c r="F14" s="6" t="s">
        <v>2015</v>
      </c>
      <c r="G14" s="5" t="s">
        <v>831</v>
      </c>
    </row>
    <row r="15" customFormat="false" ht="33.75" hidden="false" customHeight="true" outlineLevel="0" collapsed="false">
      <c r="A15" s="7" t="s">
        <v>2016</v>
      </c>
      <c r="B15" s="7" t="s">
        <v>1881</v>
      </c>
      <c r="C15" s="8" t="s">
        <v>2017</v>
      </c>
      <c r="D15" s="7" t="s">
        <v>494</v>
      </c>
      <c r="E15" s="7" t="s">
        <v>1849</v>
      </c>
      <c r="F15" s="8"/>
      <c r="G15" s="7" t="s">
        <v>839</v>
      </c>
    </row>
    <row r="16" customFormat="false" ht="33.75" hidden="false" customHeight="true" outlineLevel="0" collapsed="false">
      <c r="A16" s="5" t="s">
        <v>2018</v>
      </c>
      <c r="B16" s="5" t="s">
        <v>2019</v>
      </c>
      <c r="C16" s="6" t="s">
        <v>2020</v>
      </c>
      <c r="D16" s="5" t="s">
        <v>494</v>
      </c>
      <c r="E16" s="5" t="s">
        <v>1949</v>
      </c>
      <c r="F16" s="6" t="s">
        <v>2021</v>
      </c>
      <c r="G16" s="5" t="s">
        <v>839</v>
      </c>
    </row>
    <row r="17" customFormat="false" ht="33.75" hidden="false" customHeight="true" outlineLevel="0" collapsed="false">
      <c r="A17" s="7" t="s">
        <v>2022</v>
      </c>
      <c r="B17" s="7" t="s">
        <v>1891</v>
      </c>
      <c r="C17" s="8" t="s">
        <v>2023</v>
      </c>
      <c r="D17" s="7" t="s">
        <v>494</v>
      </c>
      <c r="E17" s="7" t="s">
        <v>1849</v>
      </c>
      <c r="F17" s="8" t="s">
        <v>2024</v>
      </c>
      <c r="G17" s="7" t="s">
        <v>839</v>
      </c>
    </row>
    <row r="18" customFormat="false" ht="33.75" hidden="false" customHeight="true" outlineLevel="0" collapsed="false">
      <c r="A18" s="5" t="s">
        <v>2025</v>
      </c>
      <c r="B18" s="5" t="s">
        <v>1898</v>
      </c>
      <c r="C18" s="6" t="s">
        <v>2026</v>
      </c>
      <c r="D18" s="5" t="s">
        <v>494</v>
      </c>
      <c r="E18" s="5" t="s">
        <v>1849</v>
      </c>
      <c r="F18" s="6" t="s">
        <v>2027</v>
      </c>
      <c r="G18" s="5" t="s">
        <v>839</v>
      </c>
    </row>
    <row r="19" customFormat="false" ht="33.75" hidden="false" customHeight="true" outlineLevel="0" collapsed="false">
      <c r="A19" s="7" t="s">
        <v>2028</v>
      </c>
      <c r="B19" s="7" t="s">
        <v>2029</v>
      </c>
      <c r="C19" s="8" t="s">
        <v>2030</v>
      </c>
      <c r="D19" s="7" t="s">
        <v>494</v>
      </c>
      <c r="E19" s="7" t="s">
        <v>1849</v>
      </c>
      <c r="F19" s="8" t="s">
        <v>2031</v>
      </c>
      <c r="G19" s="7" t="s">
        <v>839</v>
      </c>
    </row>
    <row r="20" customFormat="false" ht="33.75" hidden="false" customHeight="true" outlineLevel="0" collapsed="false">
      <c r="A20" s="5" t="s">
        <v>2032</v>
      </c>
      <c r="B20" s="5" t="s">
        <v>1905</v>
      </c>
      <c r="C20" s="6" t="s">
        <v>2033</v>
      </c>
      <c r="D20" s="5" t="s">
        <v>494</v>
      </c>
      <c r="E20" s="5" t="s">
        <v>1849</v>
      </c>
      <c r="F20" s="6"/>
      <c r="G20" s="5" t="s">
        <v>864</v>
      </c>
    </row>
    <row r="21" customFormat="false" ht="33.75" hidden="false" customHeight="true" outlineLevel="0" collapsed="false">
      <c r="A21" s="7" t="s">
        <v>2034</v>
      </c>
      <c r="B21" s="7" t="s">
        <v>2035</v>
      </c>
      <c r="C21" s="8" t="s">
        <v>2036</v>
      </c>
      <c r="D21" s="7" t="s">
        <v>494</v>
      </c>
      <c r="E21" s="7" t="s">
        <v>247</v>
      </c>
      <c r="F21" s="8" t="s">
        <v>2037</v>
      </c>
      <c r="G21" s="7" t="s">
        <v>847</v>
      </c>
    </row>
    <row r="22" customFormat="false" ht="33.75" hidden="false" customHeight="true" outlineLevel="0" collapsed="false">
      <c r="A22" s="5" t="s">
        <v>2038</v>
      </c>
      <c r="B22" s="5" t="s">
        <v>2039</v>
      </c>
      <c r="C22" s="6" t="s">
        <v>2040</v>
      </c>
      <c r="D22" s="5" t="s">
        <v>494</v>
      </c>
      <c r="E22" s="5" t="s">
        <v>1849</v>
      </c>
      <c r="F22" s="6" t="s">
        <v>2041</v>
      </c>
      <c r="G22" s="5" t="s">
        <v>2042</v>
      </c>
    </row>
    <row r="23" customFormat="false" ht="33.75" hidden="false" customHeight="true" outlineLevel="0" collapsed="false">
      <c r="A23" s="7" t="s">
        <v>2043</v>
      </c>
      <c r="B23" s="7" t="s">
        <v>2044</v>
      </c>
      <c r="C23" s="8" t="s">
        <v>2045</v>
      </c>
      <c r="D23" s="7" t="s">
        <v>494</v>
      </c>
      <c r="E23" s="7" t="s">
        <v>1849</v>
      </c>
      <c r="F23" s="8" t="s">
        <v>2046</v>
      </c>
      <c r="G23" s="7" t="s">
        <v>1573</v>
      </c>
    </row>
    <row r="24" customFormat="false" ht="33.75" hidden="false" customHeight="true" outlineLevel="0" collapsed="false">
      <c r="A24" s="5" t="s">
        <v>2047</v>
      </c>
      <c r="B24" s="5" t="s">
        <v>2048</v>
      </c>
      <c r="C24" s="6" t="s">
        <v>2049</v>
      </c>
      <c r="D24" s="5" t="s">
        <v>494</v>
      </c>
      <c r="E24" s="5" t="s">
        <v>2050</v>
      </c>
      <c r="F24" s="6" t="s">
        <v>2051</v>
      </c>
      <c r="G24" s="5" t="s">
        <v>1573</v>
      </c>
    </row>
    <row r="25" customFormat="false" ht="33.75" hidden="false" customHeight="true" outlineLevel="0" collapsed="false">
      <c r="A25" s="7" t="s">
        <v>2052</v>
      </c>
      <c r="B25" s="7" t="s">
        <v>2053</v>
      </c>
      <c r="C25" s="8" t="s">
        <v>2054</v>
      </c>
      <c r="D25" s="7" t="s">
        <v>494</v>
      </c>
      <c r="E25" s="7" t="s">
        <v>1849</v>
      </c>
      <c r="F25" s="8" t="s">
        <v>2055</v>
      </c>
      <c r="G25" s="7" t="s">
        <v>1585</v>
      </c>
    </row>
    <row r="26" customFormat="false" ht="33.75" hidden="false" customHeight="true" outlineLevel="0" collapsed="false">
      <c r="A26" s="5" t="s">
        <v>2056</v>
      </c>
      <c r="B26" s="5" t="s">
        <v>2057</v>
      </c>
      <c r="C26" s="6" t="s">
        <v>2058</v>
      </c>
      <c r="D26" s="5" t="s">
        <v>494</v>
      </c>
      <c r="E26" s="5" t="s">
        <v>206</v>
      </c>
      <c r="F26" s="6"/>
      <c r="G26" s="5" t="s">
        <v>1585</v>
      </c>
    </row>
    <row r="27" customFormat="false" ht="33.75" hidden="false" customHeight="true" outlineLevel="0" collapsed="false">
      <c r="A27" s="7" t="s">
        <v>2059</v>
      </c>
      <c r="B27" s="7" t="s">
        <v>2060</v>
      </c>
      <c r="C27" s="8" t="s">
        <v>2061</v>
      </c>
      <c r="D27" s="7" t="s">
        <v>2062</v>
      </c>
      <c r="E27" s="7" t="s">
        <v>2063</v>
      </c>
      <c r="F27" s="8" t="s">
        <v>2064</v>
      </c>
      <c r="G27" s="7" t="s">
        <v>2065</v>
      </c>
    </row>
    <row r="28" customFormat="false" ht="33.75" hidden="false" customHeight="true" outlineLevel="0" collapsed="false">
      <c r="A28" s="5" t="s">
        <v>2066</v>
      </c>
      <c r="B28" s="5" t="s">
        <v>2067</v>
      </c>
      <c r="C28" s="6" t="s">
        <v>2068</v>
      </c>
      <c r="D28" s="5" t="s">
        <v>2062</v>
      </c>
      <c r="E28" s="5" t="s">
        <v>2063</v>
      </c>
      <c r="F28" s="6" t="s">
        <v>2069</v>
      </c>
      <c r="G28" s="5" t="s">
        <v>2065</v>
      </c>
    </row>
    <row r="29" customFormat="false" ht="33.75" hidden="false" customHeight="true" outlineLevel="0" collapsed="false">
      <c r="A29" s="7" t="s">
        <v>2070</v>
      </c>
      <c r="B29" s="7" t="s">
        <v>2071</v>
      </c>
      <c r="C29" s="8" t="s">
        <v>2072</v>
      </c>
      <c r="D29" s="7" t="s">
        <v>494</v>
      </c>
      <c r="E29" s="7" t="s">
        <v>479</v>
      </c>
      <c r="F29" s="8" t="s">
        <v>2073</v>
      </c>
      <c r="G29" s="7" t="s">
        <v>811</v>
      </c>
    </row>
    <row r="30" customFormat="false" ht="33.75" hidden="false" customHeight="true" outlineLevel="0" collapsed="false">
      <c r="A30" s="5" t="s">
        <v>2074</v>
      </c>
      <c r="B30" s="5" t="s">
        <v>2075</v>
      </c>
      <c r="C30" s="6" t="s">
        <v>2076</v>
      </c>
      <c r="D30" s="5" t="s">
        <v>494</v>
      </c>
      <c r="E30" s="5" t="s">
        <v>2077</v>
      </c>
      <c r="F30" s="6" t="s">
        <v>2078</v>
      </c>
      <c r="G30" s="5" t="s">
        <v>860</v>
      </c>
    </row>
    <row r="31" customFormat="false" ht="33.75" hidden="false" customHeight="true" outlineLevel="0" collapsed="false">
      <c r="A31" s="7" t="s">
        <v>2079</v>
      </c>
      <c r="B31" s="7" t="s">
        <v>2080</v>
      </c>
      <c r="C31" s="8" t="s">
        <v>2081</v>
      </c>
      <c r="D31" s="7" t="s">
        <v>494</v>
      </c>
      <c r="E31" s="7" t="s">
        <v>2082</v>
      </c>
      <c r="F31" s="8"/>
      <c r="G31" s="7" t="s">
        <v>864</v>
      </c>
    </row>
    <row r="32" customFormat="false" ht="33.75" hidden="false" customHeight="true" outlineLevel="0" collapsed="false">
      <c r="A32" s="5" t="s">
        <v>2083</v>
      </c>
      <c r="B32" s="5" t="s">
        <v>2084</v>
      </c>
      <c r="C32" s="6" t="s">
        <v>2085</v>
      </c>
      <c r="D32" s="5" t="s">
        <v>2086</v>
      </c>
      <c r="E32" s="5" t="s">
        <v>231</v>
      </c>
      <c r="F32" s="6" t="s">
        <v>2087</v>
      </c>
      <c r="G32" s="5" t="s">
        <v>2088</v>
      </c>
    </row>
    <row r="33" customFormat="false" ht="33.75" hidden="false" customHeight="true" outlineLevel="0" collapsed="false">
      <c r="A33" s="7" t="s">
        <v>2089</v>
      </c>
      <c r="B33" s="7" t="s">
        <v>2090</v>
      </c>
      <c r="C33" s="8" t="s">
        <v>2091</v>
      </c>
      <c r="D33" s="7" t="s">
        <v>494</v>
      </c>
      <c r="E33" s="7" t="s">
        <v>1849</v>
      </c>
      <c r="F33" s="8" t="s">
        <v>2092</v>
      </c>
      <c r="G33" s="7" t="s">
        <v>2093</v>
      </c>
    </row>
  </sheetData>
  <autoFilter ref="A5:G33"/>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4A16"/>
    <pageSetUpPr fitToPage="tru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34"/>
    <col collapsed="false" customWidth="true" hidden="false" outlineLevel="0" max="4" min="4" style="0" width="22"/>
    <col collapsed="false" customWidth="true" hidden="false" outlineLevel="0" max="5" min="5" style="0" width="30"/>
    <col collapsed="false" customWidth="true" hidden="false" outlineLevel="0" max="6" min="6" style="0" width="58"/>
    <col collapsed="false" customWidth="true" hidden="false" outlineLevel="0" max="7" min="7" style="0" width="14"/>
  </cols>
  <sheetData>
    <row r="1" customFormat="false" ht="19.5" hidden="false" customHeight="true" outlineLevel="0" collapsed="false">
      <c r="A1" s="25" t="s">
        <v>1834</v>
      </c>
      <c r="B1" s="25"/>
      <c r="C1" s="25"/>
      <c r="D1" s="25"/>
      <c r="E1" s="25"/>
      <c r="F1" s="25"/>
      <c r="G1" s="25"/>
    </row>
    <row r="2" customFormat="false" ht="27.75" hidden="false" customHeight="true" outlineLevel="0" collapsed="false">
      <c r="A2" s="26" t="s">
        <v>2094</v>
      </c>
      <c r="B2" s="26"/>
      <c r="C2" s="26"/>
      <c r="D2" s="26"/>
      <c r="E2" s="26"/>
      <c r="F2" s="26"/>
      <c r="G2" s="26"/>
    </row>
    <row r="3" customFormat="false" ht="30" hidden="false" customHeight="true" outlineLevel="0" collapsed="false">
      <c r="A3" s="27" t="s">
        <v>2095</v>
      </c>
      <c r="B3" s="27"/>
      <c r="C3" s="27"/>
      <c r="D3" s="27"/>
      <c r="E3" s="27"/>
      <c r="F3" s="27"/>
      <c r="G3" s="27"/>
    </row>
    <row r="4" customFormat="false" ht="6" hidden="false" customHeight="true" outlineLevel="0" collapsed="false"/>
    <row r="5" customFormat="false" ht="30" hidden="false" customHeight="true" outlineLevel="0" collapsed="false">
      <c r="A5" s="28" t="s">
        <v>80</v>
      </c>
      <c r="B5" s="28" t="s">
        <v>2096</v>
      </c>
      <c r="C5" s="28" t="s">
        <v>2097</v>
      </c>
      <c r="D5" s="28" t="s">
        <v>2098</v>
      </c>
      <c r="E5" s="28" t="s">
        <v>2099</v>
      </c>
      <c r="F5" s="28" t="s">
        <v>2100</v>
      </c>
      <c r="G5" s="28" t="s">
        <v>2101</v>
      </c>
    </row>
    <row r="6" customFormat="false" ht="24" hidden="false" customHeight="true" outlineLevel="0" collapsed="false">
      <c r="A6" s="5" t="s">
        <v>2102</v>
      </c>
      <c r="B6" s="5" t="s">
        <v>936</v>
      </c>
      <c r="C6" s="5" t="s">
        <v>2103</v>
      </c>
      <c r="D6" s="5" t="s">
        <v>2104</v>
      </c>
      <c r="E6" s="5" t="s">
        <v>1849</v>
      </c>
      <c r="F6" s="6" t="s">
        <v>2105</v>
      </c>
      <c r="G6" s="5" t="s">
        <v>422</v>
      </c>
    </row>
    <row r="7" customFormat="false" ht="24" hidden="false" customHeight="true" outlineLevel="0" collapsed="false">
      <c r="A7" s="7" t="s">
        <v>2106</v>
      </c>
      <c r="B7" s="7" t="s">
        <v>2107</v>
      </c>
      <c r="C7" s="7" t="s">
        <v>2108</v>
      </c>
      <c r="D7" s="7" t="s">
        <v>2104</v>
      </c>
      <c r="E7" s="7" t="s">
        <v>2109</v>
      </c>
      <c r="F7" s="8" t="s">
        <v>2110</v>
      </c>
      <c r="G7" s="7" t="s">
        <v>420</v>
      </c>
    </row>
    <row r="8" customFormat="false" ht="24" hidden="false" customHeight="true" outlineLevel="0" collapsed="false">
      <c r="A8" s="5" t="s">
        <v>2111</v>
      </c>
      <c r="B8" s="5" t="s">
        <v>2112</v>
      </c>
      <c r="C8" s="5" t="s">
        <v>2113</v>
      </c>
      <c r="D8" s="5" t="s">
        <v>2104</v>
      </c>
      <c r="E8" s="5" t="s">
        <v>2114</v>
      </c>
      <c r="F8" s="6" t="s">
        <v>2115</v>
      </c>
      <c r="G8" s="5" t="s">
        <v>420</v>
      </c>
    </row>
    <row r="9" customFormat="false" ht="24" hidden="false" customHeight="true" outlineLevel="0" collapsed="false">
      <c r="A9" s="7" t="s">
        <v>2116</v>
      </c>
      <c r="B9" s="7" t="s">
        <v>1881</v>
      </c>
      <c r="C9" s="7" t="s">
        <v>2113</v>
      </c>
      <c r="D9" s="7" t="s">
        <v>2104</v>
      </c>
      <c r="E9" s="7" t="s">
        <v>2117</v>
      </c>
      <c r="F9" s="8" t="s">
        <v>2118</v>
      </c>
      <c r="G9" s="7" t="s">
        <v>422</v>
      </c>
    </row>
    <row r="10" customFormat="false" ht="24" hidden="false" customHeight="true" outlineLevel="0" collapsed="false">
      <c r="A10" s="5" t="s">
        <v>2119</v>
      </c>
      <c r="B10" s="5" t="s">
        <v>2120</v>
      </c>
      <c r="C10" s="5" t="s">
        <v>2108</v>
      </c>
      <c r="D10" s="5" t="s">
        <v>2104</v>
      </c>
      <c r="E10" s="5" t="s">
        <v>495</v>
      </c>
      <c r="F10" s="6" t="s">
        <v>2121</v>
      </c>
      <c r="G10" s="5" t="s">
        <v>422</v>
      </c>
    </row>
    <row r="11" customFormat="false" ht="24" hidden="false" customHeight="true" outlineLevel="0" collapsed="false">
      <c r="A11" s="7" t="s">
        <v>2122</v>
      </c>
      <c r="B11" s="7" t="s">
        <v>2123</v>
      </c>
      <c r="C11" s="7" t="s">
        <v>2108</v>
      </c>
      <c r="D11" s="7" t="s">
        <v>2104</v>
      </c>
      <c r="E11" s="7" t="s">
        <v>2124</v>
      </c>
      <c r="F11" s="8" t="s">
        <v>2125</v>
      </c>
      <c r="G11" s="7" t="s">
        <v>422</v>
      </c>
    </row>
    <row r="12" customFormat="false" ht="24" hidden="false" customHeight="true" outlineLevel="0" collapsed="false">
      <c r="A12" s="5" t="s">
        <v>2126</v>
      </c>
      <c r="B12" s="5" t="s">
        <v>1905</v>
      </c>
      <c r="C12" s="5" t="s">
        <v>2127</v>
      </c>
      <c r="D12" s="5" t="s">
        <v>2104</v>
      </c>
      <c r="E12" s="5" t="s">
        <v>2128</v>
      </c>
      <c r="F12" s="6" t="s">
        <v>2129</v>
      </c>
      <c r="G12" s="5" t="s">
        <v>422</v>
      </c>
    </row>
    <row r="13" customFormat="false" ht="24" hidden="false" customHeight="true" outlineLevel="0" collapsed="false">
      <c r="A13" s="7" t="s">
        <v>2130</v>
      </c>
      <c r="B13" s="7" t="s">
        <v>2131</v>
      </c>
      <c r="C13" s="7" t="s">
        <v>2113</v>
      </c>
      <c r="D13" s="7" t="s">
        <v>2104</v>
      </c>
      <c r="E13" s="7" t="s">
        <v>2132</v>
      </c>
      <c r="F13" s="8" t="s">
        <v>2133</v>
      </c>
      <c r="G13" s="7" t="s">
        <v>422</v>
      </c>
    </row>
    <row r="14" customFormat="false" ht="24" hidden="false" customHeight="true" outlineLevel="0" collapsed="false">
      <c r="A14" s="5" t="s">
        <v>2134</v>
      </c>
      <c r="B14" s="5" t="s">
        <v>2135</v>
      </c>
      <c r="C14" s="5" t="s">
        <v>2136</v>
      </c>
      <c r="D14" s="5" t="s">
        <v>2137</v>
      </c>
      <c r="E14" s="5" t="s">
        <v>2138</v>
      </c>
      <c r="F14" s="6" t="s">
        <v>2139</v>
      </c>
      <c r="G14" s="5" t="s">
        <v>422</v>
      </c>
    </row>
    <row r="15" customFormat="false" ht="24" hidden="false" customHeight="true" outlineLevel="0" collapsed="false">
      <c r="A15" s="7" t="s">
        <v>2140</v>
      </c>
      <c r="B15" s="7" t="s">
        <v>2141</v>
      </c>
      <c r="C15" s="7" t="s">
        <v>2113</v>
      </c>
      <c r="D15" s="7" t="s">
        <v>2104</v>
      </c>
      <c r="E15" s="7" t="s">
        <v>2142</v>
      </c>
      <c r="F15" s="8" t="s">
        <v>2143</v>
      </c>
      <c r="G15" s="7" t="s">
        <v>422</v>
      </c>
    </row>
    <row r="16" customFormat="false" ht="24" hidden="false" customHeight="true" outlineLevel="0" collapsed="false">
      <c r="A16" s="5" t="s">
        <v>2144</v>
      </c>
      <c r="B16" s="5" t="s">
        <v>2145</v>
      </c>
      <c r="C16" s="5" t="s">
        <v>2108</v>
      </c>
      <c r="D16" s="5" t="s">
        <v>2104</v>
      </c>
      <c r="E16" s="5" t="s">
        <v>2146</v>
      </c>
      <c r="F16" s="6" t="s">
        <v>2147</v>
      </c>
      <c r="G16" s="5" t="s">
        <v>422</v>
      </c>
    </row>
    <row r="17" customFormat="false" ht="24" hidden="false" customHeight="true" outlineLevel="0" collapsed="false">
      <c r="A17" s="7" t="s">
        <v>2148</v>
      </c>
      <c r="B17" s="7" t="s">
        <v>2149</v>
      </c>
      <c r="C17" s="7" t="s">
        <v>2108</v>
      </c>
      <c r="D17" s="7" t="s">
        <v>2104</v>
      </c>
      <c r="E17" s="7" t="s">
        <v>2150</v>
      </c>
      <c r="F17" s="8" t="s">
        <v>2151</v>
      </c>
      <c r="G17" s="7" t="s">
        <v>422</v>
      </c>
    </row>
    <row r="18" customFormat="false" ht="24" hidden="false" customHeight="true" outlineLevel="0" collapsed="false">
      <c r="A18" s="5" t="s">
        <v>2152</v>
      </c>
      <c r="B18" s="5" t="s">
        <v>2080</v>
      </c>
      <c r="C18" s="5" t="s">
        <v>2113</v>
      </c>
      <c r="D18" s="5" t="s">
        <v>2104</v>
      </c>
      <c r="E18" s="5" t="s">
        <v>2153</v>
      </c>
      <c r="F18" s="6" t="s">
        <v>2154</v>
      </c>
      <c r="G18" s="5" t="s">
        <v>420</v>
      </c>
    </row>
    <row r="19" customFormat="false" ht="24" hidden="false" customHeight="true" outlineLevel="0" collapsed="false">
      <c r="A19" s="7" t="s">
        <v>2155</v>
      </c>
      <c r="B19" s="7" t="s">
        <v>2156</v>
      </c>
      <c r="C19" s="7" t="s">
        <v>2157</v>
      </c>
      <c r="D19" s="7" t="s">
        <v>41</v>
      </c>
      <c r="E19" s="7" t="s">
        <v>2158</v>
      </c>
      <c r="F19" s="8" t="s">
        <v>2159</v>
      </c>
      <c r="G19" s="7" t="s">
        <v>422</v>
      </c>
    </row>
    <row r="20" customFormat="false" ht="24" hidden="false" customHeight="true" outlineLevel="0" collapsed="false">
      <c r="A20" s="5" t="s">
        <v>2160</v>
      </c>
      <c r="B20" s="5" t="s">
        <v>2013</v>
      </c>
      <c r="C20" s="5" t="s">
        <v>2161</v>
      </c>
      <c r="D20" s="5" t="s">
        <v>2162</v>
      </c>
      <c r="E20" s="5" t="s">
        <v>1849</v>
      </c>
      <c r="F20" s="6" t="s">
        <v>2163</v>
      </c>
      <c r="G20" s="5" t="s">
        <v>422</v>
      </c>
    </row>
    <row r="21" customFormat="false" ht="24" hidden="false" customHeight="true" outlineLevel="0" collapsed="false">
      <c r="A21" s="7" t="s">
        <v>2164</v>
      </c>
      <c r="B21" s="7" t="s">
        <v>2165</v>
      </c>
      <c r="C21" s="7" t="s">
        <v>2161</v>
      </c>
      <c r="D21" s="7" t="s">
        <v>43</v>
      </c>
      <c r="E21" s="7" t="s">
        <v>1849</v>
      </c>
      <c r="F21" s="8" t="s">
        <v>2163</v>
      </c>
      <c r="G21" s="7" t="s">
        <v>422</v>
      </c>
    </row>
  </sheetData>
  <autoFilter ref="A5:G21"/>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4A16"/>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90"/>
    <col collapsed="false" customWidth="true" hidden="false" outlineLevel="0" max="4" min="4" style="0" width="18"/>
    <col collapsed="false" customWidth="true" hidden="false" outlineLevel="0" max="5" min="5" style="0" width="20"/>
    <col collapsed="false" customWidth="true" hidden="false" outlineLevel="0" max="6" min="6" style="0" width="24"/>
    <col collapsed="false" customWidth="true" hidden="false" outlineLevel="0" max="7" min="7" style="0" width="36"/>
  </cols>
  <sheetData>
    <row r="1" customFormat="false" ht="19.5" hidden="false" customHeight="true" outlineLevel="0" collapsed="false">
      <c r="A1" s="25" t="s">
        <v>1834</v>
      </c>
      <c r="B1" s="25"/>
      <c r="C1" s="25"/>
      <c r="D1" s="25"/>
      <c r="E1" s="25"/>
      <c r="F1" s="25"/>
      <c r="G1" s="25"/>
    </row>
    <row r="2" customFormat="false" ht="27.75" hidden="false" customHeight="true" outlineLevel="0" collapsed="false">
      <c r="A2" s="26" t="s">
        <v>2166</v>
      </c>
      <c r="B2" s="26"/>
      <c r="C2" s="26"/>
      <c r="D2" s="26"/>
      <c r="E2" s="26"/>
      <c r="F2" s="26"/>
      <c r="G2" s="26"/>
    </row>
    <row r="3" customFormat="false" ht="30" hidden="false" customHeight="true" outlineLevel="0" collapsed="false">
      <c r="A3" s="27" t="s">
        <v>2167</v>
      </c>
      <c r="B3" s="27"/>
      <c r="C3" s="27"/>
      <c r="D3" s="27"/>
      <c r="E3" s="27"/>
      <c r="F3" s="27"/>
      <c r="G3" s="27"/>
    </row>
    <row r="4" customFormat="false" ht="6" hidden="false" customHeight="true" outlineLevel="0" collapsed="false"/>
    <row r="5" customFormat="false" ht="30" hidden="false" customHeight="true" outlineLevel="0" collapsed="false">
      <c r="A5" s="28" t="s">
        <v>80</v>
      </c>
      <c r="B5" s="28" t="s">
        <v>2168</v>
      </c>
      <c r="C5" s="28" t="s">
        <v>447</v>
      </c>
      <c r="D5" s="28" t="s">
        <v>2169</v>
      </c>
      <c r="E5" s="28" t="s">
        <v>40</v>
      </c>
      <c r="F5" s="28" t="s">
        <v>1843</v>
      </c>
      <c r="G5" s="28" t="s">
        <v>2170</v>
      </c>
    </row>
    <row r="6" customFormat="false" ht="33.75" hidden="false" customHeight="true" outlineLevel="0" collapsed="false">
      <c r="A6" s="5" t="s">
        <v>2171</v>
      </c>
      <c r="B6" s="5" t="s">
        <v>2172</v>
      </c>
      <c r="C6" s="6" t="s">
        <v>2173</v>
      </c>
      <c r="D6" s="5" t="s">
        <v>2104</v>
      </c>
      <c r="E6" s="5" t="s">
        <v>107</v>
      </c>
      <c r="F6" s="5" t="s">
        <v>2174</v>
      </c>
      <c r="G6" s="5" t="s">
        <v>2175</v>
      </c>
    </row>
    <row r="7" customFormat="false" ht="33.75" hidden="false" customHeight="true" outlineLevel="0" collapsed="false">
      <c r="A7" s="7" t="s">
        <v>2176</v>
      </c>
      <c r="B7" s="7" t="s">
        <v>2177</v>
      </c>
      <c r="C7" s="8" t="s">
        <v>2178</v>
      </c>
      <c r="D7" s="7" t="s">
        <v>2104</v>
      </c>
      <c r="E7" s="7" t="s">
        <v>2179</v>
      </c>
      <c r="F7" s="7" t="s">
        <v>1849</v>
      </c>
      <c r="G7" s="7" t="s">
        <v>2180</v>
      </c>
    </row>
    <row r="8" customFormat="false" ht="33.75" hidden="false" customHeight="true" outlineLevel="0" collapsed="false">
      <c r="A8" s="5" t="s">
        <v>2181</v>
      </c>
      <c r="B8" s="5" t="s">
        <v>2182</v>
      </c>
      <c r="C8" s="6" t="s">
        <v>2183</v>
      </c>
      <c r="D8" s="5" t="s">
        <v>2104</v>
      </c>
      <c r="E8" s="5" t="s">
        <v>107</v>
      </c>
      <c r="F8" s="5" t="s">
        <v>2184</v>
      </c>
      <c r="G8" s="5" t="s">
        <v>2185</v>
      </c>
    </row>
    <row r="9" customFormat="false" ht="33.75" hidden="false" customHeight="true" outlineLevel="0" collapsed="false">
      <c r="A9" s="7" t="s">
        <v>2186</v>
      </c>
      <c r="B9" s="7" t="s">
        <v>2187</v>
      </c>
      <c r="C9" s="8" t="s">
        <v>2188</v>
      </c>
      <c r="D9" s="7" t="s">
        <v>2104</v>
      </c>
      <c r="E9" s="7" t="s">
        <v>107</v>
      </c>
      <c r="F9" s="7" t="s">
        <v>2184</v>
      </c>
      <c r="G9" s="7" t="s">
        <v>2189</v>
      </c>
    </row>
    <row r="10" customFormat="false" ht="33.75" hidden="false" customHeight="true" outlineLevel="0" collapsed="false">
      <c r="A10" s="5" t="s">
        <v>2190</v>
      </c>
      <c r="B10" s="5" t="s">
        <v>2141</v>
      </c>
      <c r="C10" s="6" t="s">
        <v>2191</v>
      </c>
      <c r="D10" s="5" t="s">
        <v>494</v>
      </c>
      <c r="E10" s="5" t="s">
        <v>114</v>
      </c>
      <c r="F10" s="5" t="s">
        <v>1849</v>
      </c>
      <c r="G10" s="5" t="s">
        <v>2192</v>
      </c>
    </row>
    <row r="11" customFormat="false" ht="33.75" hidden="false" customHeight="true" outlineLevel="0" collapsed="false">
      <c r="A11" s="7" t="s">
        <v>2193</v>
      </c>
      <c r="B11" s="7" t="s">
        <v>2194</v>
      </c>
      <c r="C11" s="8" t="s">
        <v>2195</v>
      </c>
      <c r="D11" s="7" t="s">
        <v>494</v>
      </c>
      <c r="E11" s="7" t="s">
        <v>114</v>
      </c>
      <c r="F11" s="7" t="s">
        <v>2082</v>
      </c>
      <c r="G11" s="7" t="s">
        <v>2196</v>
      </c>
    </row>
    <row r="12" customFormat="false" ht="33.75" hidden="false" customHeight="true" outlineLevel="0" collapsed="false">
      <c r="A12" s="5" t="s">
        <v>2197</v>
      </c>
      <c r="B12" s="5" t="s">
        <v>2198</v>
      </c>
      <c r="C12" s="6" t="s">
        <v>2199</v>
      </c>
      <c r="D12" s="5" t="s">
        <v>494</v>
      </c>
      <c r="E12" s="5" t="s">
        <v>131</v>
      </c>
      <c r="F12" s="5" t="s">
        <v>2082</v>
      </c>
      <c r="G12" s="5" t="s">
        <v>2200</v>
      </c>
    </row>
    <row r="13" customFormat="false" ht="33.75" hidden="false" customHeight="true" outlineLevel="0" collapsed="false">
      <c r="A13" s="7" t="s">
        <v>2201</v>
      </c>
      <c r="B13" s="7" t="s">
        <v>2202</v>
      </c>
      <c r="C13" s="8" t="s">
        <v>2203</v>
      </c>
      <c r="D13" s="7" t="s">
        <v>494</v>
      </c>
      <c r="E13" s="7" t="s">
        <v>41</v>
      </c>
      <c r="F13" s="7" t="s">
        <v>2204</v>
      </c>
      <c r="G13" s="7" t="s">
        <v>2205</v>
      </c>
    </row>
  </sheetData>
  <autoFilter ref="A5:G13"/>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4A16"/>
    <pageSetUpPr fitToPage="tru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26"/>
    <col collapsed="false" customWidth="true" hidden="false" outlineLevel="0" max="4" min="4" style="0" width="66"/>
    <col collapsed="false" customWidth="true" hidden="false" outlineLevel="0" max="5" min="5" style="0" width="44"/>
    <col collapsed="false" customWidth="true" hidden="false" outlineLevel="0" max="6" min="6" style="0" width="20"/>
  </cols>
  <sheetData>
    <row r="1" customFormat="false" ht="19.5" hidden="false" customHeight="true" outlineLevel="0" collapsed="false">
      <c r="A1" s="25" t="s">
        <v>1834</v>
      </c>
      <c r="B1" s="25"/>
      <c r="C1" s="25"/>
      <c r="D1" s="25"/>
      <c r="E1" s="25"/>
      <c r="F1" s="25"/>
    </row>
    <row r="2" customFormat="false" ht="27.75" hidden="false" customHeight="true" outlineLevel="0" collapsed="false">
      <c r="A2" s="26" t="s">
        <v>2206</v>
      </c>
      <c r="B2" s="26"/>
      <c r="C2" s="26"/>
      <c r="D2" s="26"/>
      <c r="E2" s="26"/>
      <c r="F2" s="26"/>
    </row>
    <row r="3" customFormat="false" ht="30" hidden="false" customHeight="true" outlineLevel="0" collapsed="false">
      <c r="A3" s="27" t="s">
        <v>2207</v>
      </c>
      <c r="B3" s="27"/>
      <c r="C3" s="27"/>
      <c r="D3" s="27"/>
      <c r="E3" s="27"/>
      <c r="F3" s="27"/>
    </row>
    <row r="4" customFormat="false" ht="6" hidden="false" customHeight="true" outlineLevel="0" collapsed="false"/>
    <row r="5" customFormat="false" ht="30" hidden="false" customHeight="true" outlineLevel="0" collapsed="false">
      <c r="A5" s="28" t="s">
        <v>2208</v>
      </c>
      <c r="B5" s="28" t="s">
        <v>40</v>
      </c>
      <c r="C5" s="28" t="s">
        <v>1843</v>
      </c>
      <c r="D5" s="28" t="s">
        <v>2209</v>
      </c>
      <c r="E5" s="28" t="s">
        <v>2210</v>
      </c>
      <c r="F5" s="28" t="s">
        <v>2211</v>
      </c>
    </row>
    <row r="6" customFormat="false" ht="31.5" hidden="false" customHeight="true" outlineLevel="0" collapsed="false">
      <c r="A6" s="5" t="s">
        <v>2212</v>
      </c>
      <c r="B6" s="5" t="s">
        <v>99</v>
      </c>
      <c r="C6" s="5" t="s">
        <v>1886</v>
      </c>
      <c r="D6" s="6" t="s">
        <v>2213</v>
      </c>
      <c r="E6" s="6" t="s">
        <v>2214</v>
      </c>
      <c r="F6" s="5" t="s">
        <v>41</v>
      </c>
    </row>
    <row r="7" customFormat="false" ht="31.5" hidden="false" customHeight="true" outlineLevel="0" collapsed="false">
      <c r="A7" s="7" t="s">
        <v>2215</v>
      </c>
      <c r="B7" s="7" t="s">
        <v>99</v>
      </c>
      <c r="C7" s="7" t="s">
        <v>1886</v>
      </c>
      <c r="D7" s="8" t="s">
        <v>2216</v>
      </c>
      <c r="E7" s="8" t="s">
        <v>2217</v>
      </c>
      <c r="F7" s="7" t="s">
        <v>41</v>
      </c>
    </row>
    <row r="8" customFormat="false" ht="31.5" hidden="false" customHeight="true" outlineLevel="0" collapsed="false">
      <c r="A8" s="5" t="s">
        <v>2218</v>
      </c>
      <c r="B8" s="5" t="s">
        <v>158</v>
      </c>
      <c r="C8" s="5" t="s">
        <v>216</v>
      </c>
      <c r="D8" s="6" t="s">
        <v>2219</v>
      </c>
      <c r="E8" s="6" t="s">
        <v>2220</v>
      </c>
      <c r="F8" s="5" t="s">
        <v>43</v>
      </c>
    </row>
    <row r="9" customFormat="false" ht="31.5" hidden="false" customHeight="true" outlineLevel="0" collapsed="false">
      <c r="A9" s="7" t="s">
        <v>2221</v>
      </c>
      <c r="B9" s="7" t="s">
        <v>104</v>
      </c>
      <c r="C9" s="7" t="s">
        <v>1900</v>
      </c>
      <c r="D9" s="8" t="s">
        <v>2222</v>
      </c>
      <c r="E9" s="8" t="s">
        <v>2223</v>
      </c>
      <c r="F9" s="7" t="s">
        <v>41</v>
      </c>
    </row>
    <row r="10" customFormat="false" ht="31.5" hidden="false" customHeight="true" outlineLevel="0" collapsed="false">
      <c r="A10" s="5" t="s">
        <v>2224</v>
      </c>
      <c r="B10" s="5" t="s">
        <v>41</v>
      </c>
      <c r="C10" s="5" t="s">
        <v>2225</v>
      </c>
      <c r="D10" s="6" t="s">
        <v>2226</v>
      </c>
      <c r="E10" s="6" t="s">
        <v>2227</v>
      </c>
      <c r="F10" s="5" t="s">
        <v>43</v>
      </c>
    </row>
    <row r="11" customFormat="false" ht="31.5" hidden="false" customHeight="true" outlineLevel="0" collapsed="false">
      <c r="A11" s="7" t="s">
        <v>2228</v>
      </c>
      <c r="B11" s="7" t="s">
        <v>99</v>
      </c>
      <c r="C11" s="7" t="s">
        <v>1914</v>
      </c>
      <c r="D11" s="8" t="s">
        <v>2229</v>
      </c>
      <c r="E11" s="8" t="s">
        <v>2230</v>
      </c>
      <c r="F11" s="7" t="s">
        <v>41</v>
      </c>
    </row>
    <row r="12" customFormat="false" ht="31.5" hidden="false" customHeight="true" outlineLevel="0" collapsed="false">
      <c r="A12" s="5" t="s">
        <v>1528</v>
      </c>
      <c r="B12" s="5" t="s">
        <v>99</v>
      </c>
      <c r="C12" s="5" t="s">
        <v>1921</v>
      </c>
      <c r="D12" s="6" t="s">
        <v>2231</v>
      </c>
      <c r="E12" s="6" t="s">
        <v>2232</v>
      </c>
      <c r="F12" s="5" t="s">
        <v>41</v>
      </c>
    </row>
    <row r="13" customFormat="false" ht="31.5" hidden="false" customHeight="true" outlineLevel="0" collapsed="false">
      <c r="A13" s="7" t="s">
        <v>2233</v>
      </c>
      <c r="B13" s="7" t="s">
        <v>41</v>
      </c>
      <c r="C13" s="7" t="s">
        <v>2234</v>
      </c>
      <c r="D13" s="8" t="s">
        <v>2235</v>
      </c>
      <c r="E13" s="8" t="s">
        <v>2236</v>
      </c>
      <c r="F13" s="7" t="s">
        <v>43</v>
      </c>
    </row>
    <row r="14" customFormat="false" ht="31.5" hidden="false" customHeight="true" outlineLevel="0" collapsed="false">
      <c r="A14" s="5" t="s">
        <v>2237</v>
      </c>
      <c r="B14" s="5" t="s">
        <v>107</v>
      </c>
      <c r="C14" s="5" t="s">
        <v>2238</v>
      </c>
      <c r="D14" s="6" t="s">
        <v>2239</v>
      </c>
      <c r="E14" s="6" t="s">
        <v>2240</v>
      </c>
      <c r="F14" s="5" t="s">
        <v>41</v>
      </c>
    </row>
    <row r="15" customFormat="false" ht="31.5" hidden="false" customHeight="true" outlineLevel="0" collapsed="false">
      <c r="A15" s="7" t="s">
        <v>2241</v>
      </c>
      <c r="B15" s="7" t="s">
        <v>107</v>
      </c>
      <c r="C15" s="7" t="s">
        <v>2174</v>
      </c>
      <c r="D15" s="8" t="s">
        <v>2242</v>
      </c>
      <c r="E15" s="8" t="s">
        <v>2240</v>
      </c>
      <c r="F15" s="7" t="s">
        <v>41</v>
      </c>
    </row>
    <row r="16" customFormat="false" ht="31.5" hidden="false" customHeight="true" outlineLevel="0" collapsed="false">
      <c r="A16" s="5" t="s">
        <v>2243</v>
      </c>
      <c r="B16" s="5" t="s">
        <v>2244</v>
      </c>
      <c r="C16" s="5" t="s">
        <v>2245</v>
      </c>
      <c r="D16" s="6" t="s">
        <v>2246</v>
      </c>
      <c r="E16" s="6" t="s">
        <v>2236</v>
      </c>
      <c r="F16" s="5" t="s">
        <v>43</v>
      </c>
    </row>
    <row r="17" customFormat="false" ht="31.5" hidden="false" customHeight="true" outlineLevel="0" collapsed="false">
      <c r="A17" s="7" t="s">
        <v>2247</v>
      </c>
      <c r="B17" s="7" t="s">
        <v>41</v>
      </c>
      <c r="C17" s="7" t="s">
        <v>231</v>
      </c>
      <c r="D17" s="8" t="s">
        <v>2248</v>
      </c>
      <c r="E17" s="8" t="s">
        <v>2249</v>
      </c>
      <c r="F17" s="7" t="s">
        <v>43</v>
      </c>
    </row>
  </sheetData>
  <autoFilter ref="A5:F17"/>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1F3D"/>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0"/>
    <col collapsed="false" customWidth="true" hidden="false" outlineLevel="0" max="3" min="3" style="0" width="26"/>
    <col collapsed="false" customWidth="true" hidden="false" outlineLevel="0" max="4" min="4" style="0" width="30"/>
    <col collapsed="false" customWidth="true" hidden="false" outlineLevel="0" max="5" min="5" style="0" width="32"/>
    <col collapsed="false" customWidth="true" hidden="false" outlineLevel="0" max="6" min="6" style="0" width="52"/>
    <col collapsed="false" customWidth="true" hidden="false" outlineLevel="0" max="7" min="7" style="0" width="44"/>
  </cols>
  <sheetData>
    <row r="1" customFormat="false" ht="19.5" hidden="false" customHeight="true" outlineLevel="0" collapsed="false">
      <c r="A1" s="29" t="s">
        <v>2250</v>
      </c>
      <c r="B1" s="29"/>
      <c r="C1" s="29"/>
      <c r="D1" s="29"/>
      <c r="E1" s="29"/>
      <c r="F1" s="29"/>
      <c r="G1" s="29"/>
    </row>
    <row r="2" customFormat="false" ht="27.75" hidden="false" customHeight="true" outlineLevel="0" collapsed="false">
      <c r="A2" s="30" t="s">
        <v>2251</v>
      </c>
      <c r="B2" s="30"/>
      <c r="C2" s="30"/>
      <c r="D2" s="30"/>
      <c r="E2" s="30"/>
      <c r="F2" s="30"/>
      <c r="G2" s="30"/>
    </row>
    <row r="3" customFormat="false" ht="30" hidden="false" customHeight="true" outlineLevel="0" collapsed="false">
      <c r="A3" s="31" t="s">
        <v>2252</v>
      </c>
      <c r="B3" s="31"/>
      <c r="C3" s="31"/>
      <c r="D3" s="31"/>
      <c r="E3" s="31"/>
      <c r="F3" s="31"/>
      <c r="G3" s="31"/>
    </row>
    <row r="4" customFormat="false" ht="6" hidden="false" customHeight="true" outlineLevel="0" collapsed="false"/>
    <row r="5" customFormat="false" ht="30" hidden="false" customHeight="true" outlineLevel="0" collapsed="false">
      <c r="A5" s="32" t="s">
        <v>2253</v>
      </c>
      <c r="B5" s="32" t="s">
        <v>945</v>
      </c>
      <c r="C5" s="32" t="s">
        <v>81</v>
      </c>
      <c r="D5" s="32" t="s">
        <v>2254</v>
      </c>
      <c r="E5" s="32" t="s">
        <v>1842</v>
      </c>
      <c r="F5" s="32" t="s">
        <v>2255</v>
      </c>
      <c r="G5" s="32" t="s">
        <v>2256</v>
      </c>
    </row>
    <row r="6" customFormat="false" ht="39.75" hidden="false" customHeight="true" outlineLevel="0" collapsed="false">
      <c r="A6" s="5" t="n">
        <v>1</v>
      </c>
      <c r="B6" s="6" t="s">
        <v>2257</v>
      </c>
      <c r="C6" s="5" t="s">
        <v>99</v>
      </c>
      <c r="D6" s="5" t="s">
        <v>2258</v>
      </c>
      <c r="E6" s="5" t="s">
        <v>2259</v>
      </c>
      <c r="F6" s="6" t="s">
        <v>2260</v>
      </c>
      <c r="G6" s="6" t="s">
        <v>8</v>
      </c>
    </row>
    <row r="7" customFormat="false" ht="39.75" hidden="false" customHeight="true" outlineLevel="0" collapsed="false">
      <c r="A7" s="7" t="n">
        <v>2</v>
      </c>
      <c r="B7" s="8" t="s">
        <v>2261</v>
      </c>
      <c r="C7" s="7" t="s">
        <v>99</v>
      </c>
      <c r="D7" s="7" t="s">
        <v>2262</v>
      </c>
      <c r="E7" s="7" t="s">
        <v>2263</v>
      </c>
      <c r="F7" s="8" t="s">
        <v>2264</v>
      </c>
      <c r="G7" s="8" t="s">
        <v>2265</v>
      </c>
    </row>
    <row r="8" customFormat="false" ht="39.75" hidden="false" customHeight="true" outlineLevel="0" collapsed="false">
      <c r="A8" s="5" t="n">
        <v>3</v>
      </c>
      <c r="B8" s="6" t="s">
        <v>2266</v>
      </c>
      <c r="C8" s="5" t="s">
        <v>99</v>
      </c>
      <c r="D8" s="5" t="s">
        <v>1318</v>
      </c>
      <c r="E8" s="5" t="s">
        <v>2267</v>
      </c>
      <c r="F8" s="6" t="s">
        <v>2268</v>
      </c>
      <c r="G8" s="6" t="s">
        <v>2269</v>
      </c>
    </row>
    <row r="9" customFormat="false" ht="39.75" hidden="false" customHeight="true" outlineLevel="0" collapsed="false">
      <c r="A9" s="7" t="n">
        <v>4</v>
      </c>
      <c r="B9" s="8" t="s">
        <v>2270</v>
      </c>
      <c r="C9" s="7" t="s">
        <v>99</v>
      </c>
      <c r="D9" s="7" t="s">
        <v>2271</v>
      </c>
      <c r="E9" s="7" t="s">
        <v>2272</v>
      </c>
      <c r="F9" s="8" t="s">
        <v>2273</v>
      </c>
      <c r="G9" s="8" t="s">
        <v>2274</v>
      </c>
    </row>
    <row r="10" customFormat="false" ht="39.75" hidden="false" customHeight="true" outlineLevel="0" collapsed="false">
      <c r="A10" s="5" t="n">
        <v>5</v>
      </c>
      <c r="B10" s="6" t="s">
        <v>2275</v>
      </c>
      <c r="C10" s="5" t="s">
        <v>99</v>
      </c>
      <c r="D10" s="5" t="s">
        <v>2276</v>
      </c>
      <c r="E10" s="5" t="s">
        <v>2277</v>
      </c>
      <c r="F10" s="6" t="s">
        <v>224</v>
      </c>
      <c r="G10" s="6" t="s">
        <v>2278</v>
      </c>
    </row>
    <row r="11" customFormat="false" ht="39.75" hidden="false" customHeight="true" outlineLevel="0" collapsed="false">
      <c r="A11" s="7" t="n">
        <v>6</v>
      </c>
      <c r="B11" s="8" t="s">
        <v>2279</v>
      </c>
      <c r="C11" s="7" t="s">
        <v>99</v>
      </c>
      <c r="D11" s="7" t="s">
        <v>2280</v>
      </c>
      <c r="E11" s="7" t="s">
        <v>2277</v>
      </c>
      <c r="F11" s="8" t="s">
        <v>2281</v>
      </c>
      <c r="G11" s="8" t="s">
        <v>2282</v>
      </c>
    </row>
    <row r="12" customFormat="false" ht="39.75" hidden="false" customHeight="true" outlineLevel="0" collapsed="false">
      <c r="A12" s="5" t="n">
        <v>7</v>
      </c>
      <c r="B12" s="6" t="s">
        <v>2283</v>
      </c>
      <c r="C12" s="5" t="s">
        <v>99</v>
      </c>
      <c r="D12" s="5" t="s">
        <v>2284</v>
      </c>
      <c r="E12" s="5" t="s">
        <v>2285</v>
      </c>
      <c r="F12" s="6" t="s">
        <v>2286</v>
      </c>
      <c r="G12" s="6" t="s">
        <v>2287</v>
      </c>
    </row>
    <row r="13" customFormat="false" ht="39.75" hidden="false" customHeight="true" outlineLevel="0" collapsed="false">
      <c r="A13" s="7" t="n">
        <v>8</v>
      </c>
      <c r="B13" s="8" t="s">
        <v>2288</v>
      </c>
      <c r="C13" s="7" t="s">
        <v>99</v>
      </c>
      <c r="D13" s="7" t="s">
        <v>2289</v>
      </c>
      <c r="E13" s="7" t="s">
        <v>2290</v>
      </c>
      <c r="F13" s="8" t="s">
        <v>2291</v>
      </c>
      <c r="G13" s="8" t="s">
        <v>2278</v>
      </c>
    </row>
    <row r="14" customFormat="false" ht="39.75" hidden="false" customHeight="true" outlineLevel="0" collapsed="false">
      <c r="A14" s="5" t="n">
        <v>9</v>
      </c>
      <c r="B14" s="6" t="s">
        <v>2292</v>
      </c>
      <c r="C14" s="5" t="s">
        <v>99</v>
      </c>
      <c r="D14" s="5" t="s">
        <v>2293</v>
      </c>
      <c r="E14" s="5" t="s">
        <v>2294</v>
      </c>
      <c r="F14" s="6" t="s">
        <v>2295</v>
      </c>
      <c r="G14" s="6" t="s">
        <v>8</v>
      </c>
    </row>
    <row r="15" customFormat="false" ht="39.75" hidden="false" customHeight="true" outlineLevel="0" collapsed="false">
      <c r="A15" s="7" t="n">
        <v>10</v>
      </c>
      <c r="B15" s="8" t="s">
        <v>2296</v>
      </c>
      <c r="C15" s="7" t="s">
        <v>2297</v>
      </c>
      <c r="D15" s="7" t="s">
        <v>2298</v>
      </c>
      <c r="E15" s="7" t="s">
        <v>2299</v>
      </c>
      <c r="F15" s="8" t="s">
        <v>2300</v>
      </c>
      <c r="G15" s="8" t="s">
        <v>2301</v>
      </c>
    </row>
  </sheetData>
  <autoFilter ref="A5:G15"/>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1F3D"/>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0"/>
    <col collapsed="false" customWidth="true" hidden="false" outlineLevel="0" max="4" min="3" style="0" width="66"/>
    <col collapsed="false" customWidth="true" hidden="false" outlineLevel="0" max="5" min="5" style="0" width="26"/>
    <col collapsed="false" customWidth="true" hidden="false" outlineLevel="0" max="6" min="6" style="0" width="40"/>
  </cols>
  <sheetData>
    <row r="1" customFormat="false" ht="19.5" hidden="false" customHeight="true" outlineLevel="0" collapsed="false">
      <c r="A1" s="29" t="s">
        <v>2250</v>
      </c>
      <c r="B1" s="29"/>
      <c r="C1" s="29"/>
      <c r="D1" s="29"/>
      <c r="E1" s="29"/>
      <c r="F1" s="29"/>
    </row>
    <row r="2" customFormat="false" ht="27.75" hidden="false" customHeight="true" outlineLevel="0" collapsed="false">
      <c r="A2" s="30" t="s">
        <v>2302</v>
      </c>
      <c r="B2" s="30"/>
      <c r="C2" s="30"/>
      <c r="D2" s="30"/>
      <c r="E2" s="30"/>
      <c r="F2" s="30"/>
    </row>
    <row r="3" customFormat="false" ht="30" hidden="false" customHeight="true" outlineLevel="0" collapsed="false">
      <c r="A3" s="31" t="s">
        <v>2303</v>
      </c>
      <c r="B3" s="31"/>
      <c r="C3" s="31"/>
      <c r="D3" s="31"/>
      <c r="E3" s="31"/>
      <c r="F3" s="31"/>
    </row>
    <row r="4" customFormat="false" ht="6" hidden="false" customHeight="true" outlineLevel="0" collapsed="false"/>
    <row r="5" customFormat="false" ht="30" hidden="false" customHeight="true" outlineLevel="0" collapsed="false">
      <c r="A5" s="32" t="s">
        <v>299</v>
      </c>
      <c r="B5" s="32" t="s">
        <v>2304</v>
      </c>
      <c r="C5" s="32" t="s">
        <v>2305</v>
      </c>
      <c r="D5" s="32" t="s">
        <v>2306</v>
      </c>
      <c r="E5" s="32" t="s">
        <v>2307</v>
      </c>
      <c r="F5" s="32" t="s">
        <v>2308</v>
      </c>
    </row>
    <row r="6" customFormat="false" ht="67.5" hidden="false" customHeight="true" outlineLevel="0" collapsed="false">
      <c r="A6" s="5" t="s">
        <v>390</v>
      </c>
      <c r="B6" s="6" t="s">
        <v>2309</v>
      </c>
      <c r="C6" s="6" t="s">
        <v>2310</v>
      </c>
      <c r="D6" s="6" t="s">
        <v>2311</v>
      </c>
      <c r="E6" s="5" t="s">
        <v>99</v>
      </c>
      <c r="F6" s="6" t="s">
        <v>2312</v>
      </c>
    </row>
    <row r="7" customFormat="false" ht="67.5" hidden="false" customHeight="true" outlineLevel="0" collapsed="false">
      <c r="A7" s="7" t="s">
        <v>396</v>
      </c>
      <c r="B7" s="8" t="s">
        <v>2313</v>
      </c>
      <c r="C7" s="8" t="s">
        <v>2314</v>
      </c>
      <c r="D7" s="8" t="s">
        <v>2315</v>
      </c>
      <c r="E7" s="7" t="s">
        <v>2316</v>
      </c>
      <c r="F7" s="8" t="s">
        <v>2317</v>
      </c>
    </row>
    <row r="8" customFormat="false" ht="67.5" hidden="false" customHeight="true" outlineLevel="0" collapsed="false">
      <c r="A8" s="5" t="s">
        <v>401</v>
      </c>
      <c r="B8" s="6" t="s">
        <v>2318</v>
      </c>
      <c r="C8" s="6" t="s">
        <v>2319</v>
      </c>
      <c r="D8" s="6" t="s">
        <v>2320</v>
      </c>
      <c r="E8" s="5" t="s">
        <v>110</v>
      </c>
      <c r="F8" s="6" t="s">
        <v>2321</v>
      </c>
    </row>
    <row r="9" customFormat="false" ht="67.5" hidden="false" customHeight="true" outlineLevel="0" collapsed="false">
      <c r="A9" s="7" t="s">
        <v>406</v>
      </c>
      <c r="B9" s="8" t="s">
        <v>2322</v>
      </c>
      <c r="C9" s="8" t="s">
        <v>2323</v>
      </c>
      <c r="D9" s="8" t="s">
        <v>2324</v>
      </c>
      <c r="E9" s="7" t="s">
        <v>41</v>
      </c>
      <c r="F9" s="8" t="s">
        <v>2325</v>
      </c>
    </row>
    <row r="10" customFormat="false" ht="67.5" hidden="false" customHeight="true" outlineLevel="0" collapsed="false">
      <c r="A10" s="5" t="s">
        <v>411</v>
      </c>
      <c r="B10" s="6" t="s">
        <v>2326</v>
      </c>
      <c r="C10" s="6" t="s">
        <v>2327</v>
      </c>
      <c r="D10" s="6" t="s">
        <v>2328</v>
      </c>
      <c r="E10" s="5" t="s">
        <v>114</v>
      </c>
      <c r="F10" s="6" t="s">
        <v>2329</v>
      </c>
    </row>
  </sheetData>
  <autoFilter ref="A5:F10"/>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1F3D"/>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60"/>
    <col collapsed="false" customWidth="true" hidden="false" outlineLevel="0" max="4" min="4" style="0" width="30"/>
    <col collapsed="false" customWidth="true" hidden="false" outlineLevel="0" max="5" min="5" style="0" width="58"/>
  </cols>
  <sheetData>
    <row r="1" customFormat="false" ht="19.5" hidden="false" customHeight="true" outlineLevel="0" collapsed="false">
      <c r="A1" s="29" t="s">
        <v>2250</v>
      </c>
      <c r="B1" s="29"/>
      <c r="C1" s="29"/>
      <c r="D1" s="29"/>
      <c r="E1" s="29"/>
    </row>
    <row r="2" customFormat="false" ht="27.75" hidden="false" customHeight="true" outlineLevel="0" collapsed="false">
      <c r="A2" s="30" t="s">
        <v>2330</v>
      </c>
      <c r="B2" s="30"/>
      <c r="C2" s="30"/>
      <c r="D2" s="30"/>
      <c r="E2" s="30"/>
    </row>
    <row r="3" customFormat="false" ht="30" hidden="false" customHeight="true" outlineLevel="0" collapsed="false">
      <c r="A3" s="31" t="s">
        <v>2331</v>
      </c>
      <c r="B3" s="31"/>
      <c r="C3" s="31"/>
      <c r="D3" s="31"/>
      <c r="E3" s="31"/>
    </row>
    <row r="4" customFormat="false" ht="6" hidden="false" customHeight="true" outlineLevel="0" collapsed="false"/>
    <row r="5" customFormat="false" ht="30" hidden="false" customHeight="true" outlineLevel="0" collapsed="false">
      <c r="A5" s="32" t="s">
        <v>80</v>
      </c>
      <c r="B5" s="32" t="s">
        <v>2332</v>
      </c>
      <c r="C5" s="32" t="s">
        <v>2333</v>
      </c>
      <c r="D5" s="32" t="s">
        <v>2334</v>
      </c>
      <c r="E5" s="32" t="s">
        <v>1744</v>
      </c>
    </row>
    <row r="6" customFormat="false" ht="21.75" hidden="false" customHeight="true" outlineLevel="0" collapsed="false">
      <c r="A6" s="5" t="s">
        <v>2335</v>
      </c>
      <c r="B6" s="5" t="s">
        <v>2336</v>
      </c>
      <c r="C6" s="6" t="s">
        <v>2337</v>
      </c>
      <c r="D6" s="5" t="s">
        <v>2338</v>
      </c>
      <c r="E6" s="6" t="s">
        <v>2339</v>
      </c>
    </row>
    <row r="7" customFormat="false" ht="21.75" hidden="false" customHeight="true" outlineLevel="0" collapsed="false">
      <c r="A7" s="7" t="s">
        <v>2340</v>
      </c>
      <c r="B7" s="7" t="s">
        <v>2341</v>
      </c>
      <c r="C7" s="8" t="s">
        <v>2342</v>
      </c>
      <c r="D7" s="7" t="s">
        <v>2338</v>
      </c>
      <c r="E7" s="8" t="s">
        <v>2343</v>
      </c>
    </row>
    <row r="8" customFormat="false" ht="21.75" hidden="false" customHeight="true" outlineLevel="0" collapsed="false">
      <c r="A8" s="5" t="s">
        <v>2344</v>
      </c>
      <c r="B8" s="5" t="s">
        <v>2345</v>
      </c>
      <c r="C8" s="6" t="s">
        <v>2346</v>
      </c>
      <c r="D8" s="5" t="s">
        <v>2338</v>
      </c>
      <c r="E8" s="6" t="s">
        <v>2347</v>
      </c>
    </row>
    <row r="9" customFormat="false" ht="21.75" hidden="false" customHeight="true" outlineLevel="0" collapsed="false">
      <c r="A9" s="7" t="s">
        <v>2348</v>
      </c>
      <c r="B9" s="7" t="s">
        <v>2349</v>
      </c>
      <c r="C9" s="8" t="s">
        <v>2350</v>
      </c>
      <c r="D9" s="7" t="s">
        <v>2338</v>
      </c>
      <c r="E9" s="8" t="s">
        <v>2351</v>
      </c>
    </row>
    <row r="10" customFormat="false" ht="21.75" hidden="false" customHeight="true" outlineLevel="0" collapsed="false">
      <c r="A10" s="5" t="s">
        <v>2352</v>
      </c>
      <c r="B10" s="5" t="s">
        <v>2353</v>
      </c>
      <c r="C10" s="6" t="s">
        <v>2354</v>
      </c>
      <c r="D10" s="5" t="s">
        <v>2338</v>
      </c>
      <c r="E10" s="6" t="s">
        <v>2355</v>
      </c>
    </row>
    <row r="11" customFormat="false" ht="21.75" hidden="false" customHeight="true" outlineLevel="0" collapsed="false">
      <c r="A11" s="7" t="s">
        <v>2356</v>
      </c>
      <c r="B11" s="7" t="s">
        <v>2357</v>
      </c>
      <c r="C11" s="8" t="s">
        <v>2358</v>
      </c>
      <c r="D11" s="7" t="s">
        <v>2338</v>
      </c>
      <c r="E11" s="8" t="s">
        <v>2359</v>
      </c>
    </row>
    <row r="12" customFormat="false" ht="21.75" hidden="false" customHeight="true" outlineLevel="0" collapsed="false">
      <c r="A12" s="5" t="s">
        <v>2360</v>
      </c>
      <c r="B12" s="5" t="s">
        <v>2361</v>
      </c>
      <c r="C12" s="6" t="s">
        <v>2362</v>
      </c>
      <c r="D12" s="5" t="s">
        <v>2338</v>
      </c>
      <c r="E12" s="6" t="s">
        <v>2363</v>
      </c>
    </row>
    <row r="13" customFormat="false" ht="21.75" hidden="false" customHeight="true" outlineLevel="0" collapsed="false">
      <c r="A13" s="7" t="s">
        <v>2364</v>
      </c>
      <c r="B13" s="7" t="s">
        <v>2365</v>
      </c>
      <c r="C13" s="8" t="s">
        <v>2366</v>
      </c>
      <c r="D13" s="7" t="s">
        <v>2338</v>
      </c>
      <c r="E13" s="8" t="s">
        <v>2367</v>
      </c>
    </row>
    <row r="14" customFormat="false" ht="21.75" hidden="false" customHeight="true" outlineLevel="0" collapsed="false">
      <c r="A14" s="5" t="s">
        <v>2368</v>
      </c>
      <c r="B14" s="5" t="s">
        <v>2369</v>
      </c>
      <c r="C14" s="6" t="s">
        <v>2370</v>
      </c>
      <c r="D14" s="5" t="s">
        <v>2338</v>
      </c>
      <c r="E14" s="6" t="s">
        <v>2371</v>
      </c>
    </row>
    <row r="15" customFormat="false" ht="21.75" hidden="false" customHeight="true" outlineLevel="0" collapsed="false">
      <c r="A15" s="7" t="s">
        <v>2372</v>
      </c>
      <c r="B15" s="7" t="s">
        <v>2373</v>
      </c>
      <c r="C15" s="8" t="s">
        <v>2374</v>
      </c>
      <c r="D15" s="7" t="s">
        <v>2338</v>
      </c>
      <c r="E15" s="8" t="s">
        <v>2375</v>
      </c>
    </row>
    <row r="16" customFormat="false" ht="21.75" hidden="false" customHeight="true" outlineLevel="0" collapsed="false">
      <c r="A16" s="5" t="s">
        <v>2376</v>
      </c>
      <c r="B16" s="5" t="s">
        <v>2377</v>
      </c>
      <c r="C16" s="6" t="s">
        <v>2378</v>
      </c>
      <c r="D16" s="5" t="s">
        <v>2379</v>
      </c>
      <c r="E16" s="6" t="s">
        <v>2380</v>
      </c>
    </row>
    <row r="17" customFormat="false" ht="21.75" hidden="false" customHeight="true" outlineLevel="0" collapsed="false">
      <c r="A17" s="7" t="s">
        <v>2381</v>
      </c>
      <c r="B17" s="7" t="s">
        <v>2382</v>
      </c>
      <c r="C17" s="8" t="s">
        <v>2383</v>
      </c>
      <c r="D17" s="7" t="s">
        <v>2384</v>
      </c>
      <c r="E17" s="8" t="s">
        <v>2385</v>
      </c>
    </row>
    <row r="19" customFormat="false" ht="15" hidden="false" customHeight="false" outlineLevel="0" collapsed="false">
      <c r="A19" s="33" t="s">
        <v>2386</v>
      </c>
    </row>
    <row r="20" customFormat="false" ht="30" hidden="false" customHeight="true" outlineLevel="0" collapsed="false">
      <c r="A20" s="32" t="s">
        <v>80</v>
      </c>
      <c r="B20" s="32" t="s">
        <v>2332</v>
      </c>
      <c r="C20" s="32" t="s">
        <v>2333</v>
      </c>
      <c r="D20" s="32" t="s">
        <v>2334</v>
      </c>
      <c r="E20" s="32" t="s">
        <v>1744</v>
      </c>
    </row>
    <row r="21" customFormat="false" ht="21.75" hidden="false" customHeight="true" outlineLevel="0" collapsed="false">
      <c r="A21" s="5" t="s">
        <v>2387</v>
      </c>
      <c r="B21" s="5" t="s">
        <v>2388</v>
      </c>
      <c r="C21" s="6" t="s">
        <v>2389</v>
      </c>
      <c r="D21" s="5" t="s">
        <v>2390</v>
      </c>
      <c r="E21" s="6" t="s">
        <v>2391</v>
      </c>
    </row>
    <row r="22" customFormat="false" ht="21.75" hidden="false" customHeight="true" outlineLevel="0" collapsed="false">
      <c r="A22" s="7" t="s">
        <v>2392</v>
      </c>
      <c r="B22" s="7" t="s">
        <v>2393</v>
      </c>
      <c r="C22" s="8" t="s">
        <v>2394</v>
      </c>
      <c r="D22" s="7" t="s">
        <v>2395</v>
      </c>
      <c r="E22" s="8" t="s">
        <v>2396</v>
      </c>
    </row>
    <row r="23" customFormat="false" ht="21.75" hidden="false" customHeight="true" outlineLevel="0" collapsed="false">
      <c r="A23" s="5" t="s">
        <v>2397</v>
      </c>
      <c r="B23" s="5" t="s">
        <v>2373</v>
      </c>
      <c r="C23" s="6" t="s">
        <v>2398</v>
      </c>
      <c r="D23" s="5" t="s">
        <v>2399</v>
      </c>
      <c r="E23" s="6" t="s">
        <v>2359</v>
      </c>
    </row>
    <row r="24" customFormat="false" ht="21.75" hidden="false" customHeight="true" outlineLevel="0" collapsed="false">
      <c r="A24" s="7" t="s">
        <v>2400</v>
      </c>
      <c r="B24" s="7" t="s">
        <v>2401</v>
      </c>
      <c r="C24" s="8" t="s">
        <v>2402</v>
      </c>
      <c r="D24" s="7" t="s">
        <v>2403</v>
      </c>
      <c r="E24" s="8" t="s">
        <v>2359</v>
      </c>
    </row>
    <row r="25" customFormat="false" ht="21.75" hidden="false" customHeight="true" outlineLevel="0" collapsed="false">
      <c r="A25" s="5" t="s">
        <v>2404</v>
      </c>
      <c r="B25" s="5" t="s">
        <v>2405</v>
      </c>
      <c r="C25" s="6" t="s">
        <v>2406</v>
      </c>
      <c r="D25" s="5" t="s">
        <v>2407</v>
      </c>
      <c r="E25" s="6" t="s">
        <v>2408</v>
      </c>
    </row>
    <row r="26" customFormat="false" ht="21.75" hidden="false" customHeight="true" outlineLevel="0" collapsed="false">
      <c r="A26" s="7" t="s">
        <v>2409</v>
      </c>
      <c r="B26" s="7" t="s">
        <v>2410</v>
      </c>
      <c r="C26" s="8" t="s">
        <v>2411</v>
      </c>
      <c r="D26" s="7" t="s">
        <v>2412</v>
      </c>
      <c r="E26" s="8" t="s">
        <v>2413</v>
      </c>
    </row>
    <row r="27" customFormat="false" ht="21.75" hidden="false" customHeight="true" outlineLevel="0" collapsed="false">
      <c r="A27" s="5" t="s">
        <v>2414</v>
      </c>
      <c r="B27" s="5" t="s">
        <v>2415</v>
      </c>
      <c r="C27" s="6" t="s">
        <v>2416</v>
      </c>
      <c r="D27" s="5" t="s">
        <v>2417</v>
      </c>
      <c r="E27" s="6" t="s">
        <v>2418</v>
      </c>
    </row>
    <row r="28" customFormat="false" ht="21.75" hidden="false" customHeight="true" outlineLevel="0" collapsed="false">
      <c r="A28" s="7" t="s">
        <v>2419</v>
      </c>
      <c r="B28" s="7" t="s">
        <v>2420</v>
      </c>
      <c r="C28" s="8" t="s">
        <v>2421</v>
      </c>
      <c r="D28" s="7" t="s">
        <v>2379</v>
      </c>
      <c r="E28" s="8" t="s">
        <v>2278</v>
      </c>
    </row>
    <row r="29" customFormat="false" ht="21.75" hidden="false" customHeight="true" outlineLevel="0" collapsed="false">
      <c r="A29" s="5" t="s">
        <v>2422</v>
      </c>
      <c r="B29" s="5" t="s">
        <v>2423</v>
      </c>
      <c r="C29" s="6" t="s">
        <v>2424</v>
      </c>
      <c r="D29" s="5" t="s">
        <v>452</v>
      </c>
      <c r="E29" s="6" t="s">
        <v>2425</v>
      </c>
    </row>
    <row r="30" customFormat="false" ht="21.75" hidden="false" customHeight="true" outlineLevel="0" collapsed="false">
      <c r="A30" s="7" t="s">
        <v>2426</v>
      </c>
      <c r="B30" s="7" t="s">
        <v>786</v>
      </c>
      <c r="C30" s="8" t="s">
        <v>2427</v>
      </c>
      <c r="D30" s="7" t="s">
        <v>2428</v>
      </c>
      <c r="E30" s="8" t="s">
        <v>2429</v>
      </c>
    </row>
  </sheetData>
  <autoFilter ref="A20:E30"/>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1F3D"/>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60"/>
    <col collapsed="false" customWidth="true" hidden="false" outlineLevel="0" max="4" min="4" style="0" width="16"/>
    <col collapsed="false" customWidth="true" hidden="false" outlineLevel="0" max="7" min="5" style="0" width="42"/>
  </cols>
  <sheetData>
    <row r="1" customFormat="false" ht="19.5" hidden="false" customHeight="true" outlineLevel="0" collapsed="false">
      <c r="A1" s="29" t="s">
        <v>2250</v>
      </c>
      <c r="B1" s="29"/>
      <c r="C1" s="29"/>
      <c r="D1" s="29"/>
      <c r="E1" s="29"/>
      <c r="F1" s="29"/>
      <c r="G1" s="29"/>
    </row>
    <row r="2" customFormat="false" ht="27.75" hidden="false" customHeight="true" outlineLevel="0" collapsed="false">
      <c r="A2" s="30" t="s">
        <v>2430</v>
      </c>
      <c r="B2" s="30"/>
      <c r="C2" s="30"/>
      <c r="D2" s="30"/>
      <c r="E2" s="30"/>
      <c r="F2" s="30"/>
      <c r="G2" s="30"/>
    </row>
    <row r="3" customFormat="false" ht="30" hidden="false" customHeight="true" outlineLevel="0" collapsed="false">
      <c r="A3" s="31" t="s">
        <v>2431</v>
      </c>
      <c r="B3" s="31"/>
      <c r="C3" s="31"/>
      <c r="D3" s="31"/>
      <c r="E3" s="31"/>
      <c r="F3" s="31"/>
      <c r="G3" s="31"/>
    </row>
    <row r="4" customFormat="false" ht="6" hidden="false" customHeight="true" outlineLevel="0" collapsed="false"/>
    <row r="5" customFormat="false" ht="30" hidden="false" customHeight="true" outlineLevel="0" collapsed="false">
      <c r="A5" s="32" t="s">
        <v>2432</v>
      </c>
      <c r="B5" s="32" t="s">
        <v>2433</v>
      </c>
      <c r="C5" s="32" t="s">
        <v>2434</v>
      </c>
      <c r="D5" s="32" t="s">
        <v>2435</v>
      </c>
      <c r="E5" s="32" t="s">
        <v>2436</v>
      </c>
      <c r="F5" s="32" t="s">
        <v>2437</v>
      </c>
      <c r="G5" s="32" t="s">
        <v>2438</v>
      </c>
    </row>
    <row r="6" customFormat="false" ht="42" hidden="false" customHeight="true" outlineLevel="0" collapsed="false">
      <c r="A6" s="5" t="s">
        <v>2439</v>
      </c>
      <c r="B6" s="5" t="s">
        <v>2440</v>
      </c>
      <c r="C6" s="6" t="s">
        <v>2441</v>
      </c>
      <c r="D6" s="5" t="s">
        <v>2442</v>
      </c>
      <c r="E6" s="6" t="s">
        <v>2443</v>
      </c>
      <c r="F6" s="6" t="s">
        <v>2444</v>
      </c>
      <c r="G6" s="6" t="s">
        <v>2445</v>
      </c>
    </row>
    <row r="7" customFormat="false" ht="42" hidden="false" customHeight="true" outlineLevel="0" collapsed="false">
      <c r="A7" s="7" t="s">
        <v>2446</v>
      </c>
      <c r="B7" s="7" t="s">
        <v>2447</v>
      </c>
      <c r="C7" s="8" t="s">
        <v>2448</v>
      </c>
      <c r="D7" s="7" t="s">
        <v>2449</v>
      </c>
      <c r="E7" s="8" t="s">
        <v>2450</v>
      </c>
      <c r="F7" s="8" t="s">
        <v>2451</v>
      </c>
      <c r="G7" s="8" t="s">
        <v>2452</v>
      </c>
    </row>
    <row r="8" customFormat="false" ht="42" hidden="false" customHeight="true" outlineLevel="0" collapsed="false">
      <c r="A8" s="5" t="s">
        <v>2453</v>
      </c>
      <c r="B8" s="5" t="s">
        <v>2454</v>
      </c>
      <c r="C8" s="6" t="s">
        <v>2455</v>
      </c>
      <c r="D8" s="5" t="s">
        <v>2456</v>
      </c>
      <c r="E8" s="6" t="s">
        <v>2457</v>
      </c>
      <c r="F8" s="6" t="s">
        <v>2458</v>
      </c>
      <c r="G8" s="6" t="s">
        <v>2459</v>
      </c>
    </row>
    <row r="9" customFormat="false" ht="42" hidden="false" customHeight="true" outlineLevel="0" collapsed="false">
      <c r="A9" s="7" t="s">
        <v>2460</v>
      </c>
      <c r="B9" s="7" t="s">
        <v>2461</v>
      </c>
      <c r="C9" s="8" t="s">
        <v>2462</v>
      </c>
      <c r="D9" s="7" t="s">
        <v>2463</v>
      </c>
      <c r="E9" s="8" t="s">
        <v>2464</v>
      </c>
      <c r="F9" s="8" t="s">
        <v>2465</v>
      </c>
      <c r="G9" s="8" t="s">
        <v>2466</v>
      </c>
    </row>
    <row r="10" customFormat="false" ht="42" hidden="false" customHeight="true" outlineLevel="0" collapsed="false">
      <c r="A10" s="5" t="s">
        <v>2467</v>
      </c>
      <c r="B10" s="5" t="s">
        <v>2405</v>
      </c>
      <c r="C10" s="6" t="s">
        <v>2468</v>
      </c>
      <c r="D10" s="5" t="s">
        <v>2469</v>
      </c>
      <c r="E10" s="6" t="s">
        <v>2470</v>
      </c>
      <c r="F10" s="6" t="s">
        <v>2471</v>
      </c>
      <c r="G10" s="6" t="s">
        <v>2472</v>
      </c>
    </row>
    <row r="11" customFormat="false" ht="42" hidden="false" customHeight="true" outlineLevel="0" collapsed="false">
      <c r="A11" s="7" t="s">
        <v>2473</v>
      </c>
      <c r="B11" s="7" t="s">
        <v>2474</v>
      </c>
      <c r="C11" s="8" t="s">
        <v>2475</v>
      </c>
      <c r="D11" s="7" t="s">
        <v>2476</v>
      </c>
      <c r="E11" s="8" t="s">
        <v>2477</v>
      </c>
      <c r="F11" s="8" t="s">
        <v>2478</v>
      </c>
      <c r="G11" s="8" t="s">
        <v>2479</v>
      </c>
    </row>
    <row r="12" customFormat="false" ht="42" hidden="false" customHeight="true" outlineLevel="0" collapsed="false">
      <c r="A12" s="5" t="s">
        <v>2480</v>
      </c>
      <c r="B12" s="5" t="s">
        <v>2481</v>
      </c>
      <c r="C12" s="6" t="s">
        <v>2482</v>
      </c>
      <c r="D12" s="5" t="s">
        <v>2483</v>
      </c>
      <c r="E12" s="6" t="s">
        <v>2484</v>
      </c>
      <c r="F12" s="6" t="s">
        <v>2485</v>
      </c>
      <c r="G12" s="6" t="s">
        <v>2486</v>
      </c>
    </row>
    <row r="13" customFormat="false" ht="42" hidden="false" customHeight="true" outlineLevel="0" collapsed="false">
      <c r="A13" s="7" t="s">
        <v>2487</v>
      </c>
      <c r="B13" s="7" t="s">
        <v>2488</v>
      </c>
      <c r="C13" s="8" t="s">
        <v>2489</v>
      </c>
      <c r="D13" s="7" t="s">
        <v>2490</v>
      </c>
      <c r="E13" s="8" t="s">
        <v>2491</v>
      </c>
      <c r="F13" s="8" t="s">
        <v>2492</v>
      </c>
      <c r="G13" s="8" t="s">
        <v>2493</v>
      </c>
    </row>
    <row r="15" customFormat="false" ht="15" hidden="false" customHeight="false" outlineLevel="0" collapsed="false">
      <c r="A15" s="33" t="s">
        <v>2494</v>
      </c>
    </row>
    <row r="16" customFormat="false" ht="30" hidden="false" customHeight="true" outlineLevel="0" collapsed="false">
      <c r="A16" s="32" t="s">
        <v>2432</v>
      </c>
      <c r="B16" s="32" t="s">
        <v>2433</v>
      </c>
      <c r="C16" s="32" t="s">
        <v>2495</v>
      </c>
    </row>
    <row r="17" customFormat="false" ht="21.75" hidden="false" customHeight="true" outlineLevel="0" collapsed="false">
      <c r="A17" s="5" t="s">
        <v>2439</v>
      </c>
      <c r="B17" s="5" t="s">
        <v>2440</v>
      </c>
      <c r="C17" s="6" t="s">
        <v>2496</v>
      </c>
    </row>
    <row r="18" customFormat="false" ht="21.75" hidden="false" customHeight="true" outlineLevel="0" collapsed="false">
      <c r="A18" s="7" t="s">
        <v>2446</v>
      </c>
      <c r="B18" s="7" t="s">
        <v>2447</v>
      </c>
      <c r="C18" s="8" t="s">
        <v>2497</v>
      </c>
    </row>
    <row r="19" customFormat="false" ht="21.75" hidden="false" customHeight="true" outlineLevel="0" collapsed="false">
      <c r="A19" s="5" t="s">
        <v>2453</v>
      </c>
      <c r="B19" s="5" t="s">
        <v>2454</v>
      </c>
      <c r="C19" s="6" t="s">
        <v>2498</v>
      </c>
    </row>
    <row r="20" customFormat="false" ht="21.75" hidden="false" customHeight="true" outlineLevel="0" collapsed="false">
      <c r="A20" s="7" t="s">
        <v>2460</v>
      </c>
      <c r="B20" s="7" t="s">
        <v>2461</v>
      </c>
      <c r="C20" s="8" t="s">
        <v>2499</v>
      </c>
    </row>
    <row r="21" customFormat="false" ht="21.75" hidden="false" customHeight="true" outlineLevel="0" collapsed="false">
      <c r="A21" s="5" t="s">
        <v>2467</v>
      </c>
      <c r="B21" s="5" t="s">
        <v>2405</v>
      </c>
      <c r="C21" s="6" t="s">
        <v>2500</v>
      </c>
    </row>
    <row r="22" customFormat="false" ht="21.75" hidden="false" customHeight="true" outlineLevel="0" collapsed="false">
      <c r="A22" s="7" t="s">
        <v>2473</v>
      </c>
      <c r="B22" s="7" t="s">
        <v>2474</v>
      </c>
      <c r="C22" s="8" t="s">
        <v>2501</v>
      </c>
    </row>
    <row r="23" customFormat="false" ht="21.75" hidden="false" customHeight="true" outlineLevel="0" collapsed="false">
      <c r="A23" s="5" t="s">
        <v>2480</v>
      </c>
      <c r="B23" s="5" t="s">
        <v>2481</v>
      </c>
      <c r="C23" s="6" t="s">
        <v>2502</v>
      </c>
    </row>
    <row r="24" customFormat="false" ht="21.75" hidden="false" customHeight="true" outlineLevel="0" collapsed="false">
      <c r="A24" s="7" t="s">
        <v>2487</v>
      </c>
      <c r="B24" s="7" t="s">
        <v>2488</v>
      </c>
      <c r="C24" s="8" t="s">
        <v>2503</v>
      </c>
    </row>
    <row r="26" customFormat="false" ht="25.5" hidden="false" customHeight="true" outlineLevel="0" collapsed="false">
      <c r="A26" s="9" t="s">
        <v>2504</v>
      </c>
      <c r="B26" s="9"/>
      <c r="C26" s="9"/>
      <c r="D26" s="9"/>
      <c r="E26" s="9"/>
      <c r="F26" s="9"/>
      <c r="G26" s="9"/>
    </row>
  </sheetData>
  <autoFilter ref="A16:C24"/>
  <mergeCells count="4">
    <mergeCell ref="A1:G1"/>
    <mergeCell ref="A2:G2"/>
    <mergeCell ref="A3:G3"/>
    <mergeCell ref="A26:G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1F3D"/>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2"/>
    <col collapsed="false" customWidth="true" hidden="false" outlineLevel="0" max="4" min="3" style="0" width="60"/>
    <col collapsed="false" customWidth="true" hidden="false" outlineLevel="0" max="5" min="5" style="0" width="26"/>
  </cols>
  <sheetData>
    <row r="1" customFormat="false" ht="19.5" hidden="false" customHeight="true" outlineLevel="0" collapsed="false">
      <c r="A1" s="29" t="s">
        <v>2250</v>
      </c>
      <c r="B1" s="29"/>
      <c r="C1" s="29"/>
      <c r="D1" s="29"/>
      <c r="E1" s="29"/>
    </row>
    <row r="2" customFormat="false" ht="27.75" hidden="false" customHeight="true" outlineLevel="0" collapsed="false">
      <c r="A2" s="30" t="s">
        <v>2505</v>
      </c>
      <c r="B2" s="30"/>
      <c r="C2" s="30"/>
      <c r="D2" s="30"/>
      <c r="E2" s="30"/>
    </row>
    <row r="3" customFormat="false" ht="30" hidden="false" customHeight="true" outlineLevel="0" collapsed="false">
      <c r="A3" s="31" t="s">
        <v>2506</v>
      </c>
      <c r="B3" s="31"/>
      <c r="C3" s="31"/>
      <c r="D3" s="31"/>
      <c r="E3" s="31"/>
    </row>
    <row r="4" customFormat="false" ht="6" hidden="false" customHeight="true" outlineLevel="0" collapsed="false"/>
    <row r="5" customFormat="false" ht="30" hidden="false" customHeight="true" outlineLevel="0" collapsed="false">
      <c r="A5" s="32" t="s">
        <v>2507</v>
      </c>
      <c r="B5" s="32" t="s">
        <v>2508</v>
      </c>
      <c r="C5" s="32" t="s">
        <v>2509</v>
      </c>
      <c r="D5" s="32" t="s">
        <v>2510</v>
      </c>
      <c r="E5" s="32" t="s">
        <v>2511</v>
      </c>
    </row>
    <row r="6" customFormat="false" ht="43.5" hidden="false" customHeight="true" outlineLevel="0" collapsed="false">
      <c r="A6" s="5" t="s">
        <v>2512</v>
      </c>
      <c r="B6" s="6" t="s">
        <v>2513</v>
      </c>
      <c r="C6" s="6" t="s">
        <v>2514</v>
      </c>
      <c r="D6" s="6" t="s">
        <v>2515</v>
      </c>
      <c r="E6" s="5" t="s">
        <v>2516</v>
      </c>
    </row>
    <row r="7" customFormat="false" ht="43.5" hidden="false" customHeight="true" outlineLevel="0" collapsed="false">
      <c r="A7" s="7" t="s">
        <v>776</v>
      </c>
      <c r="B7" s="8" t="s">
        <v>2517</v>
      </c>
      <c r="C7" s="8" t="s">
        <v>2518</v>
      </c>
      <c r="D7" s="8" t="s">
        <v>2519</v>
      </c>
      <c r="E7" s="7" t="s">
        <v>2520</v>
      </c>
    </row>
    <row r="8" customFormat="false" ht="43.5" hidden="false" customHeight="true" outlineLevel="0" collapsed="false">
      <c r="A8" s="5" t="s">
        <v>2521</v>
      </c>
      <c r="B8" s="6" t="s">
        <v>2522</v>
      </c>
      <c r="C8" s="6" t="s">
        <v>2523</v>
      </c>
      <c r="D8" s="6" t="s">
        <v>2524</v>
      </c>
      <c r="E8" s="5" t="s">
        <v>2525</v>
      </c>
    </row>
    <row r="9" customFormat="false" ht="43.5" hidden="false" customHeight="true" outlineLevel="0" collapsed="false">
      <c r="A9" s="7" t="s">
        <v>2526</v>
      </c>
      <c r="B9" s="8" t="s">
        <v>2527</v>
      </c>
      <c r="C9" s="8" t="s">
        <v>2528</v>
      </c>
      <c r="D9" s="8" t="s">
        <v>2529</v>
      </c>
      <c r="E9" s="7" t="s">
        <v>2530</v>
      </c>
    </row>
    <row r="10" customFormat="false" ht="43.5" hidden="false" customHeight="true" outlineLevel="0" collapsed="false">
      <c r="A10" s="5" t="s">
        <v>2531</v>
      </c>
      <c r="B10" s="6" t="s">
        <v>2532</v>
      </c>
      <c r="C10" s="6" t="s">
        <v>2533</v>
      </c>
      <c r="D10" s="6" t="s">
        <v>2534</v>
      </c>
      <c r="E10" s="5" t="s">
        <v>2535</v>
      </c>
    </row>
  </sheetData>
  <autoFilter ref="A5:E10"/>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1F3D"/>
    <pageSetUpPr fitToPage="tru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6"/>
    <col collapsed="false" customWidth="true" hidden="false" outlineLevel="0" max="3" min="3" style="0" width="60"/>
    <col collapsed="false" customWidth="true" hidden="false" outlineLevel="0" max="4" min="4" style="0" width="52"/>
    <col collapsed="false" customWidth="true" hidden="false" outlineLevel="0" max="5" min="5" style="0" width="20"/>
  </cols>
  <sheetData>
    <row r="1" customFormat="false" ht="19.5" hidden="false" customHeight="true" outlineLevel="0" collapsed="false">
      <c r="A1" s="29" t="s">
        <v>2250</v>
      </c>
      <c r="B1" s="29"/>
      <c r="C1" s="29"/>
      <c r="D1" s="29"/>
      <c r="E1" s="29"/>
    </row>
    <row r="2" customFormat="false" ht="27.75" hidden="false" customHeight="true" outlineLevel="0" collapsed="false">
      <c r="A2" s="30" t="s">
        <v>2536</v>
      </c>
      <c r="B2" s="30"/>
      <c r="C2" s="30"/>
      <c r="D2" s="30"/>
      <c r="E2" s="30"/>
    </row>
    <row r="3" customFormat="false" ht="30" hidden="false" customHeight="true" outlineLevel="0" collapsed="false">
      <c r="A3" s="31" t="s">
        <v>2537</v>
      </c>
      <c r="B3" s="31"/>
      <c r="C3" s="31"/>
      <c r="D3" s="31"/>
      <c r="E3" s="31"/>
    </row>
    <row r="4" customFormat="false" ht="6" hidden="false" customHeight="true" outlineLevel="0" collapsed="false"/>
    <row r="5" customFormat="false" ht="30" hidden="false" customHeight="true" outlineLevel="0" collapsed="false">
      <c r="A5" s="32" t="s">
        <v>3</v>
      </c>
      <c r="B5" s="32" t="s">
        <v>2333</v>
      </c>
      <c r="C5" s="32" t="s">
        <v>2538</v>
      </c>
      <c r="D5" s="32" t="s">
        <v>2539</v>
      </c>
      <c r="E5" s="32" t="s">
        <v>40</v>
      </c>
    </row>
    <row r="6" customFormat="false" ht="33.75" hidden="false" customHeight="true" outlineLevel="0" collapsed="false">
      <c r="A6" s="5" t="s">
        <v>2540</v>
      </c>
      <c r="B6" s="6" t="s">
        <v>2541</v>
      </c>
      <c r="C6" s="6" t="s">
        <v>2542</v>
      </c>
      <c r="D6" s="6" t="s">
        <v>2543</v>
      </c>
      <c r="E6" s="5" t="s">
        <v>99</v>
      </c>
    </row>
    <row r="7" customFormat="false" ht="33.75" hidden="false" customHeight="true" outlineLevel="0" collapsed="false">
      <c r="A7" s="7" t="s">
        <v>2544</v>
      </c>
      <c r="B7" s="8" t="s">
        <v>2545</v>
      </c>
      <c r="C7" s="8" t="s">
        <v>2546</v>
      </c>
      <c r="D7" s="8" t="s">
        <v>2547</v>
      </c>
      <c r="E7" s="7" t="s">
        <v>99</v>
      </c>
    </row>
    <row r="8" customFormat="false" ht="33.75" hidden="false" customHeight="true" outlineLevel="0" collapsed="false">
      <c r="A8" s="5" t="s">
        <v>2548</v>
      </c>
      <c r="B8" s="6" t="s">
        <v>2549</v>
      </c>
      <c r="C8" s="6" t="s">
        <v>1531</v>
      </c>
      <c r="D8" s="6" t="s">
        <v>2550</v>
      </c>
      <c r="E8" s="5" t="s">
        <v>99</v>
      </c>
    </row>
    <row r="9" customFormat="false" ht="33.75" hidden="false" customHeight="true" outlineLevel="0" collapsed="false">
      <c r="A9" s="7" t="s">
        <v>2551</v>
      </c>
      <c r="B9" s="8" t="s">
        <v>2552</v>
      </c>
      <c r="C9" s="8" t="s">
        <v>2553</v>
      </c>
      <c r="D9" s="8" t="s">
        <v>2554</v>
      </c>
      <c r="E9" s="7" t="s">
        <v>99</v>
      </c>
    </row>
    <row r="10" customFormat="false" ht="33.75" hidden="false" customHeight="true" outlineLevel="0" collapsed="false">
      <c r="A10" s="5" t="s">
        <v>2555</v>
      </c>
      <c r="B10" s="6" t="s">
        <v>2556</v>
      </c>
      <c r="C10" s="6" t="s">
        <v>2557</v>
      </c>
      <c r="D10" s="6" t="s">
        <v>2558</v>
      </c>
      <c r="E10" s="5" t="s">
        <v>99</v>
      </c>
    </row>
    <row r="11" customFormat="false" ht="33.75" hidden="false" customHeight="true" outlineLevel="0" collapsed="false">
      <c r="A11" s="7" t="s">
        <v>2559</v>
      </c>
      <c r="B11" s="8" t="s">
        <v>2560</v>
      </c>
      <c r="C11" s="8" t="s">
        <v>2561</v>
      </c>
      <c r="D11" s="8" t="s">
        <v>2562</v>
      </c>
      <c r="E11" s="7" t="s">
        <v>99</v>
      </c>
    </row>
    <row r="12" customFormat="false" ht="33.75" hidden="false" customHeight="true" outlineLevel="0" collapsed="false">
      <c r="A12" s="5" t="s">
        <v>2563</v>
      </c>
      <c r="B12" s="6" t="s">
        <v>2564</v>
      </c>
      <c r="C12" s="6" t="s">
        <v>2565</v>
      </c>
      <c r="D12" s="6" t="s">
        <v>90</v>
      </c>
      <c r="E12" s="5" t="s">
        <v>41</v>
      </c>
    </row>
    <row r="13" customFormat="false" ht="33.75" hidden="false" customHeight="true" outlineLevel="0" collapsed="false">
      <c r="A13" s="7" t="s">
        <v>2566</v>
      </c>
      <c r="B13" s="8" t="s">
        <v>2567</v>
      </c>
      <c r="C13" s="8" t="s">
        <v>2568</v>
      </c>
      <c r="D13" s="8" t="s">
        <v>2569</v>
      </c>
      <c r="E13" s="7" t="s">
        <v>41</v>
      </c>
    </row>
  </sheetData>
  <autoFilter ref="A5:E13"/>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A8C"/>
    <pageSetUpPr fitToPage="tru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66"/>
    <col collapsed="false" customWidth="true" hidden="false" outlineLevel="0" max="4" min="4" style="0" width="80"/>
    <col collapsed="false" customWidth="true" hidden="false" outlineLevel="0" max="5" min="5" style="0" width="16"/>
  </cols>
  <sheetData>
    <row r="1" customFormat="false" ht="19.5" hidden="false" customHeight="true" outlineLevel="0" collapsed="false">
      <c r="A1" s="34" t="s">
        <v>2570</v>
      </c>
      <c r="B1" s="34"/>
      <c r="C1" s="34"/>
      <c r="D1" s="34"/>
    </row>
    <row r="2" customFormat="false" ht="27.75" hidden="false" customHeight="true" outlineLevel="0" collapsed="false">
      <c r="A2" s="35" t="s">
        <v>2571</v>
      </c>
      <c r="B2" s="35"/>
      <c r="C2" s="35"/>
      <c r="D2" s="35"/>
    </row>
    <row r="3" customFormat="false" ht="30" hidden="false" customHeight="true" outlineLevel="0" collapsed="false">
      <c r="A3" s="36" t="s">
        <v>2572</v>
      </c>
      <c r="B3" s="36"/>
      <c r="C3" s="36"/>
      <c r="D3" s="36"/>
    </row>
    <row r="4" customFormat="false" ht="6" hidden="false" customHeight="true" outlineLevel="0" collapsed="false"/>
    <row r="5" customFormat="false" ht="30" hidden="false" customHeight="true" outlineLevel="0" collapsed="false">
      <c r="A5" s="37" t="s">
        <v>80</v>
      </c>
      <c r="B5" s="37" t="s">
        <v>23</v>
      </c>
      <c r="C5" s="37" t="s">
        <v>2333</v>
      </c>
      <c r="D5" s="37" t="s">
        <v>2538</v>
      </c>
      <c r="E5" s="37" t="s">
        <v>2573</v>
      </c>
    </row>
    <row r="6" customFormat="false" ht="33.75" hidden="false" customHeight="true" outlineLevel="0" collapsed="false">
      <c r="A6" s="5" t="s">
        <v>2574</v>
      </c>
      <c r="B6" s="5" t="s">
        <v>2575</v>
      </c>
      <c r="C6" s="5" t="s">
        <v>2576</v>
      </c>
      <c r="D6" s="6" t="s">
        <v>2577</v>
      </c>
      <c r="E6" s="5" t="s">
        <v>2578</v>
      </c>
    </row>
    <row r="7" customFormat="false" ht="33.75" hidden="false" customHeight="true" outlineLevel="0" collapsed="false">
      <c r="A7" s="7" t="s">
        <v>2579</v>
      </c>
      <c r="B7" s="7" t="s">
        <v>2580</v>
      </c>
      <c r="C7" s="7" t="s">
        <v>2581</v>
      </c>
      <c r="D7" s="8" t="s">
        <v>2582</v>
      </c>
      <c r="E7" s="7" t="s">
        <v>2578</v>
      </c>
    </row>
    <row r="8" customFormat="false" ht="33.75" hidden="false" customHeight="true" outlineLevel="0" collapsed="false">
      <c r="A8" s="5" t="s">
        <v>2583</v>
      </c>
      <c r="B8" s="5" t="s">
        <v>2584</v>
      </c>
      <c r="C8" s="5" t="s">
        <v>2585</v>
      </c>
      <c r="D8" s="6"/>
      <c r="E8" s="5" t="s">
        <v>2578</v>
      </c>
    </row>
    <row r="9" customFormat="false" ht="33.75" hidden="false" customHeight="true" outlineLevel="0" collapsed="false">
      <c r="A9" s="7" t="s">
        <v>2586</v>
      </c>
      <c r="B9" s="7" t="s">
        <v>2587</v>
      </c>
      <c r="C9" s="7" t="s">
        <v>2588</v>
      </c>
      <c r="D9" s="8" t="s">
        <v>2589</v>
      </c>
      <c r="E9" s="7" t="s">
        <v>2578</v>
      </c>
    </row>
    <row r="10" customFormat="false" ht="33.75" hidden="false" customHeight="true" outlineLevel="0" collapsed="false">
      <c r="A10" s="5" t="s">
        <v>2590</v>
      </c>
      <c r="B10" s="5" t="s">
        <v>2591</v>
      </c>
      <c r="C10" s="5" t="s">
        <v>2592</v>
      </c>
      <c r="D10" s="6"/>
      <c r="E10" s="5" t="s">
        <v>2578</v>
      </c>
    </row>
    <row r="11" customFormat="false" ht="33.75" hidden="false" customHeight="true" outlineLevel="0" collapsed="false">
      <c r="A11" s="7" t="s">
        <v>2593</v>
      </c>
      <c r="B11" s="7" t="s">
        <v>2594</v>
      </c>
      <c r="C11" s="7" t="s">
        <v>2595</v>
      </c>
      <c r="D11" s="8" t="s">
        <v>2596</v>
      </c>
      <c r="E11" s="7" t="s">
        <v>2597</v>
      </c>
    </row>
    <row r="12" customFormat="false" ht="33.75" hidden="false" customHeight="true" outlineLevel="0" collapsed="false">
      <c r="A12" s="5" t="s">
        <v>2598</v>
      </c>
      <c r="B12" s="5" t="s">
        <v>2599</v>
      </c>
      <c r="C12" s="5" t="s">
        <v>2600</v>
      </c>
      <c r="D12" s="6"/>
      <c r="E12" s="5" t="s">
        <v>1359</v>
      </c>
    </row>
    <row r="13" customFormat="false" ht="33.75" hidden="false" customHeight="true" outlineLevel="0" collapsed="false">
      <c r="A13" s="7" t="s">
        <v>2601</v>
      </c>
      <c r="B13" s="7" t="s">
        <v>2602</v>
      </c>
      <c r="C13" s="7" t="s">
        <v>2603</v>
      </c>
      <c r="D13" s="8" t="s">
        <v>2604</v>
      </c>
      <c r="E13" s="7" t="s">
        <v>2605</v>
      </c>
    </row>
    <row r="14" customFormat="false" ht="33.75" hidden="false" customHeight="true" outlineLevel="0" collapsed="false">
      <c r="A14" s="5" t="s">
        <v>2606</v>
      </c>
      <c r="B14" s="5" t="s">
        <v>2607</v>
      </c>
      <c r="C14" s="5" t="s">
        <v>2608</v>
      </c>
      <c r="D14" s="6"/>
      <c r="E14" s="5" t="s">
        <v>2609</v>
      </c>
    </row>
    <row r="15" customFormat="false" ht="33.75" hidden="false" customHeight="true" outlineLevel="0" collapsed="false">
      <c r="A15" s="7" t="s">
        <v>2610</v>
      </c>
      <c r="B15" s="7" t="s">
        <v>2611</v>
      </c>
      <c r="C15" s="7" t="s">
        <v>2612</v>
      </c>
      <c r="D15" s="8" t="s">
        <v>2613</v>
      </c>
      <c r="E15" s="7" t="s">
        <v>2578</v>
      </c>
    </row>
    <row r="16" customFormat="false" ht="33.75" hidden="false" customHeight="true" outlineLevel="0" collapsed="false">
      <c r="A16" s="5" t="s">
        <v>2614</v>
      </c>
      <c r="B16" s="5" t="s">
        <v>2615</v>
      </c>
      <c r="C16" s="5" t="s">
        <v>2616</v>
      </c>
      <c r="D16" s="6" t="s">
        <v>2617</v>
      </c>
      <c r="E16" s="5" t="s">
        <v>2578</v>
      </c>
    </row>
    <row r="17" customFormat="false" ht="33.75" hidden="false" customHeight="true" outlineLevel="0" collapsed="false">
      <c r="A17" s="7" t="s">
        <v>2618</v>
      </c>
      <c r="B17" s="7" t="s">
        <v>2619</v>
      </c>
      <c r="C17" s="7" t="s">
        <v>2620</v>
      </c>
      <c r="D17" s="8"/>
      <c r="E17" s="7" t="s">
        <v>2578</v>
      </c>
    </row>
  </sheetData>
  <autoFilter ref="A5:E17"/>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A8C"/>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0"/>
    <col collapsed="false" customWidth="true" hidden="false" outlineLevel="0" max="4" min="4" style="0" width="76"/>
    <col collapsed="false" customWidth="true" hidden="false" outlineLevel="0" max="5" min="5" style="0" width="30"/>
    <col collapsed="false" customWidth="true" hidden="false" outlineLevel="0" max="6" min="6" style="0" width="52"/>
  </cols>
  <sheetData>
    <row r="1" customFormat="false" ht="19.5" hidden="false" customHeight="true" outlineLevel="0" collapsed="false">
      <c r="A1" s="34" t="s">
        <v>2570</v>
      </c>
      <c r="B1" s="34"/>
      <c r="C1" s="34"/>
      <c r="D1" s="34"/>
      <c r="E1" s="34"/>
      <c r="F1" s="34"/>
    </row>
    <row r="2" customFormat="false" ht="27.75" hidden="false" customHeight="true" outlineLevel="0" collapsed="false">
      <c r="A2" s="35" t="s">
        <v>2621</v>
      </c>
      <c r="B2" s="35"/>
      <c r="C2" s="35"/>
      <c r="D2" s="35"/>
      <c r="E2" s="35"/>
      <c r="F2" s="35"/>
    </row>
    <row r="3" customFormat="false" ht="30" hidden="false" customHeight="true" outlineLevel="0" collapsed="false">
      <c r="A3" s="36" t="s">
        <v>2622</v>
      </c>
      <c r="B3" s="36"/>
      <c r="C3" s="36"/>
      <c r="D3" s="36"/>
      <c r="E3" s="36"/>
      <c r="F3" s="36"/>
    </row>
    <row r="4" customFormat="false" ht="6" hidden="false" customHeight="true" outlineLevel="0" collapsed="false"/>
    <row r="5" customFormat="false" ht="30" hidden="false" customHeight="true" outlineLevel="0" collapsed="false">
      <c r="A5" s="37" t="s">
        <v>80</v>
      </c>
      <c r="B5" s="37" t="s">
        <v>2623</v>
      </c>
      <c r="C5" s="37" t="s">
        <v>2624</v>
      </c>
      <c r="D5" s="37" t="s">
        <v>2625</v>
      </c>
      <c r="E5" s="37" t="s">
        <v>2626</v>
      </c>
      <c r="F5" s="37" t="s">
        <v>2627</v>
      </c>
    </row>
    <row r="6" customFormat="false" ht="33.75" hidden="false" customHeight="true" outlineLevel="0" collapsed="false">
      <c r="A6" s="5" t="s">
        <v>2628</v>
      </c>
      <c r="B6" s="5" t="s">
        <v>2629</v>
      </c>
      <c r="C6" s="5" t="s">
        <v>2630</v>
      </c>
      <c r="D6" s="6" t="s">
        <v>2631</v>
      </c>
      <c r="E6" s="5" t="s">
        <v>2632</v>
      </c>
      <c r="F6" s="6" t="s">
        <v>2633</v>
      </c>
    </row>
    <row r="7" customFormat="false" ht="33.75" hidden="false" customHeight="true" outlineLevel="0" collapsed="false">
      <c r="A7" s="7" t="s">
        <v>2634</v>
      </c>
      <c r="B7" s="7" t="s">
        <v>2635</v>
      </c>
      <c r="C7" s="7" t="s">
        <v>2630</v>
      </c>
      <c r="D7" s="8" t="s">
        <v>2636</v>
      </c>
      <c r="E7" s="7" t="s">
        <v>2637</v>
      </c>
      <c r="F7" s="8" t="s">
        <v>2638</v>
      </c>
    </row>
    <row r="8" customFormat="false" ht="33.75" hidden="false" customHeight="true" outlineLevel="0" collapsed="false">
      <c r="A8" s="5" t="s">
        <v>2639</v>
      </c>
      <c r="B8" s="5" t="s">
        <v>2640</v>
      </c>
      <c r="C8" s="5" t="s">
        <v>360</v>
      </c>
      <c r="D8" s="6" t="s">
        <v>2641</v>
      </c>
      <c r="E8" s="5" t="s">
        <v>2642</v>
      </c>
      <c r="F8" s="6" t="s">
        <v>2638</v>
      </c>
    </row>
    <row r="9" customFormat="false" ht="33.75" hidden="false" customHeight="true" outlineLevel="0" collapsed="false">
      <c r="A9" s="7" t="s">
        <v>2643</v>
      </c>
      <c r="B9" s="7" t="s">
        <v>2644</v>
      </c>
      <c r="C9" s="7" t="s">
        <v>353</v>
      </c>
      <c r="D9" s="8" t="s">
        <v>2645</v>
      </c>
      <c r="E9" s="7" t="s">
        <v>2646</v>
      </c>
      <c r="F9" s="8" t="s">
        <v>2647</v>
      </c>
    </row>
    <row r="10" customFormat="false" ht="33.75" hidden="false" customHeight="true" outlineLevel="0" collapsed="false">
      <c r="A10" s="5" t="s">
        <v>2648</v>
      </c>
      <c r="B10" s="5" t="s">
        <v>2649</v>
      </c>
      <c r="C10" s="5" t="s">
        <v>2650</v>
      </c>
      <c r="D10" s="6" t="s">
        <v>2651</v>
      </c>
      <c r="E10" s="5" t="s">
        <v>2652</v>
      </c>
      <c r="F10" s="6" t="s">
        <v>2653</v>
      </c>
    </row>
    <row r="11" customFormat="false" ht="33.75" hidden="false" customHeight="true" outlineLevel="0" collapsed="false">
      <c r="A11" s="7" t="s">
        <v>2654</v>
      </c>
      <c r="B11" s="7" t="s">
        <v>2655</v>
      </c>
      <c r="C11" s="7" t="s">
        <v>345</v>
      </c>
      <c r="D11" s="8" t="s">
        <v>2656</v>
      </c>
      <c r="E11" s="7" t="s">
        <v>351</v>
      </c>
      <c r="F11" s="8" t="s">
        <v>2657</v>
      </c>
    </row>
    <row r="14" customFormat="false" ht="25.5" hidden="false" customHeight="true" outlineLevel="0" collapsed="false">
      <c r="A14" s="9" t="s">
        <v>2658</v>
      </c>
      <c r="B14" s="9"/>
      <c r="C14" s="9"/>
      <c r="D14" s="9"/>
      <c r="E14" s="9"/>
      <c r="F14" s="9"/>
    </row>
  </sheetData>
  <autoFilter ref="A5:F11"/>
  <mergeCells count="4">
    <mergeCell ref="A1:F1"/>
    <mergeCell ref="A2:F2"/>
    <mergeCell ref="A3:F3"/>
    <mergeCell ref="A14:F1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A8C"/>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2"/>
    <col collapsed="false" customWidth="true" hidden="false" outlineLevel="0" max="3" min="3" style="0" width="24"/>
    <col collapsed="false" customWidth="true" hidden="false" outlineLevel="0" max="4" min="4" style="0" width="28"/>
    <col collapsed="false" customWidth="true" hidden="false" outlineLevel="0" max="5" min="5" style="0" width="40"/>
    <col collapsed="false" customWidth="true" hidden="false" outlineLevel="0" max="6" min="6" style="0" width="58"/>
  </cols>
  <sheetData>
    <row r="1" customFormat="false" ht="19.5" hidden="false" customHeight="true" outlineLevel="0" collapsed="false">
      <c r="A1" s="34" t="s">
        <v>2570</v>
      </c>
      <c r="B1" s="34"/>
      <c r="C1" s="34"/>
      <c r="D1" s="34"/>
      <c r="E1" s="34"/>
      <c r="F1" s="34"/>
    </row>
    <row r="2" customFormat="false" ht="27.75" hidden="false" customHeight="true" outlineLevel="0" collapsed="false">
      <c r="A2" s="35" t="s">
        <v>2659</v>
      </c>
      <c r="B2" s="35"/>
      <c r="C2" s="35"/>
      <c r="D2" s="35"/>
      <c r="E2" s="35"/>
      <c r="F2" s="35"/>
    </row>
    <row r="3" customFormat="false" ht="30" hidden="false" customHeight="true" outlineLevel="0" collapsed="false">
      <c r="A3" s="36" t="s">
        <v>2660</v>
      </c>
      <c r="B3" s="36"/>
      <c r="C3" s="36"/>
      <c r="D3" s="36"/>
      <c r="E3" s="36"/>
      <c r="F3" s="36"/>
    </row>
    <row r="4" customFormat="false" ht="6" hidden="false" customHeight="true" outlineLevel="0" collapsed="false"/>
    <row r="5" customFormat="false" ht="30" hidden="false" customHeight="true" outlineLevel="0" collapsed="false">
      <c r="A5" s="37" t="s">
        <v>2253</v>
      </c>
      <c r="B5" s="37" t="s">
        <v>945</v>
      </c>
      <c r="C5" s="37" t="s">
        <v>81</v>
      </c>
      <c r="D5" s="37" t="s">
        <v>2254</v>
      </c>
      <c r="E5" s="37" t="s">
        <v>1842</v>
      </c>
      <c r="F5" s="37" t="s">
        <v>2255</v>
      </c>
    </row>
    <row r="6" customFormat="false" ht="39.75" hidden="false" customHeight="true" outlineLevel="0" collapsed="false">
      <c r="A6" s="5" t="n">
        <v>1</v>
      </c>
      <c r="B6" s="6" t="s">
        <v>2661</v>
      </c>
      <c r="C6" s="5" t="s">
        <v>110</v>
      </c>
      <c r="D6" s="5" t="s">
        <v>2662</v>
      </c>
      <c r="E6" s="5" t="s">
        <v>2663</v>
      </c>
      <c r="F6" s="6" t="s">
        <v>2664</v>
      </c>
    </row>
    <row r="7" customFormat="false" ht="39.75" hidden="false" customHeight="true" outlineLevel="0" collapsed="false">
      <c r="A7" s="7" t="n">
        <v>2</v>
      </c>
      <c r="B7" s="8" t="s">
        <v>2665</v>
      </c>
      <c r="C7" s="7" t="s">
        <v>494</v>
      </c>
      <c r="D7" s="7" t="s">
        <v>2663</v>
      </c>
      <c r="E7" s="7" t="s">
        <v>2666</v>
      </c>
      <c r="F7" s="8" t="s">
        <v>2667</v>
      </c>
    </row>
    <row r="8" customFormat="false" ht="39.75" hidden="false" customHeight="true" outlineLevel="0" collapsed="false">
      <c r="A8" s="5" t="n">
        <v>3</v>
      </c>
      <c r="B8" s="6" t="s">
        <v>2668</v>
      </c>
      <c r="C8" s="5" t="s">
        <v>494</v>
      </c>
      <c r="D8" s="5" t="s">
        <v>2669</v>
      </c>
      <c r="E8" s="5" t="s">
        <v>2670</v>
      </c>
      <c r="F8" s="6" t="s">
        <v>2671</v>
      </c>
    </row>
    <row r="9" customFormat="false" ht="39.75" hidden="false" customHeight="true" outlineLevel="0" collapsed="false">
      <c r="A9" s="7" t="n">
        <v>4</v>
      </c>
      <c r="B9" s="8" t="s">
        <v>2672</v>
      </c>
      <c r="C9" s="7" t="s">
        <v>114</v>
      </c>
      <c r="D9" s="7" t="s">
        <v>2673</v>
      </c>
      <c r="E9" s="7" t="s">
        <v>2674</v>
      </c>
      <c r="F9" s="8" t="s">
        <v>2675</v>
      </c>
    </row>
    <row r="10" customFormat="false" ht="39.75" hidden="false" customHeight="true" outlineLevel="0" collapsed="false">
      <c r="A10" s="5" t="n">
        <v>5</v>
      </c>
      <c r="B10" s="6" t="s">
        <v>2676</v>
      </c>
      <c r="C10" s="5" t="s">
        <v>110</v>
      </c>
      <c r="D10" s="5" t="s">
        <v>2674</v>
      </c>
      <c r="E10" s="5" t="s">
        <v>2677</v>
      </c>
      <c r="F10" s="6" t="s">
        <v>2678</v>
      </c>
    </row>
    <row r="11" customFormat="false" ht="39.75" hidden="false" customHeight="true" outlineLevel="0" collapsed="false">
      <c r="A11" s="7" t="n">
        <v>6</v>
      </c>
      <c r="B11" s="8" t="s">
        <v>2679</v>
      </c>
      <c r="C11" s="7" t="s">
        <v>2680</v>
      </c>
      <c r="D11" s="7" t="s">
        <v>2669</v>
      </c>
      <c r="E11" s="7" t="s">
        <v>2681</v>
      </c>
      <c r="F11" s="8" t="s">
        <v>2682</v>
      </c>
    </row>
    <row r="12" customFormat="false" ht="39.75" hidden="false" customHeight="true" outlineLevel="0" collapsed="false">
      <c r="A12" s="5" t="n">
        <v>7</v>
      </c>
      <c r="B12" s="6" t="s">
        <v>2683</v>
      </c>
      <c r="C12" s="5" t="s">
        <v>114</v>
      </c>
      <c r="D12" s="5" t="s">
        <v>2681</v>
      </c>
      <c r="E12" s="5" t="s">
        <v>2684</v>
      </c>
      <c r="F12" s="6" t="s">
        <v>2685</v>
      </c>
    </row>
    <row r="13" customFormat="false" ht="39.75" hidden="false" customHeight="true" outlineLevel="0" collapsed="false">
      <c r="A13" s="7" t="n">
        <v>8</v>
      </c>
      <c r="B13" s="8" t="s">
        <v>2686</v>
      </c>
      <c r="C13" s="7" t="s">
        <v>110</v>
      </c>
      <c r="D13" s="7" t="s">
        <v>323</v>
      </c>
      <c r="E13" s="7" t="s">
        <v>2687</v>
      </c>
      <c r="F13" s="8" t="s">
        <v>2688</v>
      </c>
    </row>
    <row r="14" customFormat="false" ht="39.75" hidden="false" customHeight="true" outlineLevel="0" collapsed="false">
      <c r="A14" s="5" t="n">
        <v>9</v>
      </c>
      <c r="B14" s="6" t="s">
        <v>2689</v>
      </c>
      <c r="C14" s="5" t="s">
        <v>2690</v>
      </c>
      <c r="D14" s="5" t="s">
        <v>2293</v>
      </c>
      <c r="E14" s="5" t="s">
        <v>2691</v>
      </c>
      <c r="F14" s="6" t="s">
        <v>2692</v>
      </c>
    </row>
    <row r="15" customFormat="false" ht="39.75" hidden="false" customHeight="true" outlineLevel="0" collapsed="false">
      <c r="A15" s="7" t="n">
        <v>10</v>
      </c>
      <c r="B15" s="8" t="s">
        <v>2693</v>
      </c>
      <c r="C15" s="7" t="s">
        <v>114</v>
      </c>
      <c r="D15" s="7" t="s">
        <v>2691</v>
      </c>
      <c r="E15" s="7" t="s">
        <v>2694</v>
      </c>
      <c r="F15" s="8" t="s">
        <v>2695</v>
      </c>
    </row>
  </sheetData>
  <autoFilter ref="A5:F15"/>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3A8C"/>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 collapsed="false" customWidth="true" hidden="false" outlineLevel="0" max="3" min="3" style="0" width="34"/>
    <col collapsed="false" customWidth="true" hidden="false" outlineLevel="0" max="4" min="4" style="0" width="46"/>
    <col collapsed="false" customWidth="true" hidden="false" outlineLevel="0" max="5" min="5" style="0" width="24"/>
    <col collapsed="false" customWidth="true" hidden="false" outlineLevel="0" max="6" min="6" style="0" width="22"/>
  </cols>
  <sheetData>
    <row r="1" customFormat="false" ht="19.5" hidden="false" customHeight="true" outlineLevel="0" collapsed="false">
      <c r="A1" s="34" t="s">
        <v>2570</v>
      </c>
      <c r="B1" s="34"/>
      <c r="C1" s="34"/>
      <c r="D1" s="34"/>
      <c r="E1" s="34"/>
      <c r="F1" s="34"/>
    </row>
    <row r="2" customFormat="false" ht="27.75" hidden="false" customHeight="true" outlineLevel="0" collapsed="false">
      <c r="A2" s="35" t="s">
        <v>2696</v>
      </c>
      <c r="B2" s="35"/>
      <c r="C2" s="35"/>
      <c r="D2" s="35"/>
      <c r="E2" s="35"/>
      <c r="F2" s="35"/>
    </row>
    <row r="3" customFormat="false" ht="30" hidden="false" customHeight="true" outlineLevel="0" collapsed="false">
      <c r="A3" s="36" t="s">
        <v>2697</v>
      </c>
      <c r="B3" s="36"/>
      <c r="C3" s="36"/>
      <c r="D3" s="36"/>
      <c r="E3" s="36"/>
      <c r="F3" s="36"/>
    </row>
    <row r="4" customFormat="false" ht="6" hidden="false" customHeight="true" outlineLevel="0" collapsed="false"/>
    <row r="5" customFormat="false" ht="30" hidden="false" customHeight="true" outlineLevel="0" collapsed="false">
      <c r="A5" s="37" t="s">
        <v>2698</v>
      </c>
      <c r="B5" s="37" t="s">
        <v>2699</v>
      </c>
      <c r="C5" s="37" t="s">
        <v>2700</v>
      </c>
      <c r="D5" s="37" t="s">
        <v>2701</v>
      </c>
      <c r="E5" s="37" t="s">
        <v>2702</v>
      </c>
      <c r="F5" s="37" t="s">
        <v>40</v>
      </c>
    </row>
    <row r="6" customFormat="false" ht="30" hidden="false" customHeight="true" outlineLevel="0" collapsed="false">
      <c r="A6" s="5" t="s">
        <v>2703</v>
      </c>
      <c r="B6" s="6" t="s">
        <v>2704</v>
      </c>
      <c r="C6" s="5" t="s">
        <v>1934</v>
      </c>
      <c r="D6" s="6" t="s">
        <v>2705</v>
      </c>
      <c r="E6" s="5" t="s">
        <v>2706</v>
      </c>
      <c r="F6" s="5" t="s">
        <v>117</v>
      </c>
    </row>
    <row r="7" customFormat="false" ht="30" hidden="false" customHeight="true" outlineLevel="0" collapsed="false">
      <c r="A7" s="7" t="s">
        <v>2707</v>
      </c>
      <c r="B7" s="8" t="s">
        <v>2708</v>
      </c>
      <c r="C7" s="7" t="s">
        <v>1934</v>
      </c>
      <c r="D7" s="8" t="s">
        <v>2709</v>
      </c>
      <c r="E7" s="7" t="s">
        <v>2710</v>
      </c>
      <c r="F7" s="7" t="s">
        <v>110</v>
      </c>
    </row>
    <row r="8" customFormat="false" ht="30" hidden="false" customHeight="true" outlineLevel="0" collapsed="false">
      <c r="A8" s="5" t="s">
        <v>2711</v>
      </c>
      <c r="B8" s="6" t="s">
        <v>2712</v>
      </c>
      <c r="C8" s="5" t="s">
        <v>1934</v>
      </c>
      <c r="D8" s="6" t="s">
        <v>2713</v>
      </c>
      <c r="E8" s="5" t="s">
        <v>2714</v>
      </c>
      <c r="F8" s="5" t="s">
        <v>117</v>
      </c>
    </row>
    <row r="9" customFormat="false" ht="30" hidden="false" customHeight="true" outlineLevel="0" collapsed="false">
      <c r="A9" s="7" t="s">
        <v>2715</v>
      </c>
      <c r="B9" s="8" t="s">
        <v>2716</v>
      </c>
      <c r="C9" s="7" t="s">
        <v>2717</v>
      </c>
      <c r="D9" s="8" t="s">
        <v>2718</v>
      </c>
      <c r="E9" s="7" t="s">
        <v>2719</v>
      </c>
      <c r="F9" s="7" t="s">
        <v>2680</v>
      </c>
    </row>
    <row r="10" customFormat="false" ht="30" hidden="false" customHeight="true" outlineLevel="0" collapsed="false">
      <c r="A10" s="5" t="s">
        <v>2720</v>
      </c>
      <c r="B10" s="6" t="s">
        <v>2721</v>
      </c>
      <c r="C10" s="5" t="s">
        <v>2722</v>
      </c>
      <c r="D10" s="6" t="s">
        <v>2723</v>
      </c>
      <c r="E10" s="5" t="s">
        <v>2724</v>
      </c>
      <c r="F10" s="5" t="s">
        <v>110</v>
      </c>
    </row>
    <row r="11" customFormat="false" ht="30" hidden="false" customHeight="true" outlineLevel="0" collapsed="false">
      <c r="A11" s="7" t="s">
        <v>2602</v>
      </c>
      <c r="B11" s="8" t="s">
        <v>2725</v>
      </c>
      <c r="C11" s="7" t="s">
        <v>2726</v>
      </c>
      <c r="D11" s="8" t="s">
        <v>2727</v>
      </c>
      <c r="E11" s="7" t="s">
        <v>2728</v>
      </c>
      <c r="F11" s="7" t="s">
        <v>41</v>
      </c>
    </row>
    <row r="12" customFormat="false" ht="30" hidden="false" customHeight="true" outlineLevel="0" collapsed="false">
      <c r="A12" s="5" t="s">
        <v>2594</v>
      </c>
      <c r="B12" s="6" t="s">
        <v>2729</v>
      </c>
      <c r="C12" s="5" t="s">
        <v>2730</v>
      </c>
      <c r="D12" s="6" t="s">
        <v>2731</v>
      </c>
      <c r="E12" s="5" t="s">
        <v>2732</v>
      </c>
      <c r="F12" s="5" t="s">
        <v>110</v>
      </c>
    </row>
    <row r="13" customFormat="false" ht="30" hidden="false" customHeight="true" outlineLevel="0" collapsed="false">
      <c r="A13" s="7" t="s">
        <v>2733</v>
      </c>
      <c r="B13" s="8" t="s">
        <v>2734</v>
      </c>
      <c r="C13" s="7" t="s">
        <v>2735</v>
      </c>
      <c r="D13" s="8" t="s">
        <v>2736</v>
      </c>
      <c r="E13" s="7" t="s">
        <v>2737</v>
      </c>
      <c r="F13" s="7" t="s">
        <v>110</v>
      </c>
    </row>
    <row r="14" customFormat="false" ht="30" hidden="false" customHeight="true" outlineLevel="0" collapsed="false">
      <c r="A14" s="5" t="s">
        <v>2738</v>
      </c>
      <c r="B14" s="6" t="s">
        <v>2739</v>
      </c>
      <c r="C14" s="5" t="s">
        <v>2740</v>
      </c>
      <c r="D14" s="6" t="s">
        <v>2741</v>
      </c>
      <c r="E14" s="5" t="s">
        <v>2742</v>
      </c>
      <c r="F14" s="5" t="s">
        <v>110</v>
      </c>
    </row>
  </sheetData>
  <autoFilter ref="A5:F14"/>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6B3C"/>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6"/>
    <col collapsed="false" customWidth="true" hidden="false" outlineLevel="0" max="3" min="3" style="0" width="44"/>
    <col collapsed="false" customWidth="true" hidden="false" outlineLevel="0" max="4" min="4" style="0" width="24"/>
    <col collapsed="false" customWidth="true" hidden="false" outlineLevel="0" max="5" min="5" style="0" width="26"/>
    <col collapsed="false" customWidth="true" hidden="false" outlineLevel="0" max="6" min="6" style="0" width="66"/>
  </cols>
  <sheetData>
    <row r="1" customFormat="false" ht="19.5" hidden="false" customHeight="true" outlineLevel="0" collapsed="false">
      <c r="A1" s="38" t="s">
        <v>2743</v>
      </c>
      <c r="B1" s="38"/>
      <c r="C1" s="38"/>
      <c r="D1" s="38"/>
      <c r="E1" s="38"/>
      <c r="F1" s="38"/>
    </row>
    <row r="2" customFormat="false" ht="27.75" hidden="false" customHeight="true" outlineLevel="0" collapsed="false">
      <c r="A2" s="39" t="s">
        <v>2744</v>
      </c>
      <c r="B2" s="39"/>
      <c r="C2" s="39"/>
      <c r="D2" s="39"/>
      <c r="E2" s="39"/>
      <c r="F2" s="39"/>
    </row>
    <row r="3" customFormat="false" ht="30" hidden="false" customHeight="true" outlineLevel="0" collapsed="false">
      <c r="A3" s="40" t="s">
        <v>2745</v>
      </c>
      <c r="B3" s="40"/>
      <c r="C3" s="40"/>
      <c r="D3" s="40"/>
      <c r="E3" s="40"/>
      <c r="F3" s="40"/>
    </row>
    <row r="4" customFormat="false" ht="6" hidden="false" customHeight="true" outlineLevel="0" collapsed="false"/>
    <row r="5" customFormat="false" ht="30" hidden="false" customHeight="true" outlineLevel="0" collapsed="false">
      <c r="A5" s="41" t="s">
        <v>1837</v>
      </c>
      <c r="B5" s="41" t="s">
        <v>2746</v>
      </c>
      <c r="C5" s="41" t="s">
        <v>2332</v>
      </c>
      <c r="D5" s="41" t="s">
        <v>40</v>
      </c>
      <c r="E5" s="41" t="s">
        <v>1587</v>
      </c>
      <c r="F5" s="41" t="s">
        <v>23</v>
      </c>
    </row>
    <row r="6" customFormat="false" ht="39.75" hidden="false" customHeight="true" outlineLevel="0" collapsed="false">
      <c r="A6" s="5" t="s">
        <v>2747</v>
      </c>
      <c r="B6" s="6" t="s">
        <v>2748</v>
      </c>
      <c r="C6" s="5" t="s">
        <v>2749</v>
      </c>
      <c r="D6" s="5" t="s">
        <v>131</v>
      </c>
      <c r="E6" s="5" t="s">
        <v>860</v>
      </c>
      <c r="F6" s="6" t="s">
        <v>2750</v>
      </c>
    </row>
    <row r="7" customFormat="false" ht="39.75" hidden="false" customHeight="true" outlineLevel="0" collapsed="false">
      <c r="A7" s="7" t="s">
        <v>2751</v>
      </c>
      <c r="B7" s="8" t="s">
        <v>2752</v>
      </c>
      <c r="C7" s="7" t="s">
        <v>2753</v>
      </c>
      <c r="D7" s="7" t="s">
        <v>131</v>
      </c>
      <c r="E7" s="7" t="s">
        <v>860</v>
      </c>
      <c r="F7" s="8" t="s">
        <v>2754</v>
      </c>
    </row>
    <row r="8" customFormat="false" ht="39.75" hidden="false" customHeight="true" outlineLevel="0" collapsed="false">
      <c r="A8" s="5" t="s">
        <v>804</v>
      </c>
      <c r="B8" s="6" t="s">
        <v>2755</v>
      </c>
      <c r="C8" s="5" t="s">
        <v>2756</v>
      </c>
      <c r="D8" s="5" t="s">
        <v>131</v>
      </c>
      <c r="E8" s="5" t="s">
        <v>2757</v>
      </c>
      <c r="F8" s="6" t="s">
        <v>2758</v>
      </c>
    </row>
    <row r="9" customFormat="false" ht="39.75" hidden="false" customHeight="true" outlineLevel="0" collapsed="false">
      <c r="A9" s="7" t="s">
        <v>2759</v>
      </c>
      <c r="B9" s="8" t="s">
        <v>2760</v>
      </c>
      <c r="C9" s="7" t="s">
        <v>2761</v>
      </c>
      <c r="D9" s="7" t="s">
        <v>131</v>
      </c>
      <c r="E9" s="7" t="s">
        <v>835</v>
      </c>
      <c r="F9" s="8" t="s">
        <v>2762</v>
      </c>
    </row>
    <row r="10" customFormat="false" ht="39.75" hidden="false" customHeight="true" outlineLevel="0" collapsed="false">
      <c r="A10" s="5" t="s">
        <v>268</v>
      </c>
      <c r="B10" s="6" t="s">
        <v>2763</v>
      </c>
      <c r="C10" s="5" t="s">
        <v>2764</v>
      </c>
      <c r="D10" s="5" t="s">
        <v>131</v>
      </c>
      <c r="E10" s="5" t="s">
        <v>2765</v>
      </c>
      <c r="F10" s="6" t="s">
        <v>2766</v>
      </c>
    </row>
    <row r="11" customFormat="false" ht="39.75" hidden="false" customHeight="true" outlineLevel="0" collapsed="false">
      <c r="A11" s="7" t="s">
        <v>2767</v>
      </c>
      <c r="B11" s="8" t="s">
        <v>2768</v>
      </c>
      <c r="C11" s="7" t="s">
        <v>2769</v>
      </c>
      <c r="D11" s="7" t="s">
        <v>2770</v>
      </c>
      <c r="E11" s="7" t="s">
        <v>1658</v>
      </c>
      <c r="F11" s="8" t="s">
        <v>2771</v>
      </c>
    </row>
    <row r="12" customFormat="false" ht="39.75" hidden="false" customHeight="true" outlineLevel="0" collapsed="false">
      <c r="A12" s="5" t="s">
        <v>2772</v>
      </c>
      <c r="B12" s="6" t="s">
        <v>2773</v>
      </c>
      <c r="C12" s="5" t="s">
        <v>2774</v>
      </c>
      <c r="D12" s="5" t="s">
        <v>131</v>
      </c>
      <c r="E12" s="5" t="s">
        <v>2775</v>
      </c>
      <c r="F12" s="6" t="s">
        <v>2776</v>
      </c>
    </row>
    <row r="13" customFormat="false" ht="39.75" hidden="false" customHeight="true" outlineLevel="0" collapsed="false">
      <c r="A13" s="7" t="s">
        <v>2777</v>
      </c>
      <c r="B13" s="8" t="s">
        <v>2778</v>
      </c>
      <c r="C13" s="7" t="s">
        <v>2779</v>
      </c>
      <c r="D13" s="7" t="s">
        <v>131</v>
      </c>
      <c r="E13" s="7" t="s">
        <v>2780</v>
      </c>
      <c r="F13" s="8" t="s">
        <v>2781</v>
      </c>
    </row>
    <row r="14" customFormat="false" ht="39.75" hidden="false" customHeight="true" outlineLevel="0" collapsed="false">
      <c r="A14" s="5" t="s">
        <v>327</v>
      </c>
      <c r="B14" s="6" t="s">
        <v>2782</v>
      </c>
      <c r="C14" s="5" t="s">
        <v>2783</v>
      </c>
      <c r="D14" s="5" t="s">
        <v>2784</v>
      </c>
      <c r="E14" s="5" t="s">
        <v>860</v>
      </c>
      <c r="F14" s="6" t="s">
        <v>2785</v>
      </c>
    </row>
    <row r="15" customFormat="false" ht="39.75" hidden="false" customHeight="true" outlineLevel="0" collapsed="false">
      <c r="A15" s="7" t="s">
        <v>2786</v>
      </c>
      <c r="B15" s="8" t="s">
        <v>2787</v>
      </c>
      <c r="C15" s="7" t="s">
        <v>2788</v>
      </c>
      <c r="D15" s="7" t="s">
        <v>131</v>
      </c>
      <c r="E15" s="7" t="s">
        <v>2765</v>
      </c>
      <c r="F15" s="8" t="s">
        <v>2789</v>
      </c>
    </row>
  </sheetData>
  <autoFilter ref="A5:F15"/>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6B3C"/>
    <pageSetUpPr fitToPage="tru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 collapsed="false" customWidth="true" hidden="false" outlineLevel="0" max="4" min="4" style="0" width="52"/>
    <col collapsed="false" customWidth="true" hidden="false" outlineLevel="0" max="5" min="5" style="0" width="22"/>
    <col collapsed="false" customWidth="true" hidden="false" outlineLevel="0" max="6" min="6" style="0" width="20"/>
  </cols>
  <sheetData>
    <row r="1" customFormat="false" ht="19.5" hidden="false" customHeight="true" outlineLevel="0" collapsed="false">
      <c r="A1" s="38" t="s">
        <v>2743</v>
      </c>
      <c r="B1" s="38"/>
      <c r="C1" s="38"/>
      <c r="D1" s="38"/>
      <c r="E1" s="38"/>
      <c r="F1" s="38"/>
    </row>
    <row r="2" customFormat="false" ht="27.75" hidden="false" customHeight="true" outlineLevel="0" collapsed="false">
      <c r="A2" s="39" t="s">
        <v>2790</v>
      </c>
      <c r="B2" s="39"/>
      <c r="C2" s="39"/>
      <c r="D2" s="39"/>
      <c r="E2" s="39"/>
      <c r="F2" s="39"/>
    </row>
    <row r="3" customFormat="false" ht="30" hidden="false" customHeight="true" outlineLevel="0" collapsed="false">
      <c r="A3" s="40" t="s">
        <v>2791</v>
      </c>
      <c r="B3" s="40"/>
      <c r="C3" s="40"/>
      <c r="D3" s="40"/>
      <c r="E3" s="40"/>
      <c r="F3" s="40"/>
    </row>
    <row r="4" customFormat="false" ht="6" hidden="false" customHeight="true" outlineLevel="0" collapsed="false"/>
    <row r="5" customFormat="false" ht="30" hidden="false" customHeight="true" outlineLevel="0" collapsed="false">
      <c r="A5" s="41" t="s">
        <v>80</v>
      </c>
      <c r="B5" s="41" t="s">
        <v>2792</v>
      </c>
      <c r="C5" s="41" t="s">
        <v>2793</v>
      </c>
      <c r="D5" s="41" t="s">
        <v>2794</v>
      </c>
      <c r="E5" s="41" t="s">
        <v>2795</v>
      </c>
      <c r="F5" s="41" t="s">
        <v>2796</v>
      </c>
    </row>
    <row r="6" customFormat="false" ht="21.75" hidden="false" customHeight="true" outlineLevel="0" collapsed="false">
      <c r="A6" s="5" t="s">
        <v>2797</v>
      </c>
      <c r="B6" s="5" t="s">
        <v>2798</v>
      </c>
      <c r="C6" s="5" t="s">
        <v>2799</v>
      </c>
      <c r="D6" s="6" t="s">
        <v>2800</v>
      </c>
      <c r="E6" s="5" t="s">
        <v>131</v>
      </c>
      <c r="F6" s="5" t="s">
        <v>2801</v>
      </c>
    </row>
    <row r="7" customFormat="false" ht="21.75" hidden="false" customHeight="true" outlineLevel="0" collapsed="false">
      <c r="A7" s="7" t="s">
        <v>2802</v>
      </c>
      <c r="B7" s="7" t="s">
        <v>2803</v>
      </c>
      <c r="C7" s="7" t="s">
        <v>2804</v>
      </c>
      <c r="D7" s="8" t="s">
        <v>2805</v>
      </c>
      <c r="E7" s="7" t="s">
        <v>131</v>
      </c>
      <c r="F7" s="7" t="s">
        <v>2806</v>
      </c>
    </row>
    <row r="8" customFormat="false" ht="21.75" hidden="false" customHeight="true" outlineLevel="0" collapsed="false">
      <c r="A8" s="5" t="s">
        <v>2807</v>
      </c>
      <c r="B8" s="5" t="s">
        <v>2808</v>
      </c>
      <c r="C8" s="5" t="s">
        <v>2809</v>
      </c>
      <c r="D8" s="6" t="s">
        <v>2810</v>
      </c>
      <c r="E8" s="5" t="s">
        <v>131</v>
      </c>
      <c r="F8" s="5" t="s">
        <v>2811</v>
      </c>
    </row>
    <row r="9" customFormat="false" ht="21.75" hidden="false" customHeight="true" outlineLevel="0" collapsed="false">
      <c r="A9" s="7" t="s">
        <v>2812</v>
      </c>
      <c r="B9" s="7" t="s">
        <v>2813</v>
      </c>
      <c r="C9" s="7" t="s">
        <v>2814</v>
      </c>
      <c r="D9" s="8" t="s">
        <v>2815</v>
      </c>
      <c r="E9" s="7" t="s">
        <v>41</v>
      </c>
      <c r="F9" s="7" t="s">
        <v>2816</v>
      </c>
    </row>
    <row r="10" customFormat="false" ht="21.75" hidden="false" customHeight="true" outlineLevel="0" collapsed="false">
      <c r="A10" s="5" t="s">
        <v>2817</v>
      </c>
      <c r="B10" s="5" t="s">
        <v>2818</v>
      </c>
      <c r="C10" s="5" t="s">
        <v>2819</v>
      </c>
      <c r="D10" s="6" t="s">
        <v>2820</v>
      </c>
      <c r="E10" s="5" t="s">
        <v>494</v>
      </c>
      <c r="F10" s="5" t="s">
        <v>2821</v>
      </c>
    </row>
    <row r="11" customFormat="false" ht="21.75" hidden="false" customHeight="true" outlineLevel="0" collapsed="false">
      <c r="A11" s="7" t="s">
        <v>2822</v>
      </c>
      <c r="B11" s="7" t="s">
        <v>2823</v>
      </c>
      <c r="C11" s="7" t="s">
        <v>2824</v>
      </c>
      <c r="D11" s="8" t="s">
        <v>2825</v>
      </c>
      <c r="E11" s="7" t="s">
        <v>131</v>
      </c>
      <c r="F11" s="7" t="s">
        <v>2826</v>
      </c>
    </row>
    <row r="12" customFormat="false" ht="21.75" hidden="false" customHeight="true" outlineLevel="0" collapsed="false">
      <c r="A12" s="5" t="s">
        <v>2827</v>
      </c>
      <c r="B12" s="5" t="s">
        <v>2828</v>
      </c>
      <c r="C12" s="5" t="s">
        <v>2829</v>
      </c>
      <c r="D12" s="6" t="s">
        <v>2830</v>
      </c>
      <c r="E12" s="5" t="s">
        <v>104</v>
      </c>
      <c r="F12" s="5" t="s">
        <v>2831</v>
      </c>
    </row>
    <row r="13" customFormat="false" ht="21.75" hidden="false" customHeight="true" outlineLevel="0" collapsed="false">
      <c r="A13" s="7" t="s">
        <v>2832</v>
      </c>
      <c r="B13" s="7" t="s">
        <v>2833</v>
      </c>
      <c r="C13" s="7" t="s">
        <v>2834</v>
      </c>
      <c r="D13" s="8" t="s">
        <v>2835</v>
      </c>
      <c r="E13" s="7" t="s">
        <v>127</v>
      </c>
      <c r="F13" s="7" t="s">
        <v>2836</v>
      </c>
    </row>
    <row r="15" customFormat="false" ht="15" hidden="false" customHeight="false" outlineLevel="0" collapsed="false">
      <c r="A15" s="42" t="s">
        <v>2837</v>
      </c>
    </row>
    <row r="16" customFormat="false" ht="30" hidden="false" customHeight="true" outlineLevel="0" collapsed="false">
      <c r="A16" s="41" t="s">
        <v>80</v>
      </c>
      <c r="B16" s="41" t="s">
        <v>2837</v>
      </c>
      <c r="C16" s="41" t="s">
        <v>2838</v>
      </c>
      <c r="D16" s="41" t="s">
        <v>2839</v>
      </c>
      <c r="E16" s="41" t="s">
        <v>2840</v>
      </c>
      <c r="F16" s="41" t="s">
        <v>40</v>
      </c>
    </row>
    <row r="17" customFormat="false" ht="21.75" hidden="false" customHeight="true" outlineLevel="0" collapsed="false">
      <c r="A17" s="5" t="s">
        <v>2841</v>
      </c>
      <c r="B17" s="5" t="s">
        <v>2842</v>
      </c>
      <c r="C17" s="5" t="s">
        <v>2843</v>
      </c>
      <c r="D17" s="6" t="s">
        <v>2844</v>
      </c>
      <c r="E17" s="5" t="s">
        <v>2845</v>
      </c>
      <c r="F17" s="5" t="s">
        <v>124</v>
      </c>
    </row>
    <row r="18" customFormat="false" ht="21.75" hidden="false" customHeight="true" outlineLevel="0" collapsed="false">
      <c r="A18" s="7" t="s">
        <v>2846</v>
      </c>
      <c r="B18" s="7" t="s">
        <v>2847</v>
      </c>
      <c r="C18" s="7" t="s">
        <v>2848</v>
      </c>
      <c r="D18" s="8" t="s">
        <v>2849</v>
      </c>
      <c r="E18" s="7" t="s">
        <v>2850</v>
      </c>
      <c r="F18" s="7" t="s">
        <v>124</v>
      </c>
    </row>
    <row r="19" customFormat="false" ht="21.75" hidden="false" customHeight="true" outlineLevel="0" collapsed="false">
      <c r="A19" s="5" t="s">
        <v>2851</v>
      </c>
      <c r="B19" s="5" t="s">
        <v>2852</v>
      </c>
      <c r="C19" s="5" t="s">
        <v>2853</v>
      </c>
      <c r="D19" s="6" t="s">
        <v>2844</v>
      </c>
      <c r="E19" s="5" t="s">
        <v>2854</v>
      </c>
      <c r="F19" s="5" t="s">
        <v>127</v>
      </c>
    </row>
    <row r="20" customFormat="false" ht="21.75" hidden="false" customHeight="true" outlineLevel="0" collapsed="false">
      <c r="A20" s="7" t="s">
        <v>2855</v>
      </c>
      <c r="B20" s="7" t="s">
        <v>2856</v>
      </c>
      <c r="C20" s="7" t="s">
        <v>2857</v>
      </c>
      <c r="D20" s="8" t="s">
        <v>2858</v>
      </c>
      <c r="E20" s="7" t="s">
        <v>2859</v>
      </c>
      <c r="F20" s="7" t="s">
        <v>104</v>
      </c>
    </row>
    <row r="21" customFormat="false" ht="21.75" hidden="false" customHeight="true" outlineLevel="0" collapsed="false">
      <c r="A21" s="5" t="s">
        <v>2860</v>
      </c>
      <c r="B21" s="5" t="s">
        <v>2861</v>
      </c>
      <c r="C21" s="5" t="s">
        <v>2862</v>
      </c>
      <c r="D21" s="6" t="s">
        <v>2844</v>
      </c>
      <c r="E21" s="5" t="s">
        <v>2863</v>
      </c>
      <c r="F21" s="5" t="s">
        <v>135</v>
      </c>
    </row>
    <row r="22" customFormat="false" ht="21.75" hidden="false" customHeight="true" outlineLevel="0" collapsed="false">
      <c r="A22" s="7" t="s">
        <v>2864</v>
      </c>
      <c r="B22" s="7" t="s">
        <v>2865</v>
      </c>
      <c r="C22" s="7" t="s">
        <v>2866</v>
      </c>
      <c r="D22" s="8" t="s">
        <v>2844</v>
      </c>
      <c r="E22" s="7" t="s">
        <v>2867</v>
      </c>
      <c r="F22" s="7" t="s">
        <v>135</v>
      </c>
    </row>
    <row r="23" customFormat="false" ht="21.75" hidden="false" customHeight="true" outlineLevel="0" collapsed="false">
      <c r="A23" s="5" t="s">
        <v>2868</v>
      </c>
      <c r="B23" s="5" t="s">
        <v>2869</v>
      </c>
      <c r="C23" s="5" t="s">
        <v>2870</v>
      </c>
      <c r="D23" s="6" t="s">
        <v>2844</v>
      </c>
      <c r="E23" s="5" t="s">
        <v>2871</v>
      </c>
      <c r="F23" s="5" t="s">
        <v>131</v>
      </c>
    </row>
    <row r="25" customFormat="false" ht="30" hidden="false" customHeight="true" outlineLevel="0" collapsed="false">
      <c r="A25" s="41" t="s">
        <v>2872</v>
      </c>
      <c r="B25" s="41" t="s">
        <v>4</v>
      </c>
    </row>
    <row r="26" customFormat="false" ht="24" hidden="false" customHeight="true" outlineLevel="0" collapsed="false">
      <c r="A26" s="5" t="s">
        <v>2873</v>
      </c>
      <c r="B26" s="6" t="s">
        <v>2874</v>
      </c>
    </row>
    <row r="27" customFormat="false" ht="24" hidden="false" customHeight="true" outlineLevel="0" collapsed="false">
      <c r="A27" s="7" t="s">
        <v>2875</v>
      </c>
      <c r="B27" s="8" t="s">
        <v>2876</v>
      </c>
    </row>
    <row r="28" customFormat="false" ht="24" hidden="false" customHeight="true" outlineLevel="0" collapsed="false">
      <c r="A28" s="5" t="s">
        <v>2877</v>
      </c>
      <c r="B28" s="6" t="s">
        <v>2878</v>
      </c>
    </row>
    <row r="29" customFormat="false" ht="24" hidden="false" customHeight="true" outlineLevel="0" collapsed="false">
      <c r="A29" s="7" t="s">
        <v>2879</v>
      </c>
      <c r="B29" s="8" t="s">
        <v>2880</v>
      </c>
    </row>
    <row r="30" customFormat="false" ht="24" hidden="false" customHeight="true" outlineLevel="0" collapsed="false">
      <c r="A30" s="5" t="s">
        <v>2881</v>
      </c>
      <c r="B30" s="6" t="s">
        <v>2882</v>
      </c>
    </row>
    <row r="31" customFormat="false" ht="24" hidden="false" customHeight="true" outlineLevel="0" collapsed="false">
      <c r="A31" s="7" t="s">
        <v>2883</v>
      </c>
      <c r="B31" s="8" t="s">
        <v>2884</v>
      </c>
    </row>
    <row r="32" customFormat="false" ht="24" hidden="false" customHeight="true" outlineLevel="0" collapsed="false">
      <c r="A32" s="5" t="s">
        <v>2885</v>
      </c>
      <c r="B32" s="6" t="s">
        <v>2886</v>
      </c>
    </row>
  </sheetData>
  <autoFilter ref="A25:B32"/>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5322"/>
    <pageSetUpPr fitToPage="tru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52"/>
    <col collapsed="false" customWidth="true" hidden="false" outlineLevel="0" max="4" min="4" style="0" width="26"/>
    <col collapsed="false" customWidth="true" hidden="false" outlineLevel="0" max="5" min="5" style="0" width="66"/>
    <col collapsed="false" customWidth="true" hidden="false" outlineLevel="0" max="6" min="6" style="0" width="52"/>
    <col collapsed="false" customWidth="true" hidden="false" outlineLevel="0" max="7" min="7" style="0" width="20"/>
  </cols>
  <sheetData>
    <row r="1" customFormat="false" ht="19.5" hidden="false" customHeight="true" outlineLevel="0" collapsed="false">
      <c r="A1" s="43" t="s">
        <v>2887</v>
      </c>
      <c r="B1" s="43"/>
      <c r="C1" s="43"/>
      <c r="D1" s="43"/>
      <c r="E1" s="43"/>
      <c r="F1" s="43"/>
      <c r="G1" s="43"/>
    </row>
    <row r="2" customFormat="false" ht="27.75" hidden="false" customHeight="true" outlineLevel="0" collapsed="false">
      <c r="A2" s="44" t="s">
        <v>2888</v>
      </c>
      <c r="B2" s="44"/>
      <c r="C2" s="44"/>
      <c r="D2" s="44"/>
      <c r="E2" s="44"/>
      <c r="F2" s="44"/>
      <c r="G2" s="44"/>
    </row>
    <row r="3" customFormat="false" ht="30" hidden="false" customHeight="true" outlineLevel="0" collapsed="false">
      <c r="A3" s="45" t="s">
        <v>2889</v>
      </c>
      <c r="B3" s="45"/>
      <c r="C3" s="45"/>
      <c r="D3" s="45"/>
      <c r="E3" s="45"/>
      <c r="F3" s="45"/>
      <c r="G3" s="45"/>
    </row>
    <row r="4" customFormat="false" ht="6" hidden="false" customHeight="true" outlineLevel="0" collapsed="false"/>
    <row r="5" customFormat="false" ht="30" hidden="false" customHeight="true" outlineLevel="0" collapsed="false">
      <c r="A5" s="46" t="s">
        <v>80</v>
      </c>
      <c r="B5" s="46" t="s">
        <v>268</v>
      </c>
      <c r="C5" s="46" t="s">
        <v>2890</v>
      </c>
      <c r="D5" s="46" t="s">
        <v>2415</v>
      </c>
      <c r="E5" s="46" t="s">
        <v>2891</v>
      </c>
      <c r="F5" s="46" t="s">
        <v>2892</v>
      </c>
      <c r="G5" s="46" t="s">
        <v>40</v>
      </c>
    </row>
    <row r="6" customFormat="false" ht="30" hidden="false" customHeight="true" outlineLevel="0" collapsed="false">
      <c r="A6" s="5" t="s">
        <v>2893</v>
      </c>
      <c r="B6" s="5" t="s">
        <v>2894</v>
      </c>
      <c r="C6" s="5" t="s">
        <v>2849</v>
      </c>
      <c r="D6" s="5" t="s">
        <v>2895</v>
      </c>
      <c r="E6" s="6" t="s">
        <v>2896</v>
      </c>
      <c r="F6" s="6" t="s">
        <v>2897</v>
      </c>
      <c r="G6" s="5" t="s">
        <v>41</v>
      </c>
    </row>
    <row r="7" customFormat="false" ht="30" hidden="false" customHeight="true" outlineLevel="0" collapsed="false">
      <c r="A7" s="7" t="s">
        <v>2898</v>
      </c>
      <c r="B7" s="7" t="s">
        <v>2899</v>
      </c>
      <c r="C7" s="7" t="s">
        <v>2900</v>
      </c>
      <c r="D7" s="7" t="s">
        <v>2901</v>
      </c>
      <c r="E7" s="8" t="s">
        <v>2902</v>
      </c>
      <c r="F7" s="8" t="s">
        <v>2903</v>
      </c>
      <c r="G7" s="7" t="s">
        <v>131</v>
      </c>
    </row>
    <row r="8" customFormat="false" ht="30" hidden="false" customHeight="true" outlineLevel="0" collapsed="false">
      <c r="A8" s="5" t="s">
        <v>2904</v>
      </c>
      <c r="B8" s="5" t="s">
        <v>2905</v>
      </c>
      <c r="C8" s="5" t="s">
        <v>2906</v>
      </c>
      <c r="D8" s="5" t="s">
        <v>2907</v>
      </c>
      <c r="E8" s="6" t="s">
        <v>2908</v>
      </c>
      <c r="F8" s="6" t="s">
        <v>2909</v>
      </c>
      <c r="G8" s="5" t="s">
        <v>120</v>
      </c>
    </row>
    <row r="9" customFormat="false" ht="30" hidden="false" customHeight="true" outlineLevel="0" collapsed="false">
      <c r="A9" s="7" t="s">
        <v>2910</v>
      </c>
      <c r="B9" s="7" t="s">
        <v>2911</v>
      </c>
      <c r="C9" s="7" t="s">
        <v>2912</v>
      </c>
      <c r="D9" s="7" t="s">
        <v>2913</v>
      </c>
      <c r="E9" s="8" t="s">
        <v>2914</v>
      </c>
      <c r="F9" s="8" t="s">
        <v>2915</v>
      </c>
      <c r="G9" s="7" t="s">
        <v>127</v>
      </c>
    </row>
  </sheetData>
  <autoFilter ref="A5:G9"/>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5322"/>
    <pageSetUpPr fitToPage="tru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6"/>
    <col collapsed="false" customWidth="true" hidden="false" outlineLevel="0" max="3" min="3" style="0" width="66"/>
    <col collapsed="false" customWidth="true" hidden="false" outlineLevel="0" max="4" min="4" style="0" width="26"/>
    <col collapsed="false" customWidth="true" hidden="false" outlineLevel="0" max="5" min="5" style="0" width="20"/>
  </cols>
  <sheetData>
    <row r="1" customFormat="false" ht="19.5" hidden="false" customHeight="true" outlineLevel="0" collapsed="false">
      <c r="A1" s="43" t="s">
        <v>2887</v>
      </c>
      <c r="B1" s="43"/>
      <c r="C1" s="43"/>
      <c r="D1" s="43"/>
      <c r="E1" s="43"/>
    </row>
    <row r="2" customFormat="false" ht="27.75" hidden="false" customHeight="true" outlineLevel="0" collapsed="false">
      <c r="A2" s="44" t="s">
        <v>2916</v>
      </c>
      <c r="B2" s="44"/>
      <c r="C2" s="44"/>
      <c r="D2" s="44"/>
      <c r="E2" s="44"/>
    </row>
    <row r="3" customFormat="false" ht="30" hidden="false" customHeight="true" outlineLevel="0" collapsed="false">
      <c r="A3" s="45" t="s">
        <v>2917</v>
      </c>
      <c r="B3" s="45"/>
      <c r="C3" s="45"/>
      <c r="D3" s="45"/>
      <c r="E3" s="45"/>
    </row>
    <row r="4" customFormat="false" ht="6" hidden="false" customHeight="true" outlineLevel="0" collapsed="false"/>
    <row r="5" customFormat="false" ht="30" hidden="false" customHeight="true" outlineLevel="0" collapsed="false">
      <c r="A5" s="46" t="s">
        <v>2918</v>
      </c>
      <c r="B5" s="46" t="s">
        <v>2919</v>
      </c>
      <c r="C5" s="46" t="s">
        <v>2920</v>
      </c>
      <c r="D5" s="46" t="s">
        <v>2921</v>
      </c>
      <c r="E5" s="46" t="s">
        <v>2922</v>
      </c>
    </row>
    <row r="6" customFormat="false" ht="24" hidden="false" customHeight="true" outlineLevel="0" collapsed="false">
      <c r="A6" s="5" t="s">
        <v>2923</v>
      </c>
      <c r="B6" s="5" t="s">
        <v>2924</v>
      </c>
      <c r="C6" s="6" t="s">
        <v>2925</v>
      </c>
      <c r="D6" s="5" t="s">
        <v>2104</v>
      </c>
      <c r="E6" s="5" t="s">
        <v>420</v>
      </c>
    </row>
    <row r="7" customFormat="false" ht="24" hidden="false" customHeight="true" outlineLevel="0" collapsed="false">
      <c r="A7" s="7" t="s">
        <v>2926</v>
      </c>
      <c r="B7" s="7" t="s">
        <v>2927</v>
      </c>
      <c r="C7" s="8" t="s">
        <v>2928</v>
      </c>
      <c r="D7" s="7" t="s">
        <v>99</v>
      </c>
      <c r="E7" s="7" t="s">
        <v>420</v>
      </c>
    </row>
    <row r="8" customFormat="false" ht="24" hidden="false" customHeight="true" outlineLevel="0" collapsed="false">
      <c r="A8" s="5" t="s">
        <v>2929</v>
      </c>
      <c r="B8" s="5" t="s">
        <v>2930</v>
      </c>
      <c r="C8" s="6" t="s">
        <v>2931</v>
      </c>
      <c r="D8" s="5" t="s">
        <v>41</v>
      </c>
      <c r="E8" s="5" t="s">
        <v>422</v>
      </c>
    </row>
    <row r="9" customFormat="false" ht="24" hidden="false" customHeight="true" outlineLevel="0" collapsed="false">
      <c r="A9" s="7" t="s">
        <v>2931</v>
      </c>
      <c r="B9" s="7" t="s">
        <v>2932</v>
      </c>
      <c r="C9" s="8" t="s">
        <v>2933</v>
      </c>
      <c r="D9" s="7" t="s">
        <v>494</v>
      </c>
      <c r="E9" s="7" t="s">
        <v>422</v>
      </c>
    </row>
    <row r="10" customFormat="false" ht="24" hidden="false" customHeight="true" outlineLevel="0" collapsed="false">
      <c r="A10" s="5" t="s">
        <v>2934</v>
      </c>
      <c r="B10" s="5" t="s">
        <v>2935</v>
      </c>
      <c r="C10" s="6" t="s">
        <v>2936</v>
      </c>
      <c r="D10" s="5" t="s">
        <v>2937</v>
      </c>
      <c r="E10" s="5" t="s">
        <v>422</v>
      </c>
    </row>
    <row r="11" customFormat="false" ht="24" hidden="false" customHeight="true" outlineLevel="0" collapsed="false">
      <c r="A11" s="7" t="s">
        <v>2938</v>
      </c>
      <c r="B11" s="7" t="s">
        <v>2939</v>
      </c>
      <c r="C11" s="8" t="s">
        <v>2940</v>
      </c>
      <c r="D11" s="7" t="s">
        <v>2941</v>
      </c>
      <c r="E11" s="7" t="s">
        <v>2942</v>
      </c>
    </row>
    <row r="12" customFormat="false" ht="24" hidden="false" customHeight="true" outlineLevel="0" collapsed="false">
      <c r="A12" s="5" t="s">
        <v>2943</v>
      </c>
      <c r="B12" s="5" t="s">
        <v>2944</v>
      </c>
      <c r="C12" s="6" t="s">
        <v>2945</v>
      </c>
      <c r="D12" s="5" t="s">
        <v>2062</v>
      </c>
      <c r="E12" s="5" t="s">
        <v>2946</v>
      </c>
    </row>
    <row r="13" customFormat="false" ht="24" hidden="false" customHeight="true" outlineLevel="0" collapsed="false">
      <c r="A13" s="7" t="s">
        <v>2947</v>
      </c>
      <c r="B13" s="7" t="s">
        <v>2948</v>
      </c>
      <c r="C13" s="8" t="s">
        <v>2949</v>
      </c>
      <c r="D13" s="7" t="s">
        <v>43</v>
      </c>
      <c r="E13" s="7" t="s">
        <v>420</v>
      </c>
    </row>
    <row r="14" customFormat="false" ht="24" hidden="false" customHeight="true" outlineLevel="0" collapsed="false">
      <c r="A14" s="5" t="s">
        <v>2950</v>
      </c>
      <c r="B14" s="5" t="s">
        <v>2951</v>
      </c>
      <c r="C14" s="6" t="s">
        <v>2949</v>
      </c>
      <c r="D14" s="5" t="s">
        <v>452</v>
      </c>
      <c r="E14" s="5" t="s">
        <v>2952</v>
      </c>
    </row>
    <row r="15" customFormat="false" ht="24" hidden="false" customHeight="true" outlineLevel="0" collapsed="false">
      <c r="A15" s="7" t="s">
        <v>2953</v>
      </c>
      <c r="B15" s="7" t="s">
        <v>2954</v>
      </c>
      <c r="C15" s="8" t="s">
        <v>351</v>
      </c>
      <c r="D15" s="7" t="s">
        <v>43</v>
      </c>
      <c r="E15" s="7" t="s">
        <v>422</v>
      </c>
    </row>
    <row r="16" customFormat="false" ht="24" hidden="false" customHeight="true" outlineLevel="0" collapsed="false">
      <c r="A16" s="5" t="s">
        <v>2955</v>
      </c>
      <c r="B16" s="5" t="s">
        <v>2956</v>
      </c>
      <c r="C16" s="6" t="s">
        <v>351</v>
      </c>
      <c r="D16" s="5" t="s">
        <v>2937</v>
      </c>
      <c r="E16" s="5" t="s">
        <v>422</v>
      </c>
    </row>
    <row r="17" customFormat="false" ht="24" hidden="false" customHeight="true" outlineLevel="0" collapsed="false">
      <c r="A17" s="7" t="s">
        <v>2957</v>
      </c>
      <c r="B17" s="7" t="s">
        <v>2958</v>
      </c>
      <c r="C17" s="8" t="s">
        <v>351</v>
      </c>
      <c r="D17" s="7" t="s">
        <v>2104</v>
      </c>
      <c r="E17" s="7" t="s">
        <v>422</v>
      </c>
    </row>
  </sheetData>
  <autoFilter ref="A5:E17"/>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5322"/>
    <pageSetUpPr fitToPage="tru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3" min="3" style="0" width="66"/>
    <col collapsed="false" customWidth="true" hidden="false" outlineLevel="0" max="4" min="4" style="0" width="22"/>
    <col collapsed="false" customWidth="true" hidden="false" outlineLevel="0" max="5" min="5" style="0" width="44"/>
  </cols>
  <sheetData>
    <row r="1" customFormat="false" ht="19.5" hidden="false" customHeight="true" outlineLevel="0" collapsed="false">
      <c r="A1" s="43" t="s">
        <v>2887</v>
      </c>
      <c r="B1" s="43"/>
      <c r="C1" s="43"/>
      <c r="D1" s="43"/>
      <c r="E1" s="43"/>
    </row>
    <row r="2" customFormat="false" ht="27.75" hidden="false" customHeight="true" outlineLevel="0" collapsed="false">
      <c r="A2" s="44" t="s">
        <v>2959</v>
      </c>
      <c r="B2" s="44"/>
      <c r="C2" s="44"/>
      <c r="D2" s="44"/>
      <c r="E2" s="44"/>
    </row>
    <row r="3" customFormat="false" ht="30" hidden="false" customHeight="true" outlineLevel="0" collapsed="false">
      <c r="A3" s="45" t="s">
        <v>2960</v>
      </c>
      <c r="B3" s="45"/>
      <c r="C3" s="45"/>
      <c r="D3" s="45"/>
      <c r="E3" s="45"/>
    </row>
    <row r="4" customFormat="false" ht="6" hidden="false" customHeight="true" outlineLevel="0" collapsed="false"/>
    <row r="5" customFormat="false" ht="30" hidden="false" customHeight="true" outlineLevel="0" collapsed="false">
      <c r="A5" s="46" t="s">
        <v>3</v>
      </c>
      <c r="B5" s="46" t="s">
        <v>2333</v>
      </c>
      <c r="C5" s="46" t="s">
        <v>2538</v>
      </c>
      <c r="D5" s="46" t="s">
        <v>40</v>
      </c>
      <c r="E5" s="46" t="s">
        <v>23</v>
      </c>
    </row>
    <row r="6" customFormat="false" ht="31.5" hidden="false" customHeight="true" outlineLevel="0" collapsed="false">
      <c r="A6" s="5" t="s">
        <v>2961</v>
      </c>
      <c r="B6" s="6" t="s">
        <v>2962</v>
      </c>
      <c r="C6" s="6" t="s">
        <v>2963</v>
      </c>
      <c r="D6" s="5" t="s">
        <v>45</v>
      </c>
      <c r="E6" s="6" t="s">
        <v>2964</v>
      </c>
    </row>
    <row r="7" customFormat="false" ht="31.5" hidden="false" customHeight="true" outlineLevel="0" collapsed="false">
      <c r="A7" s="7" t="s">
        <v>2965</v>
      </c>
      <c r="B7" s="8" t="s">
        <v>2966</v>
      </c>
      <c r="C7" s="8" t="s">
        <v>2967</v>
      </c>
      <c r="D7" s="7" t="s">
        <v>135</v>
      </c>
      <c r="E7" s="8" t="s">
        <v>2968</v>
      </c>
    </row>
    <row r="8" customFormat="false" ht="31.5" hidden="false" customHeight="true" outlineLevel="0" collapsed="false">
      <c r="A8" s="5" t="s">
        <v>2969</v>
      </c>
      <c r="B8" s="6" t="s">
        <v>2970</v>
      </c>
      <c r="C8" s="6" t="s">
        <v>2971</v>
      </c>
      <c r="D8" s="5" t="s">
        <v>135</v>
      </c>
      <c r="E8" s="6" t="s">
        <v>2972</v>
      </c>
    </row>
    <row r="9" customFormat="false" ht="31.5" hidden="false" customHeight="true" outlineLevel="0" collapsed="false">
      <c r="A9" s="7" t="s">
        <v>2973</v>
      </c>
      <c r="B9" s="8" t="s">
        <v>2974</v>
      </c>
      <c r="C9" s="8" t="s">
        <v>2975</v>
      </c>
      <c r="D9" s="7" t="s">
        <v>45</v>
      </c>
      <c r="E9" s="8" t="s">
        <v>2976</v>
      </c>
    </row>
    <row r="10" customFormat="false" ht="31.5" hidden="false" customHeight="true" outlineLevel="0" collapsed="false">
      <c r="A10" s="5" t="s">
        <v>2977</v>
      </c>
      <c r="B10" s="6" t="s">
        <v>2978</v>
      </c>
      <c r="C10" s="6" t="s">
        <v>2979</v>
      </c>
      <c r="D10" s="5" t="s">
        <v>158</v>
      </c>
      <c r="E10" s="6" t="s">
        <v>2980</v>
      </c>
    </row>
    <row r="11" customFormat="false" ht="31.5" hidden="false" customHeight="true" outlineLevel="0" collapsed="false">
      <c r="A11" s="7" t="s">
        <v>2981</v>
      </c>
      <c r="B11" s="8" t="s">
        <v>2982</v>
      </c>
      <c r="C11" s="8" t="s">
        <v>2983</v>
      </c>
      <c r="D11" s="7" t="s">
        <v>45</v>
      </c>
      <c r="E11" s="8" t="s">
        <v>2984</v>
      </c>
    </row>
    <row r="12" customFormat="false" ht="31.5" hidden="false" customHeight="true" outlineLevel="0" collapsed="false">
      <c r="A12" s="5" t="s">
        <v>2985</v>
      </c>
      <c r="B12" s="6" t="s">
        <v>2986</v>
      </c>
      <c r="C12" s="6" t="s">
        <v>2987</v>
      </c>
      <c r="D12" s="5" t="s">
        <v>45</v>
      </c>
      <c r="E12" s="6" t="s">
        <v>2988</v>
      </c>
    </row>
    <row r="13" customFormat="false" ht="31.5" hidden="false" customHeight="true" outlineLevel="0" collapsed="false">
      <c r="A13" s="7" t="s">
        <v>2989</v>
      </c>
      <c r="B13" s="8" t="s">
        <v>2990</v>
      </c>
      <c r="C13" s="8" t="s">
        <v>2991</v>
      </c>
      <c r="D13" s="7" t="s">
        <v>120</v>
      </c>
      <c r="E13" s="8" t="s">
        <v>2992</v>
      </c>
    </row>
    <row r="14" customFormat="false" ht="31.5" hidden="false" customHeight="true" outlineLevel="0" collapsed="false">
      <c r="A14" s="5" t="s">
        <v>2993</v>
      </c>
      <c r="B14" s="6" t="s">
        <v>2994</v>
      </c>
      <c r="C14" s="6" t="s">
        <v>2995</v>
      </c>
      <c r="D14" s="5" t="s">
        <v>41</v>
      </c>
      <c r="E14" s="6" t="s">
        <v>2996</v>
      </c>
    </row>
    <row r="15" customFormat="false" ht="31.5" hidden="false" customHeight="true" outlineLevel="0" collapsed="false">
      <c r="A15" s="7" t="s">
        <v>2997</v>
      </c>
      <c r="B15" s="8" t="s">
        <v>2998</v>
      </c>
      <c r="C15" s="8" t="s">
        <v>2999</v>
      </c>
      <c r="D15" s="7" t="s">
        <v>41</v>
      </c>
      <c r="E15" s="8" t="s">
        <v>3000</v>
      </c>
    </row>
    <row r="16" customFormat="false" ht="31.5" hidden="false" customHeight="true" outlineLevel="0" collapsed="false">
      <c r="A16" s="5" t="s">
        <v>3001</v>
      </c>
      <c r="B16" s="6" t="s">
        <v>3002</v>
      </c>
      <c r="C16" s="6"/>
      <c r="D16" s="5" t="s">
        <v>41</v>
      </c>
      <c r="E16" s="6" t="s">
        <v>2964</v>
      </c>
    </row>
    <row r="17" customFormat="false" ht="31.5" hidden="false" customHeight="true" outlineLevel="0" collapsed="false">
      <c r="A17" s="7" t="s">
        <v>3003</v>
      </c>
      <c r="B17" s="8" t="s">
        <v>3004</v>
      </c>
      <c r="C17" s="8" t="s">
        <v>3005</v>
      </c>
      <c r="D17" s="7" t="s">
        <v>43</v>
      </c>
      <c r="E17" s="8" t="s">
        <v>2980</v>
      </c>
    </row>
  </sheetData>
  <autoFilter ref="A5:E17"/>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8"/>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96"/>
    <col collapsed="false" customWidth="true" hidden="false" outlineLevel="0" max="4" min="4" style="0" width="16"/>
  </cols>
  <sheetData>
    <row r="1" customFormat="false" ht="19.5" hidden="false" customHeight="true" outlineLevel="0" collapsed="false">
      <c r="A1" s="47" t="s">
        <v>3006</v>
      </c>
      <c r="B1" s="47"/>
      <c r="C1" s="47"/>
      <c r="D1" s="47"/>
    </row>
    <row r="2" customFormat="false" ht="27.75" hidden="false" customHeight="true" outlineLevel="0" collapsed="false">
      <c r="A2" s="48" t="s">
        <v>3007</v>
      </c>
      <c r="B2" s="48"/>
      <c r="C2" s="48"/>
      <c r="D2" s="48"/>
    </row>
    <row r="3" customFormat="false" ht="30" hidden="false" customHeight="true" outlineLevel="0" collapsed="false">
      <c r="A3" s="49" t="s">
        <v>3008</v>
      </c>
      <c r="B3" s="49"/>
      <c r="C3" s="49"/>
      <c r="D3" s="49"/>
    </row>
    <row r="4" customFormat="false" ht="6" hidden="false" customHeight="true" outlineLevel="0" collapsed="false"/>
    <row r="5" customFormat="false" ht="30" hidden="false" customHeight="true" outlineLevel="0" collapsed="false">
      <c r="A5" s="50" t="s">
        <v>3009</v>
      </c>
      <c r="B5" s="50" t="s">
        <v>140</v>
      </c>
      <c r="C5" s="50" t="s">
        <v>3010</v>
      </c>
      <c r="D5" s="50" t="s">
        <v>5</v>
      </c>
    </row>
    <row r="6" customFormat="false" ht="27.75" hidden="false" customHeight="true" outlineLevel="0" collapsed="false">
      <c r="A6" s="5" t="s">
        <v>3011</v>
      </c>
      <c r="B6" s="5" t="s">
        <v>3012</v>
      </c>
      <c r="C6" s="6" t="s">
        <v>3013</v>
      </c>
      <c r="D6" s="5" t="s">
        <v>3014</v>
      </c>
    </row>
    <row r="7" customFormat="false" ht="27.75" hidden="false" customHeight="true" outlineLevel="0" collapsed="false">
      <c r="A7" s="7" t="s">
        <v>3015</v>
      </c>
      <c r="B7" s="7" t="s">
        <v>3016</v>
      </c>
      <c r="C7" s="8" t="s">
        <v>3017</v>
      </c>
      <c r="D7" s="7" t="s">
        <v>3014</v>
      </c>
    </row>
    <row r="8" customFormat="false" ht="27.75" hidden="false" customHeight="true" outlineLevel="0" collapsed="false">
      <c r="A8" s="5" t="s">
        <v>3018</v>
      </c>
      <c r="B8" s="5" t="s">
        <v>3019</v>
      </c>
      <c r="C8" s="6" t="s">
        <v>3020</v>
      </c>
      <c r="D8" s="5" t="s">
        <v>3014</v>
      </c>
    </row>
    <row r="9" customFormat="false" ht="27.75" hidden="false" customHeight="true" outlineLevel="0" collapsed="false">
      <c r="A9" s="7" t="s">
        <v>3021</v>
      </c>
      <c r="B9" s="7" t="s">
        <v>3022</v>
      </c>
      <c r="C9" s="8" t="s">
        <v>3023</v>
      </c>
      <c r="D9" s="7" t="s">
        <v>3014</v>
      </c>
    </row>
    <row r="10" customFormat="false" ht="27.75" hidden="false" customHeight="true" outlineLevel="0" collapsed="false">
      <c r="A10" s="5" t="s">
        <v>3024</v>
      </c>
      <c r="B10" s="5" t="s">
        <v>3025</v>
      </c>
      <c r="C10" s="6" t="s">
        <v>3026</v>
      </c>
      <c r="D10" s="5" t="s">
        <v>3014</v>
      </c>
    </row>
    <row r="11" customFormat="false" ht="27.75" hidden="false" customHeight="true" outlineLevel="0" collapsed="false">
      <c r="A11" s="7" t="s">
        <v>3027</v>
      </c>
      <c r="B11" s="7" t="s">
        <v>3028</v>
      </c>
      <c r="C11" s="8" t="s">
        <v>3029</v>
      </c>
      <c r="D11" s="7" t="s">
        <v>3014</v>
      </c>
    </row>
    <row r="12" customFormat="false" ht="27.75" hidden="false" customHeight="true" outlineLevel="0" collapsed="false">
      <c r="A12" s="5" t="s">
        <v>3030</v>
      </c>
      <c r="B12" s="5" t="s">
        <v>3031</v>
      </c>
      <c r="C12" s="6" t="s">
        <v>3032</v>
      </c>
      <c r="D12" s="5" t="s">
        <v>3014</v>
      </c>
    </row>
    <row r="13" customFormat="false" ht="27.75" hidden="false" customHeight="true" outlineLevel="0" collapsed="false">
      <c r="A13" s="7" t="s">
        <v>3033</v>
      </c>
      <c r="B13" s="7" t="s">
        <v>3034</v>
      </c>
      <c r="C13" s="8" t="s">
        <v>3035</v>
      </c>
      <c r="D13" s="7" t="s">
        <v>3014</v>
      </c>
    </row>
    <row r="14" customFormat="false" ht="27.75" hidden="false" customHeight="true" outlineLevel="0" collapsed="false">
      <c r="A14" s="5" t="s">
        <v>3036</v>
      </c>
      <c r="B14" s="5" t="s">
        <v>3037</v>
      </c>
      <c r="C14" s="6" t="s">
        <v>3038</v>
      </c>
      <c r="D14" s="5" t="s">
        <v>3014</v>
      </c>
    </row>
    <row r="15" customFormat="false" ht="27.75" hidden="false" customHeight="true" outlineLevel="0" collapsed="false">
      <c r="A15" s="7" t="s">
        <v>1365</v>
      </c>
      <c r="B15" s="7" t="s">
        <v>3039</v>
      </c>
      <c r="C15" s="8" t="s">
        <v>3040</v>
      </c>
      <c r="D15" s="7" t="s">
        <v>3014</v>
      </c>
    </row>
    <row r="16" customFormat="false" ht="27.75" hidden="false" customHeight="true" outlineLevel="0" collapsed="false">
      <c r="A16" s="5" t="s">
        <v>3041</v>
      </c>
      <c r="B16" s="5" t="s">
        <v>3042</v>
      </c>
      <c r="C16" s="6" t="s">
        <v>3043</v>
      </c>
      <c r="D16" s="5" t="s">
        <v>3014</v>
      </c>
    </row>
    <row r="17" customFormat="false" ht="27.75" hidden="false" customHeight="true" outlineLevel="0" collapsed="false">
      <c r="A17" s="7" t="s">
        <v>3044</v>
      </c>
      <c r="B17" s="7" t="s">
        <v>3045</v>
      </c>
      <c r="C17" s="8" t="s">
        <v>3046</v>
      </c>
      <c r="D17" s="7" t="s">
        <v>3014</v>
      </c>
    </row>
    <row r="18" customFormat="false" ht="27.75" hidden="false" customHeight="true" outlineLevel="0" collapsed="false">
      <c r="A18" s="5" t="s">
        <v>3047</v>
      </c>
      <c r="B18" s="5" t="s">
        <v>3048</v>
      </c>
      <c r="C18" s="6" t="s">
        <v>3049</v>
      </c>
      <c r="D18" s="5" t="s">
        <v>3050</v>
      </c>
    </row>
    <row r="19" customFormat="false" ht="27.75" hidden="false" customHeight="true" outlineLevel="0" collapsed="false">
      <c r="A19" s="7" t="s">
        <v>3051</v>
      </c>
      <c r="B19" s="7" t="s">
        <v>3052</v>
      </c>
      <c r="C19" s="8" t="s">
        <v>3053</v>
      </c>
      <c r="D19" s="7" t="s">
        <v>3014</v>
      </c>
    </row>
    <row r="20" customFormat="false" ht="27.75" hidden="false" customHeight="true" outlineLevel="0" collapsed="false">
      <c r="A20" s="5" t="s">
        <v>3054</v>
      </c>
      <c r="B20" s="5" t="s">
        <v>3055</v>
      </c>
      <c r="C20" s="6" t="s">
        <v>3056</v>
      </c>
      <c r="D20" s="5" t="s">
        <v>3014</v>
      </c>
    </row>
    <row r="21" customFormat="false" ht="27.75" hidden="false" customHeight="true" outlineLevel="0" collapsed="false">
      <c r="A21" s="7" t="s">
        <v>3057</v>
      </c>
      <c r="B21" s="7" t="s">
        <v>3058</v>
      </c>
      <c r="C21" s="8" t="s">
        <v>3059</v>
      </c>
      <c r="D21" s="7" t="s">
        <v>3014</v>
      </c>
    </row>
  </sheetData>
  <autoFilter ref="A5:D21"/>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8"/>
    <pageSetUpPr fitToPage="tru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6"/>
    <col collapsed="false" customWidth="true" hidden="false" outlineLevel="0" max="3" min="3" style="0" width="110"/>
    <col collapsed="false" customWidth="true" hidden="false" outlineLevel="0" max="4" min="4" style="0" width="26"/>
    <col collapsed="false" customWidth="true" hidden="false" outlineLevel="0" max="5" min="5" style="0" width="52"/>
  </cols>
  <sheetData>
    <row r="1" customFormat="false" ht="19.5" hidden="false" customHeight="true" outlineLevel="0" collapsed="false">
      <c r="A1" s="47" t="s">
        <v>3006</v>
      </c>
      <c r="B1" s="47"/>
      <c r="C1" s="47"/>
      <c r="D1" s="47"/>
      <c r="E1" s="47"/>
    </row>
    <row r="2" customFormat="false" ht="27.75" hidden="false" customHeight="true" outlineLevel="0" collapsed="false">
      <c r="A2" s="48" t="s">
        <v>3060</v>
      </c>
      <c r="B2" s="48"/>
      <c r="C2" s="48"/>
      <c r="D2" s="48"/>
      <c r="E2" s="48"/>
    </row>
    <row r="3" customFormat="false" ht="30" hidden="false" customHeight="true" outlineLevel="0" collapsed="false">
      <c r="A3" s="49" t="s">
        <v>3061</v>
      </c>
      <c r="B3" s="49"/>
      <c r="C3" s="49"/>
      <c r="D3" s="49"/>
      <c r="E3" s="49"/>
    </row>
    <row r="4" customFormat="false" ht="6" hidden="false" customHeight="true" outlineLevel="0" collapsed="false"/>
    <row r="5" customFormat="false" ht="30" hidden="false" customHeight="true" outlineLevel="0" collapsed="false">
      <c r="A5" s="50" t="s">
        <v>3062</v>
      </c>
      <c r="B5" s="50" t="s">
        <v>3063</v>
      </c>
      <c r="C5" s="50" t="s">
        <v>3064</v>
      </c>
      <c r="D5" s="50" t="s">
        <v>3065</v>
      </c>
      <c r="E5" s="50" t="s">
        <v>2423</v>
      </c>
    </row>
    <row r="6" customFormat="false" ht="36" hidden="false" customHeight="true" outlineLevel="0" collapsed="false">
      <c r="A6" s="5" t="s">
        <v>798</v>
      </c>
      <c r="B6" s="6" t="s">
        <v>3066</v>
      </c>
      <c r="C6" s="6" t="s">
        <v>3067</v>
      </c>
      <c r="D6" s="5" t="s">
        <v>3068</v>
      </c>
      <c r="E6" s="6" t="s">
        <v>3069</v>
      </c>
    </row>
    <row r="7" customFormat="false" ht="36" hidden="false" customHeight="true" outlineLevel="0" collapsed="false">
      <c r="A7" s="7" t="s">
        <v>802</v>
      </c>
      <c r="B7" s="8" t="s">
        <v>3070</v>
      </c>
      <c r="C7" s="8" t="s">
        <v>3071</v>
      </c>
      <c r="D7" s="7" t="s">
        <v>3072</v>
      </c>
      <c r="E7" s="8" t="s">
        <v>3069</v>
      </c>
    </row>
    <row r="8" customFormat="false" ht="36" hidden="false" customHeight="true" outlineLevel="0" collapsed="false">
      <c r="A8" s="5" t="s">
        <v>807</v>
      </c>
      <c r="B8" s="6" t="s">
        <v>3073</v>
      </c>
      <c r="C8" s="6" t="s">
        <v>3074</v>
      </c>
      <c r="D8" s="5" t="s">
        <v>3072</v>
      </c>
      <c r="E8" s="6" t="s">
        <v>3069</v>
      </c>
    </row>
    <row r="9" customFormat="false" ht="36" hidden="false" customHeight="true" outlineLevel="0" collapsed="false">
      <c r="A9" s="7" t="s">
        <v>811</v>
      </c>
      <c r="B9" s="8" t="s">
        <v>3075</v>
      </c>
      <c r="C9" s="8" t="s">
        <v>3076</v>
      </c>
      <c r="D9" s="7" t="s">
        <v>3077</v>
      </c>
      <c r="E9" s="8" t="s">
        <v>3069</v>
      </c>
    </row>
    <row r="10" customFormat="false" ht="36" hidden="false" customHeight="true" outlineLevel="0" collapsed="false">
      <c r="A10" s="5" t="s">
        <v>1059</v>
      </c>
      <c r="B10" s="6" t="s">
        <v>3078</v>
      </c>
      <c r="C10" s="6" t="s">
        <v>3079</v>
      </c>
      <c r="D10" s="5" t="s">
        <v>3080</v>
      </c>
      <c r="E10" s="6" t="s">
        <v>3081</v>
      </c>
    </row>
    <row r="11" customFormat="false" ht="36" hidden="false" customHeight="true" outlineLevel="0" collapsed="false">
      <c r="A11" s="7" t="s">
        <v>815</v>
      </c>
      <c r="B11" s="8" t="s">
        <v>3082</v>
      </c>
      <c r="C11" s="8" t="s">
        <v>3083</v>
      </c>
      <c r="D11" s="7" t="s">
        <v>3080</v>
      </c>
      <c r="E11" s="8" t="s">
        <v>3081</v>
      </c>
    </row>
    <row r="12" customFormat="false" ht="36" hidden="false" customHeight="true" outlineLevel="0" collapsed="false">
      <c r="A12" s="5" t="s">
        <v>819</v>
      </c>
      <c r="B12" s="6" t="s">
        <v>3084</v>
      </c>
      <c r="C12" s="6" t="s">
        <v>3085</v>
      </c>
      <c r="D12" s="5" t="s">
        <v>3080</v>
      </c>
      <c r="E12" s="6" t="s">
        <v>3081</v>
      </c>
    </row>
    <row r="13" customFormat="false" ht="36" hidden="false" customHeight="true" outlineLevel="0" collapsed="false">
      <c r="A13" s="7" t="s">
        <v>1208</v>
      </c>
      <c r="B13" s="8" t="s">
        <v>3086</v>
      </c>
      <c r="C13" s="8" t="s">
        <v>3087</v>
      </c>
      <c r="D13" s="7" t="s">
        <v>3080</v>
      </c>
      <c r="E13" s="8" t="s">
        <v>3081</v>
      </c>
    </row>
    <row r="14" customFormat="false" ht="36" hidden="false" customHeight="true" outlineLevel="0" collapsed="false">
      <c r="A14" s="5" t="s">
        <v>823</v>
      </c>
      <c r="B14" s="6" t="s">
        <v>3088</v>
      </c>
      <c r="C14" s="6" t="s">
        <v>3089</v>
      </c>
      <c r="D14" s="5" t="s">
        <v>3080</v>
      </c>
      <c r="E14" s="6" t="s">
        <v>3090</v>
      </c>
    </row>
    <row r="15" customFormat="false" ht="36" hidden="false" customHeight="true" outlineLevel="0" collapsed="false">
      <c r="A15" s="7" t="s">
        <v>827</v>
      </c>
      <c r="B15" s="8" t="s">
        <v>3091</v>
      </c>
      <c r="C15" s="8" t="s">
        <v>3092</v>
      </c>
      <c r="D15" s="7" t="s">
        <v>3080</v>
      </c>
      <c r="E15" s="8" t="s">
        <v>3093</v>
      </c>
    </row>
    <row r="16" customFormat="false" ht="36" hidden="false" customHeight="true" outlineLevel="0" collapsed="false">
      <c r="A16" s="5" t="s">
        <v>831</v>
      </c>
      <c r="B16" s="6" t="s">
        <v>3094</v>
      </c>
      <c r="C16" s="6" t="s">
        <v>3095</v>
      </c>
      <c r="D16" s="5" t="s">
        <v>3080</v>
      </c>
      <c r="E16" s="6" t="s">
        <v>3096</v>
      </c>
    </row>
    <row r="17" customFormat="false" ht="36" hidden="false" customHeight="true" outlineLevel="0" collapsed="false">
      <c r="A17" s="7" t="s">
        <v>835</v>
      </c>
      <c r="B17" s="8" t="s">
        <v>3097</v>
      </c>
      <c r="C17" s="8" t="s">
        <v>3098</v>
      </c>
      <c r="D17" s="7" t="s">
        <v>3080</v>
      </c>
      <c r="E17" s="8" t="s">
        <v>3099</v>
      </c>
    </row>
    <row r="18" customFormat="false" ht="36" hidden="false" customHeight="true" outlineLevel="0" collapsed="false">
      <c r="A18" s="5" t="s">
        <v>3100</v>
      </c>
      <c r="B18" s="6" t="s">
        <v>3101</v>
      </c>
      <c r="C18" s="6" t="s">
        <v>3102</v>
      </c>
      <c r="D18" s="5" t="s">
        <v>3103</v>
      </c>
      <c r="E18" s="6" t="s">
        <v>90</v>
      </c>
    </row>
    <row r="19" customFormat="false" ht="36" hidden="false" customHeight="true" outlineLevel="0" collapsed="false">
      <c r="A19" s="7" t="s">
        <v>839</v>
      </c>
      <c r="B19" s="8" t="s">
        <v>3104</v>
      </c>
      <c r="C19" s="8" t="s">
        <v>3105</v>
      </c>
      <c r="D19" s="7" t="s">
        <v>3080</v>
      </c>
      <c r="E19" s="8" t="s">
        <v>90</v>
      </c>
    </row>
    <row r="20" customFormat="false" ht="36" hidden="false" customHeight="true" outlineLevel="0" collapsed="false">
      <c r="A20" s="5" t="s">
        <v>3106</v>
      </c>
      <c r="B20" s="6" t="s">
        <v>3107</v>
      </c>
      <c r="C20" s="6" t="s">
        <v>3108</v>
      </c>
      <c r="D20" s="5" t="s">
        <v>3109</v>
      </c>
      <c r="E20" s="6" t="s">
        <v>90</v>
      </c>
    </row>
    <row r="21" customFormat="false" ht="36" hidden="false" customHeight="true" outlineLevel="0" collapsed="false">
      <c r="A21" s="7" t="s">
        <v>843</v>
      </c>
      <c r="B21" s="8" t="s">
        <v>3110</v>
      </c>
      <c r="C21" s="8" t="s">
        <v>3111</v>
      </c>
      <c r="D21" s="7" t="s">
        <v>3080</v>
      </c>
      <c r="E21" s="8" t="s">
        <v>90</v>
      </c>
    </row>
    <row r="22" customFormat="false" ht="36" hidden="false" customHeight="true" outlineLevel="0" collapsed="false">
      <c r="A22" s="5" t="s">
        <v>1508</v>
      </c>
      <c r="B22" s="6" t="s">
        <v>3112</v>
      </c>
      <c r="C22" s="6" t="s">
        <v>3113</v>
      </c>
      <c r="D22" s="5" t="s">
        <v>3114</v>
      </c>
      <c r="E22" s="6" t="s">
        <v>90</v>
      </c>
    </row>
    <row r="23" customFormat="false" ht="36" hidden="false" customHeight="true" outlineLevel="0" collapsed="false">
      <c r="A23" s="7" t="s">
        <v>847</v>
      </c>
      <c r="B23" s="8" t="s">
        <v>3115</v>
      </c>
      <c r="C23" s="8" t="s">
        <v>3116</v>
      </c>
      <c r="D23" s="7" t="s">
        <v>3080</v>
      </c>
      <c r="E23" s="8" t="s">
        <v>90</v>
      </c>
    </row>
    <row r="24" customFormat="false" ht="36" hidden="false" customHeight="true" outlineLevel="0" collapsed="false">
      <c r="A24" s="5" t="s">
        <v>1532</v>
      </c>
      <c r="B24" s="6" t="s">
        <v>3117</v>
      </c>
      <c r="C24" s="6" t="s">
        <v>3118</v>
      </c>
      <c r="D24" s="5" t="s">
        <v>3119</v>
      </c>
      <c r="E24" s="6" t="s">
        <v>90</v>
      </c>
    </row>
    <row r="25" customFormat="false" ht="36" hidden="false" customHeight="true" outlineLevel="0" collapsed="false">
      <c r="A25" s="7" t="s">
        <v>2065</v>
      </c>
      <c r="B25" s="8" t="s">
        <v>3120</v>
      </c>
      <c r="C25" s="8" t="s">
        <v>3121</v>
      </c>
      <c r="D25" s="7" t="s">
        <v>3080</v>
      </c>
      <c r="E25" s="8" t="s">
        <v>90</v>
      </c>
    </row>
    <row r="26" customFormat="false" ht="36" hidden="false" customHeight="true" outlineLevel="0" collapsed="false">
      <c r="A26" s="5" t="s">
        <v>3122</v>
      </c>
      <c r="B26" s="6" t="s">
        <v>3123</v>
      </c>
      <c r="C26" s="6" t="s">
        <v>3124</v>
      </c>
      <c r="D26" s="5" t="s">
        <v>3080</v>
      </c>
      <c r="E26" s="6" t="s">
        <v>3090</v>
      </c>
    </row>
    <row r="27" customFormat="false" ht="36" hidden="false" customHeight="true" outlineLevel="0" collapsed="false">
      <c r="A27" s="7" t="s">
        <v>3125</v>
      </c>
      <c r="B27" s="8" t="s">
        <v>3126</v>
      </c>
      <c r="C27" s="8" t="s">
        <v>3127</v>
      </c>
      <c r="D27" s="7" t="s">
        <v>3080</v>
      </c>
      <c r="E27" s="8" t="s">
        <v>90</v>
      </c>
    </row>
    <row r="28" customFormat="false" ht="36" hidden="false" customHeight="true" outlineLevel="0" collapsed="false">
      <c r="A28" s="5" t="s">
        <v>3128</v>
      </c>
      <c r="B28" s="6" t="s">
        <v>3129</v>
      </c>
      <c r="C28" s="6" t="s">
        <v>3130</v>
      </c>
      <c r="D28" s="5" t="s">
        <v>3131</v>
      </c>
      <c r="E28" s="6" t="s">
        <v>90</v>
      </c>
    </row>
    <row r="29" customFormat="false" ht="36" hidden="false" customHeight="true" outlineLevel="0" collapsed="false">
      <c r="A29" s="7" t="s">
        <v>1578</v>
      </c>
      <c r="B29" s="8" t="s">
        <v>3132</v>
      </c>
      <c r="C29" s="8" t="s">
        <v>3133</v>
      </c>
      <c r="D29" s="7" t="s">
        <v>3134</v>
      </c>
      <c r="E29" s="8" t="s">
        <v>90</v>
      </c>
    </row>
    <row r="30" customFormat="false" ht="36" hidden="false" customHeight="true" outlineLevel="0" collapsed="false">
      <c r="A30" s="5" t="s">
        <v>1573</v>
      </c>
      <c r="B30" s="6" t="s">
        <v>3135</v>
      </c>
      <c r="C30" s="6" t="s">
        <v>3136</v>
      </c>
      <c r="D30" s="5" t="s">
        <v>3134</v>
      </c>
      <c r="E30" s="6" t="s">
        <v>90</v>
      </c>
    </row>
    <row r="31" customFormat="false" ht="36" hidden="false" customHeight="true" outlineLevel="0" collapsed="false">
      <c r="A31" s="7" t="s">
        <v>2042</v>
      </c>
      <c r="B31" s="8" t="s">
        <v>3137</v>
      </c>
      <c r="C31" s="8" t="s">
        <v>3138</v>
      </c>
      <c r="D31" s="7" t="s">
        <v>3134</v>
      </c>
      <c r="E31" s="8" t="s">
        <v>90</v>
      </c>
    </row>
    <row r="32" customFormat="false" ht="36" hidden="false" customHeight="true" outlineLevel="0" collapsed="false">
      <c r="A32" s="5" t="s">
        <v>1592</v>
      </c>
      <c r="B32" s="6" t="s">
        <v>3139</v>
      </c>
      <c r="C32" s="6" t="s">
        <v>3140</v>
      </c>
      <c r="D32" s="5" t="s">
        <v>3080</v>
      </c>
      <c r="E32" s="6" t="s">
        <v>90</v>
      </c>
    </row>
    <row r="33" customFormat="false" ht="36" hidden="false" customHeight="true" outlineLevel="0" collapsed="false">
      <c r="A33" s="7" t="s">
        <v>1585</v>
      </c>
      <c r="B33" s="8" t="s">
        <v>3141</v>
      </c>
      <c r="C33" s="8" t="s">
        <v>3142</v>
      </c>
      <c r="D33" s="7" t="s">
        <v>3080</v>
      </c>
      <c r="E33" s="8" t="s">
        <v>90</v>
      </c>
    </row>
    <row r="34" customFormat="false" ht="36" hidden="false" customHeight="true" outlineLevel="0" collapsed="false">
      <c r="A34" s="5" t="s">
        <v>860</v>
      </c>
      <c r="B34" s="6" t="s">
        <v>3143</v>
      </c>
      <c r="C34" s="6" t="s">
        <v>3144</v>
      </c>
      <c r="D34" s="5" t="s">
        <v>3068</v>
      </c>
      <c r="E34" s="6" t="s">
        <v>3069</v>
      </c>
    </row>
    <row r="35" customFormat="false" ht="36" hidden="false" customHeight="true" outlineLevel="0" collapsed="false">
      <c r="A35" s="7" t="s">
        <v>1658</v>
      </c>
      <c r="B35" s="8" t="s">
        <v>3145</v>
      </c>
      <c r="C35" s="8" t="s">
        <v>3146</v>
      </c>
      <c r="D35" s="7" t="s">
        <v>3147</v>
      </c>
      <c r="E35" s="8" t="s">
        <v>90</v>
      </c>
    </row>
    <row r="36" customFormat="false" ht="36" hidden="false" customHeight="true" outlineLevel="0" collapsed="false">
      <c r="A36" s="5" t="s">
        <v>2775</v>
      </c>
      <c r="B36" s="6" t="s">
        <v>3148</v>
      </c>
      <c r="C36" s="6" t="s">
        <v>3149</v>
      </c>
      <c r="D36" s="5" t="s">
        <v>3080</v>
      </c>
      <c r="E36" s="6" t="s">
        <v>90</v>
      </c>
    </row>
    <row r="37" customFormat="false" ht="36" hidden="false" customHeight="true" outlineLevel="0" collapsed="false">
      <c r="A37" s="7" t="s">
        <v>864</v>
      </c>
      <c r="B37" s="8" t="s">
        <v>3150</v>
      </c>
      <c r="C37" s="8" t="s">
        <v>3151</v>
      </c>
      <c r="D37" s="7" t="s">
        <v>3080</v>
      </c>
      <c r="E37" s="8" t="s">
        <v>90</v>
      </c>
    </row>
    <row r="38" customFormat="false" ht="36" hidden="false" customHeight="true" outlineLevel="0" collapsed="false">
      <c r="A38" s="5" t="s">
        <v>1680</v>
      </c>
      <c r="B38" s="6" t="s">
        <v>3152</v>
      </c>
      <c r="C38" s="6" t="s">
        <v>3153</v>
      </c>
      <c r="D38" s="5" t="s">
        <v>3154</v>
      </c>
      <c r="E38" s="6" t="s">
        <v>233</v>
      </c>
    </row>
    <row r="39" customFormat="false" ht="36" hidden="false" customHeight="true" outlineLevel="0" collapsed="false">
      <c r="A39" s="7" t="s">
        <v>1550</v>
      </c>
      <c r="B39" s="8" t="s">
        <v>3155</v>
      </c>
      <c r="C39" s="8" t="s">
        <v>3156</v>
      </c>
      <c r="D39" s="7" t="s">
        <v>3080</v>
      </c>
      <c r="E39" s="8" t="s">
        <v>3069</v>
      </c>
    </row>
    <row r="40" customFormat="false" ht="36" hidden="false" customHeight="true" outlineLevel="0" collapsed="false">
      <c r="A40" s="5" t="s">
        <v>2093</v>
      </c>
      <c r="B40" s="6" t="s">
        <v>3157</v>
      </c>
      <c r="C40" s="6" t="s">
        <v>3158</v>
      </c>
      <c r="D40" s="5" t="s">
        <v>3159</v>
      </c>
      <c r="E40" s="6" t="s">
        <v>90</v>
      </c>
    </row>
    <row r="41" customFormat="false" ht="36" hidden="false" customHeight="true" outlineLevel="0" collapsed="false">
      <c r="A41" s="7" t="s">
        <v>2088</v>
      </c>
      <c r="B41" s="8" t="s">
        <v>3160</v>
      </c>
      <c r="C41" s="8" t="s">
        <v>3161</v>
      </c>
      <c r="D41" s="7" t="s">
        <v>3080</v>
      </c>
      <c r="E41" s="8" t="s">
        <v>90</v>
      </c>
    </row>
  </sheetData>
  <autoFilter ref="A5:E41"/>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8"/>
    <pageSetUpPr fitToPage="true"/>
  </sheetPr>
  <dimension ref="A1:F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30"/>
    <col collapsed="false" customWidth="true" hidden="false" outlineLevel="0" max="4" min="4" style="0" width="80"/>
    <col collapsed="false" customWidth="true" hidden="false" outlineLevel="0" max="5" min="5" style="0" width="26"/>
    <col collapsed="false" customWidth="true" hidden="false" outlineLevel="0" max="6" min="6" style="0" width="28"/>
  </cols>
  <sheetData>
    <row r="1" customFormat="false" ht="19.5" hidden="false" customHeight="true" outlineLevel="0" collapsed="false">
      <c r="A1" s="47" t="s">
        <v>3006</v>
      </c>
      <c r="B1" s="47"/>
      <c r="C1" s="47"/>
      <c r="D1" s="47"/>
      <c r="E1" s="47"/>
      <c r="F1" s="47"/>
    </row>
    <row r="2" customFormat="false" ht="27.75" hidden="false" customHeight="true" outlineLevel="0" collapsed="false">
      <c r="A2" s="48" t="s">
        <v>3162</v>
      </c>
      <c r="B2" s="48"/>
      <c r="C2" s="48"/>
      <c r="D2" s="48"/>
      <c r="E2" s="48"/>
      <c r="F2" s="48"/>
    </row>
    <row r="3" customFormat="false" ht="30" hidden="false" customHeight="true" outlineLevel="0" collapsed="false">
      <c r="A3" s="49" t="s">
        <v>3163</v>
      </c>
      <c r="B3" s="49"/>
      <c r="C3" s="49"/>
      <c r="D3" s="49"/>
      <c r="E3" s="49"/>
      <c r="F3" s="49"/>
    </row>
    <row r="4" customFormat="false" ht="6" hidden="false" customHeight="true" outlineLevel="0" collapsed="false"/>
    <row r="5" customFormat="false" ht="30" hidden="false" customHeight="true" outlineLevel="0" collapsed="false">
      <c r="A5" s="50" t="s">
        <v>776</v>
      </c>
      <c r="B5" s="50" t="s">
        <v>3164</v>
      </c>
      <c r="C5" s="50" t="s">
        <v>786</v>
      </c>
      <c r="D5" s="50" t="s">
        <v>1980</v>
      </c>
      <c r="E5" s="50" t="s">
        <v>3165</v>
      </c>
      <c r="F5" s="50" t="s">
        <v>3166</v>
      </c>
    </row>
    <row r="6" customFormat="false" ht="21.75" hidden="false" customHeight="true" outlineLevel="0" collapsed="false">
      <c r="A6" s="5" t="s">
        <v>3167</v>
      </c>
      <c r="B6" s="5" t="s">
        <v>3168</v>
      </c>
      <c r="C6" s="5" t="s">
        <v>792</v>
      </c>
      <c r="D6" s="6" t="s">
        <v>3169</v>
      </c>
      <c r="E6" s="5" t="s">
        <v>3170</v>
      </c>
      <c r="F6" s="5" t="s">
        <v>798</v>
      </c>
    </row>
    <row r="7" customFormat="false" ht="21.75" hidden="false" customHeight="true" outlineLevel="0" collapsed="false">
      <c r="A7" s="7" t="s">
        <v>3167</v>
      </c>
      <c r="B7" s="7" t="s">
        <v>3171</v>
      </c>
      <c r="C7" s="7" t="s">
        <v>792</v>
      </c>
      <c r="D7" s="8" t="s">
        <v>3172</v>
      </c>
      <c r="E7" s="7" t="s">
        <v>3173</v>
      </c>
      <c r="F7" s="7" t="s">
        <v>802</v>
      </c>
    </row>
    <row r="8" customFormat="false" ht="21.75" hidden="false" customHeight="true" outlineLevel="0" collapsed="false">
      <c r="A8" s="5" t="s">
        <v>3167</v>
      </c>
      <c r="B8" s="5" t="s">
        <v>3174</v>
      </c>
      <c r="C8" s="5" t="s">
        <v>792</v>
      </c>
      <c r="D8" s="6" t="s">
        <v>3175</v>
      </c>
      <c r="E8" s="5" t="s">
        <v>3176</v>
      </c>
      <c r="F8" s="5" t="s">
        <v>798</v>
      </c>
    </row>
    <row r="9" customFormat="false" ht="21.75" hidden="false" customHeight="true" outlineLevel="0" collapsed="false">
      <c r="A9" s="7" t="s">
        <v>3177</v>
      </c>
      <c r="B9" s="7" t="s">
        <v>3178</v>
      </c>
      <c r="C9" s="7" t="s">
        <v>3179</v>
      </c>
      <c r="D9" s="8" t="s">
        <v>3180</v>
      </c>
      <c r="E9" s="7" t="s">
        <v>2333</v>
      </c>
      <c r="F9" s="7" t="s">
        <v>807</v>
      </c>
    </row>
    <row r="10" customFormat="false" ht="21.75" hidden="false" customHeight="true" outlineLevel="0" collapsed="false">
      <c r="A10" s="5" t="s">
        <v>3167</v>
      </c>
      <c r="B10" s="5" t="s">
        <v>3181</v>
      </c>
      <c r="C10" s="5" t="s">
        <v>3179</v>
      </c>
      <c r="D10" s="6" t="s">
        <v>3182</v>
      </c>
      <c r="E10" s="5" t="s">
        <v>2333</v>
      </c>
      <c r="F10" s="5" t="s">
        <v>807</v>
      </c>
    </row>
    <row r="11" customFormat="false" ht="21.75" hidden="false" customHeight="true" outlineLevel="0" collapsed="false">
      <c r="A11" s="7" t="s">
        <v>3177</v>
      </c>
      <c r="B11" s="7" t="s">
        <v>3183</v>
      </c>
      <c r="C11" s="7" t="s">
        <v>792</v>
      </c>
      <c r="D11" s="8" t="s">
        <v>3184</v>
      </c>
      <c r="E11" s="7" t="s">
        <v>3185</v>
      </c>
      <c r="F11" s="7" t="s">
        <v>3186</v>
      </c>
    </row>
    <row r="12" customFormat="false" ht="21.75" hidden="false" customHeight="true" outlineLevel="0" collapsed="false">
      <c r="A12" s="5" t="s">
        <v>3177</v>
      </c>
      <c r="B12" s="5" t="s">
        <v>3187</v>
      </c>
      <c r="C12" s="5" t="s">
        <v>792</v>
      </c>
      <c r="D12" s="6" t="s">
        <v>3188</v>
      </c>
      <c r="E12" s="5" t="s">
        <v>3185</v>
      </c>
      <c r="F12" s="5" t="s">
        <v>3186</v>
      </c>
    </row>
    <row r="13" customFormat="false" ht="21.75" hidden="false" customHeight="true" outlineLevel="0" collapsed="false">
      <c r="A13" s="7" t="s">
        <v>3189</v>
      </c>
      <c r="B13" s="7" t="s">
        <v>3190</v>
      </c>
      <c r="C13" s="7" t="s">
        <v>3179</v>
      </c>
      <c r="D13" s="8" t="s">
        <v>3191</v>
      </c>
      <c r="E13" s="7" t="s">
        <v>2333</v>
      </c>
      <c r="F13" s="7" t="s">
        <v>811</v>
      </c>
    </row>
    <row r="14" customFormat="false" ht="21.75" hidden="false" customHeight="true" outlineLevel="0" collapsed="false">
      <c r="A14" s="5" t="s">
        <v>3167</v>
      </c>
      <c r="B14" s="5" t="s">
        <v>3192</v>
      </c>
      <c r="C14" s="5" t="s">
        <v>3179</v>
      </c>
      <c r="D14" s="6" t="s">
        <v>3193</v>
      </c>
      <c r="E14" s="5" t="s">
        <v>3194</v>
      </c>
      <c r="F14" s="5" t="s">
        <v>811</v>
      </c>
    </row>
    <row r="15" customFormat="false" ht="21.75" hidden="false" customHeight="true" outlineLevel="0" collapsed="false">
      <c r="A15" s="7" t="s">
        <v>3189</v>
      </c>
      <c r="B15" s="7" t="s">
        <v>3195</v>
      </c>
      <c r="C15" s="7" t="s">
        <v>3179</v>
      </c>
      <c r="D15" s="8" t="s">
        <v>3196</v>
      </c>
      <c r="E15" s="7" t="s">
        <v>2333</v>
      </c>
      <c r="F15" s="7" t="s">
        <v>815</v>
      </c>
    </row>
    <row r="16" customFormat="false" ht="21.75" hidden="false" customHeight="true" outlineLevel="0" collapsed="false">
      <c r="A16" s="5" t="s">
        <v>3167</v>
      </c>
      <c r="B16" s="5" t="s">
        <v>3197</v>
      </c>
      <c r="C16" s="5" t="s">
        <v>3179</v>
      </c>
      <c r="D16" s="6" t="s">
        <v>3198</v>
      </c>
      <c r="E16" s="5" t="s">
        <v>3194</v>
      </c>
      <c r="F16" s="5" t="s">
        <v>819</v>
      </c>
    </row>
    <row r="17" customFormat="false" ht="21.75" hidden="false" customHeight="true" outlineLevel="0" collapsed="false">
      <c r="A17" s="7" t="s">
        <v>3189</v>
      </c>
      <c r="B17" s="7" t="s">
        <v>3199</v>
      </c>
      <c r="C17" s="7" t="s">
        <v>3179</v>
      </c>
      <c r="D17" s="8" t="s">
        <v>3200</v>
      </c>
      <c r="E17" s="7" t="s">
        <v>2333</v>
      </c>
      <c r="F17" s="7" t="s">
        <v>823</v>
      </c>
    </row>
    <row r="18" customFormat="false" ht="21.75" hidden="false" customHeight="true" outlineLevel="0" collapsed="false">
      <c r="A18" s="5" t="s">
        <v>3189</v>
      </c>
      <c r="B18" s="5" t="s">
        <v>3201</v>
      </c>
      <c r="C18" s="5" t="s">
        <v>3179</v>
      </c>
      <c r="D18" s="6" t="s">
        <v>3202</v>
      </c>
      <c r="E18" s="5" t="s">
        <v>3203</v>
      </c>
      <c r="F18" s="5" t="s">
        <v>827</v>
      </c>
    </row>
    <row r="19" customFormat="false" ht="21.75" hidden="false" customHeight="true" outlineLevel="0" collapsed="false">
      <c r="A19" s="7" t="s">
        <v>3167</v>
      </c>
      <c r="B19" s="7" t="s">
        <v>3204</v>
      </c>
      <c r="C19" s="7" t="s">
        <v>3179</v>
      </c>
      <c r="D19" s="8" t="s">
        <v>3205</v>
      </c>
      <c r="E19" s="7" t="s">
        <v>3203</v>
      </c>
      <c r="F19" s="7" t="s">
        <v>831</v>
      </c>
    </row>
    <row r="20" customFormat="false" ht="21.75" hidden="false" customHeight="true" outlineLevel="0" collapsed="false">
      <c r="A20" s="5" t="s">
        <v>3167</v>
      </c>
      <c r="B20" s="5" t="s">
        <v>3206</v>
      </c>
      <c r="C20" s="5" t="s">
        <v>3179</v>
      </c>
      <c r="D20" s="6" t="s">
        <v>3207</v>
      </c>
      <c r="E20" s="5" t="s">
        <v>3194</v>
      </c>
      <c r="F20" s="5" t="s">
        <v>831</v>
      </c>
    </row>
    <row r="21" customFormat="false" ht="21.75" hidden="false" customHeight="true" outlineLevel="0" collapsed="false">
      <c r="A21" s="7" t="s">
        <v>3167</v>
      </c>
      <c r="B21" s="7" t="s">
        <v>3208</v>
      </c>
      <c r="C21" s="7" t="s">
        <v>3179</v>
      </c>
      <c r="D21" s="8" t="s">
        <v>3209</v>
      </c>
      <c r="E21" s="7" t="s">
        <v>3203</v>
      </c>
      <c r="F21" s="7" t="s">
        <v>831</v>
      </c>
    </row>
    <row r="22" customFormat="false" ht="21.75" hidden="false" customHeight="true" outlineLevel="0" collapsed="false">
      <c r="A22" s="5" t="s">
        <v>3177</v>
      </c>
      <c r="B22" s="5" t="s">
        <v>3210</v>
      </c>
      <c r="C22" s="5" t="s">
        <v>3211</v>
      </c>
      <c r="D22" s="6" t="s">
        <v>3212</v>
      </c>
      <c r="E22" s="5" t="s">
        <v>2333</v>
      </c>
      <c r="F22" s="5" t="s">
        <v>831</v>
      </c>
    </row>
    <row r="23" customFormat="false" ht="21.75" hidden="false" customHeight="true" outlineLevel="0" collapsed="false">
      <c r="A23" s="7" t="s">
        <v>3167</v>
      </c>
      <c r="B23" s="7" t="s">
        <v>3213</v>
      </c>
      <c r="C23" s="7" t="s">
        <v>3179</v>
      </c>
      <c r="D23" s="8" t="s">
        <v>3214</v>
      </c>
      <c r="E23" s="7" t="s">
        <v>2333</v>
      </c>
      <c r="F23" s="7" t="s">
        <v>835</v>
      </c>
    </row>
    <row r="24" customFormat="false" ht="21.75" hidden="false" customHeight="true" outlineLevel="0" collapsed="false">
      <c r="A24" s="5" t="s">
        <v>3215</v>
      </c>
      <c r="B24" s="5" t="s">
        <v>3216</v>
      </c>
      <c r="C24" s="5" t="s">
        <v>3179</v>
      </c>
      <c r="D24" s="6" t="s">
        <v>3217</v>
      </c>
      <c r="E24" s="5" t="s">
        <v>2333</v>
      </c>
      <c r="F24" s="5" t="s">
        <v>835</v>
      </c>
    </row>
    <row r="25" customFormat="false" ht="21.75" hidden="false" customHeight="true" outlineLevel="0" collapsed="false">
      <c r="A25" s="7" t="s">
        <v>3177</v>
      </c>
      <c r="B25" s="7" t="s">
        <v>3218</v>
      </c>
      <c r="C25" s="7" t="s">
        <v>3179</v>
      </c>
      <c r="D25" s="8" t="s">
        <v>3219</v>
      </c>
      <c r="E25" s="7" t="s">
        <v>2333</v>
      </c>
      <c r="F25" s="7" t="s">
        <v>3100</v>
      </c>
    </row>
    <row r="26" customFormat="false" ht="21.75" hidden="false" customHeight="true" outlineLevel="0" collapsed="false">
      <c r="A26" s="5" t="s">
        <v>3167</v>
      </c>
      <c r="B26" s="5" t="s">
        <v>3220</v>
      </c>
      <c r="C26" s="5" t="s">
        <v>3179</v>
      </c>
      <c r="D26" s="6" t="s">
        <v>3221</v>
      </c>
      <c r="E26" s="5" t="s">
        <v>3222</v>
      </c>
      <c r="F26" s="5" t="s">
        <v>839</v>
      </c>
    </row>
    <row r="27" customFormat="false" ht="21.75" hidden="false" customHeight="true" outlineLevel="0" collapsed="false">
      <c r="A27" s="7" t="s">
        <v>3189</v>
      </c>
      <c r="B27" s="7" t="s">
        <v>3223</v>
      </c>
      <c r="C27" s="7" t="s">
        <v>3179</v>
      </c>
      <c r="D27" s="8" t="s">
        <v>3224</v>
      </c>
      <c r="E27" s="7" t="s">
        <v>557</v>
      </c>
      <c r="F27" s="7" t="s">
        <v>839</v>
      </c>
    </row>
    <row r="28" customFormat="false" ht="21.75" hidden="false" customHeight="true" outlineLevel="0" collapsed="false">
      <c r="A28" s="5" t="s">
        <v>3167</v>
      </c>
      <c r="B28" s="5" t="s">
        <v>3225</v>
      </c>
      <c r="C28" s="5" t="s">
        <v>3179</v>
      </c>
      <c r="D28" s="6" t="s">
        <v>3226</v>
      </c>
      <c r="E28" s="5" t="s">
        <v>2333</v>
      </c>
      <c r="F28" s="5" t="s">
        <v>839</v>
      </c>
    </row>
    <row r="29" customFormat="false" ht="21.75" hidden="false" customHeight="true" outlineLevel="0" collapsed="false">
      <c r="A29" s="7" t="s">
        <v>3177</v>
      </c>
      <c r="B29" s="7" t="s">
        <v>3227</v>
      </c>
      <c r="C29" s="7" t="s">
        <v>3211</v>
      </c>
      <c r="D29" s="8" t="s">
        <v>3228</v>
      </c>
      <c r="E29" s="7" t="s">
        <v>2333</v>
      </c>
      <c r="F29" s="7" t="s">
        <v>3106</v>
      </c>
    </row>
    <row r="30" customFormat="false" ht="21.75" hidden="false" customHeight="true" outlineLevel="0" collapsed="false">
      <c r="A30" s="5" t="s">
        <v>3177</v>
      </c>
      <c r="B30" s="5" t="s">
        <v>3229</v>
      </c>
      <c r="C30" s="5" t="s">
        <v>3179</v>
      </c>
      <c r="D30" s="6" t="s">
        <v>3230</v>
      </c>
      <c r="E30" s="5" t="s">
        <v>2333</v>
      </c>
      <c r="F30" s="5" t="s">
        <v>843</v>
      </c>
    </row>
    <row r="31" customFormat="false" ht="21.75" hidden="false" customHeight="true" outlineLevel="0" collapsed="false">
      <c r="A31" s="7" t="s">
        <v>3167</v>
      </c>
      <c r="B31" s="7" t="s">
        <v>3231</v>
      </c>
      <c r="C31" s="7" t="s">
        <v>3179</v>
      </c>
      <c r="D31" s="8" t="s">
        <v>3232</v>
      </c>
      <c r="E31" s="7" t="s">
        <v>2333</v>
      </c>
      <c r="F31" s="7" t="s">
        <v>843</v>
      </c>
    </row>
    <row r="32" customFormat="false" ht="21.75" hidden="false" customHeight="true" outlineLevel="0" collapsed="false">
      <c r="A32" s="5" t="s">
        <v>3167</v>
      </c>
      <c r="B32" s="5" t="s">
        <v>3233</v>
      </c>
      <c r="C32" s="5" t="s">
        <v>3179</v>
      </c>
      <c r="D32" s="6" t="s">
        <v>3234</v>
      </c>
      <c r="E32" s="5" t="s">
        <v>2333</v>
      </c>
      <c r="F32" s="5" t="s">
        <v>847</v>
      </c>
    </row>
    <row r="33" customFormat="false" ht="21.75" hidden="false" customHeight="true" outlineLevel="0" collapsed="false">
      <c r="A33" s="7" t="s">
        <v>3167</v>
      </c>
      <c r="B33" s="7" t="s">
        <v>3235</v>
      </c>
      <c r="C33" s="7" t="s">
        <v>3236</v>
      </c>
      <c r="D33" s="8" t="s">
        <v>3237</v>
      </c>
      <c r="E33" s="7" t="s">
        <v>3238</v>
      </c>
      <c r="F33" s="7" t="s">
        <v>1532</v>
      </c>
    </row>
    <row r="34" customFormat="false" ht="21.75" hidden="false" customHeight="true" outlineLevel="0" collapsed="false">
      <c r="A34" s="5" t="s">
        <v>3177</v>
      </c>
      <c r="B34" s="5" t="s">
        <v>3239</v>
      </c>
      <c r="C34" s="5" t="s">
        <v>3179</v>
      </c>
      <c r="D34" s="6" t="s">
        <v>3240</v>
      </c>
      <c r="E34" s="5" t="s">
        <v>2333</v>
      </c>
      <c r="F34" s="5" t="s">
        <v>851</v>
      </c>
    </row>
    <row r="35" customFormat="false" ht="21.75" hidden="false" customHeight="true" outlineLevel="0" collapsed="false">
      <c r="A35" s="7" t="s">
        <v>3167</v>
      </c>
      <c r="B35" s="7" t="s">
        <v>3241</v>
      </c>
      <c r="C35" s="7" t="s">
        <v>3179</v>
      </c>
      <c r="D35" s="8" t="s">
        <v>3242</v>
      </c>
      <c r="E35" s="7" t="s">
        <v>2333</v>
      </c>
      <c r="F35" s="7" t="s">
        <v>2088</v>
      </c>
    </row>
    <row r="36" customFormat="false" ht="21.75" hidden="false" customHeight="true" outlineLevel="0" collapsed="false">
      <c r="A36" s="5" t="s">
        <v>3177</v>
      </c>
      <c r="B36" s="5" t="s">
        <v>3243</v>
      </c>
      <c r="C36" s="5" t="s">
        <v>3244</v>
      </c>
      <c r="D36" s="6" t="s">
        <v>3245</v>
      </c>
      <c r="E36" s="5" t="s">
        <v>2333</v>
      </c>
      <c r="F36" s="5" t="s">
        <v>3122</v>
      </c>
    </row>
    <row r="37" customFormat="false" ht="21.75" hidden="false" customHeight="true" outlineLevel="0" collapsed="false">
      <c r="A37" s="7" t="s">
        <v>3177</v>
      </c>
      <c r="B37" s="7" t="s">
        <v>3246</v>
      </c>
      <c r="C37" s="7" t="s">
        <v>3244</v>
      </c>
      <c r="D37" s="8" t="s">
        <v>3247</v>
      </c>
      <c r="E37" s="7" t="s">
        <v>2333</v>
      </c>
      <c r="F37" s="7" t="s">
        <v>1573</v>
      </c>
    </row>
    <row r="38" customFormat="false" ht="21.75" hidden="false" customHeight="true" outlineLevel="0" collapsed="false">
      <c r="A38" s="5" t="s">
        <v>3167</v>
      </c>
      <c r="B38" s="5" t="s">
        <v>3248</v>
      </c>
      <c r="C38" s="5" t="s">
        <v>3179</v>
      </c>
      <c r="D38" s="6" t="s">
        <v>3249</v>
      </c>
      <c r="E38" s="5" t="s">
        <v>2333</v>
      </c>
      <c r="F38" s="5" t="s">
        <v>1573</v>
      </c>
    </row>
    <row r="39" customFormat="false" ht="21.75" hidden="false" customHeight="true" outlineLevel="0" collapsed="false">
      <c r="A39" s="7" t="s">
        <v>3177</v>
      </c>
      <c r="B39" s="7" t="s">
        <v>3250</v>
      </c>
      <c r="C39" s="7" t="s">
        <v>3179</v>
      </c>
      <c r="D39" s="8" t="s">
        <v>3251</v>
      </c>
      <c r="E39" s="7" t="s">
        <v>2333</v>
      </c>
      <c r="F39" s="7" t="s">
        <v>1578</v>
      </c>
    </row>
    <row r="40" customFormat="false" ht="21.75" hidden="false" customHeight="true" outlineLevel="0" collapsed="false">
      <c r="A40" s="5" t="s">
        <v>3177</v>
      </c>
      <c r="B40" s="5" t="s">
        <v>3252</v>
      </c>
      <c r="C40" s="5" t="s">
        <v>3179</v>
      </c>
      <c r="D40" s="6" t="s">
        <v>3253</v>
      </c>
      <c r="E40" s="5" t="s">
        <v>2333</v>
      </c>
      <c r="F40" s="5" t="s">
        <v>1585</v>
      </c>
    </row>
    <row r="41" customFormat="false" ht="21.75" hidden="false" customHeight="true" outlineLevel="0" collapsed="false">
      <c r="A41" s="7" t="s">
        <v>3177</v>
      </c>
      <c r="B41" s="7" t="s">
        <v>3254</v>
      </c>
      <c r="C41" s="7" t="s">
        <v>3179</v>
      </c>
      <c r="D41" s="8" t="s">
        <v>3255</v>
      </c>
      <c r="E41" s="7" t="s">
        <v>2333</v>
      </c>
      <c r="F41" s="7" t="s">
        <v>1592</v>
      </c>
    </row>
    <row r="42" customFormat="false" ht="21.75" hidden="false" customHeight="true" outlineLevel="0" collapsed="false">
      <c r="A42" s="5" t="s">
        <v>3177</v>
      </c>
      <c r="B42" s="5" t="s">
        <v>3256</v>
      </c>
      <c r="C42" s="5" t="s">
        <v>3244</v>
      </c>
      <c r="D42" s="6" t="s">
        <v>3257</v>
      </c>
      <c r="E42" s="5" t="s">
        <v>2333</v>
      </c>
      <c r="F42" s="5" t="s">
        <v>1599</v>
      </c>
    </row>
    <row r="43" customFormat="false" ht="21.75" hidden="false" customHeight="true" outlineLevel="0" collapsed="false">
      <c r="A43" s="7" t="s">
        <v>3167</v>
      </c>
      <c r="B43" s="7" t="s">
        <v>3258</v>
      </c>
      <c r="C43" s="7" t="s">
        <v>3179</v>
      </c>
      <c r="D43" s="8" t="s">
        <v>3259</v>
      </c>
      <c r="E43" s="7" t="s">
        <v>2333</v>
      </c>
      <c r="F43" s="7" t="s">
        <v>860</v>
      </c>
    </row>
    <row r="44" customFormat="false" ht="21.75" hidden="false" customHeight="true" outlineLevel="0" collapsed="false">
      <c r="A44" s="5" t="s">
        <v>3167</v>
      </c>
      <c r="B44" s="5" t="s">
        <v>3260</v>
      </c>
      <c r="C44" s="5" t="s">
        <v>3261</v>
      </c>
      <c r="D44" s="6" t="s">
        <v>3262</v>
      </c>
      <c r="E44" s="5" t="s">
        <v>2333</v>
      </c>
      <c r="F44" s="5" t="s">
        <v>1658</v>
      </c>
    </row>
    <row r="45" customFormat="false" ht="21.75" hidden="false" customHeight="true" outlineLevel="0" collapsed="false">
      <c r="A45" s="7" t="s">
        <v>3177</v>
      </c>
      <c r="B45" s="7" t="s">
        <v>3263</v>
      </c>
      <c r="C45" s="7" t="s">
        <v>3179</v>
      </c>
      <c r="D45" s="8" t="s">
        <v>3264</v>
      </c>
      <c r="E45" s="7" t="s">
        <v>2333</v>
      </c>
      <c r="F45" s="7" t="s">
        <v>2775</v>
      </c>
    </row>
    <row r="46" customFormat="false" ht="21.75" hidden="false" customHeight="true" outlineLevel="0" collapsed="false">
      <c r="A46" s="5" t="s">
        <v>3167</v>
      </c>
      <c r="B46" s="5" t="s">
        <v>3265</v>
      </c>
      <c r="C46" s="5" t="s">
        <v>3179</v>
      </c>
      <c r="D46" s="6" t="s">
        <v>3266</v>
      </c>
      <c r="E46" s="5" t="s">
        <v>3222</v>
      </c>
      <c r="F46" s="5" t="s">
        <v>2775</v>
      </c>
    </row>
    <row r="47" customFormat="false" ht="21.75" hidden="false" customHeight="true" outlineLevel="0" collapsed="false">
      <c r="A47" s="7" t="s">
        <v>3177</v>
      </c>
      <c r="B47" s="7" t="s">
        <v>3267</v>
      </c>
      <c r="C47" s="7" t="s">
        <v>3179</v>
      </c>
      <c r="D47" s="8" t="s">
        <v>3268</v>
      </c>
      <c r="E47" s="7" t="s">
        <v>2333</v>
      </c>
      <c r="F47" s="7" t="s">
        <v>864</v>
      </c>
    </row>
    <row r="48" customFormat="false" ht="21.75" hidden="false" customHeight="true" outlineLevel="0" collapsed="false">
      <c r="A48" s="5" t="s">
        <v>3167</v>
      </c>
      <c r="B48" s="5" t="s">
        <v>3269</v>
      </c>
      <c r="C48" s="5" t="s">
        <v>3179</v>
      </c>
      <c r="D48" s="6" t="s">
        <v>3270</v>
      </c>
      <c r="E48" s="5" t="s">
        <v>2333</v>
      </c>
      <c r="F48" s="5" t="s">
        <v>864</v>
      </c>
    </row>
    <row r="49" customFormat="false" ht="21.75" hidden="false" customHeight="true" outlineLevel="0" collapsed="false">
      <c r="A49" s="7" t="s">
        <v>3167</v>
      </c>
      <c r="B49" s="7" t="s">
        <v>3271</v>
      </c>
      <c r="C49" s="7" t="s">
        <v>3179</v>
      </c>
      <c r="D49" s="8" t="s">
        <v>3272</v>
      </c>
      <c r="E49" s="7" t="s">
        <v>2333</v>
      </c>
      <c r="F49" s="7" t="s">
        <v>864</v>
      </c>
    </row>
    <row r="50" customFormat="false" ht="21.75" hidden="false" customHeight="true" outlineLevel="0" collapsed="false">
      <c r="A50" s="5" t="s">
        <v>3177</v>
      </c>
      <c r="B50" s="5" t="s">
        <v>3273</v>
      </c>
      <c r="C50" s="5" t="s">
        <v>3274</v>
      </c>
      <c r="D50" s="6" t="s">
        <v>3275</v>
      </c>
      <c r="E50" s="5" t="s">
        <v>3276</v>
      </c>
      <c r="F50" s="5" t="s">
        <v>1680</v>
      </c>
    </row>
    <row r="51" customFormat="false" ht="21.75" hidden="false" customHeight="true" outlineLevel="0" collapsed="false">
      <c r="A51" s="7" t="s">
        <v>3167</v>
      </c>
      <c r="B51" s="7" t="s">
        <v>3277</v>
      </c>
      <c r="C51" s="7" t="s">
        <v>3278</v>
      </c>
      <c r="D51" s="8" t="s">
        <v>3279</v>
      </c>
      <c r="E51" s="7" t="s">
        <v>2333</v>
      </c>
      <c r="F51" s="7" t="s">
        <v>831</v>
      </c>
    </row>
    <row r="52" customFormat="false" ht="21.75" hidden="false" customHeight="true" outlineLevel="0" collapsed="false">
      <c r="A52" s="5" t="s">
        <v>3167</v>
      </c>
      <c r="B52" s="5" t="s">
        <v>3280</v>
      </c>
      <c r="C52" s="5" t="s">
        <v>3281</v>
      </c>
      <c r="D52" s="6" t="s">
        <v>3282</v>
      </c>
      <c r="E52" s="5" t="s">
        <v>2333</v>
      </c>
      <c r="F52" s="5" t="s">
        <v>3106</v>
      </c>
    </row>
    <row r="53" customFormat="false" ht="21.75" hidden="false" customHeight="true" outlineLevel="0" collapsed="false">
      <c r="A53" s="7" t="s">
        <v>3167</v>
      </c>
      <c r="B53" s="7" t="s">
        <v>3283</v>
      </c>
      <c r="C53" s="7" t="s">
        <v>3284</v>
      </c>
      <c r="D53" s="8" t="s">
        <v>3285</v>
      </c>
      <c r="E53" s="7" t="s">
        <v>2333</v>
      </c>
      <c r="F53" s="7" t="s">
        <v>2065</v>
      </c>
    </row>
    <row r="54" customFormat="false" ht="21.75" hidden="false" customHeight="true" outlineLevel="0" collapsed="false">
      <c r="A54" s="5" t="s">
        <v>3167</v>
      </c>
      <c r="B54" s="5" t="s">
        <v>3286</v>
      </c>
      <c r="C54" s="5" t="s">
        <v>3287</v>
      </c>
      <c r="D54" s="6" t="s">
        <v>3288</v>
      </c>
      <c r="E54" s="5" t="s">
        <v>2333</v>
      </c>
      <c r="F54" s="5" t="s">
        <v>2042</v>
      </c>
    </row>
    <row r="55" customFormat="false" ht="21.75" hidden="false" customHeight="true" outlineLevel="0" collapsed="false">
      <c r="A55" s="7" t="s">
        <v>3167</v>
      </c>
      <c r="B55" s="7" t="s">
        <v>3289</v>
      </c>
      <c r="C55" s="7" t="s">
        <v>3290</v>
      </c>
      <c r="D55" s="8" t="s">
        <v>3291</v>
      </c>
      <c r="E55" s="7" t="s">
        <v>2333</v>
      </c>
      <c r="F55" s="7" t="s">
        <v>1573</v>
      </c>
    </row>
    <row r="56" customFormat="false" ht="21.75" hidden="false" customHeight="true" outlineLevel="0" collapsed="false">
      <c r="A56" s="5" t="s">
        <v>3167</v>
      </c>
      <c r="B56" s="5" t="s">
        <v>3292</v>
      </c>
      <c r="C56" s="5" t="s">
        <v>3284</v>
      </c>
      <c r="D56" s="6" t="s">
        <v>3293</v>
      </c>
      <c r="E56" s="5" t="s">
        <v>2333</v>
      </c>
      <c r="F56" s="5" t="s">
        <v>3125</v>
      </c>
    </row>
    <row r="57" customFormat="false" ht="21.75" hidden="false" customHeight="true" outlineLevel="0" collapsed="false">
      <c r="A57" s="7" t="s">
        <v>3177</v>
      </c>
      <c r="B57" s="7" t="s">
        <v>3294</v>
      </c>
      <c r="C57" s="7" t="s">
        <v>3295</v>
      </c>
      <c r="D57" s="8" t="s">
        <v>3296</v>
      </c>
      <c r="E57" s="7" t="s">
        <v>2333</v>
      </c>
      <c r="F57" s="7" t="s">
        <v>3297</v>
      </c>
    </row>
  </sheetData>
  <autoFilter ref="A5:F57"/>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8"/>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56"/>
    <col collapsed="false" customWidth="true" hidden="false" outlineLevel="0" max="4" min="4" style="0" width="72"/>
    <col collapsed="false" customWidth="true" hidden="false" outlineLevel="0" max="5" min="5" style="0" width="24"/>
  </cols>
  <sheetData>
    <row r="1" customFormat="false" ht="19.5" hidden="false" customHeight="true" outlineLevel="0" collapsed="false">
      <c r="A1" s="47" t="s">
        <v>3006</v>
      </c>
      <c r="B1" s="47"/>
      <c r="C1" s="47"/>
      <c r="D1" s="47"/>
      <c r="E1" s="47"/>
    </row>
    <row r="2" customFormat="false" ht="27.75" hidden="false" customHeight="true" outlineLevel="0" collapsed="false">
      <c r="A2" s="48" t="s">
        <v>3298</v>
      </c>
      <c r="B2" s="48"/>
      <c r="C2" s="48"/>
      <c r="D2" s="48"/>
      <c r="E2" s="48"/>
    </row>
    <row r="3" customFormat="false" ht="30" hidden="false" customHeight="true" outlineLevel="0" collapsed="false">
      <c r="A3" s="49" t="s">
        <v>3299</v>
      </c>
      <c r="B3" s="49"/>
      <c r="C3" s="49"/>
      <c r="D3" s="49"/>
      <c r="E3" s="49"/>
    </row>
    <row r="4" customFormat="false" ht="6" hidden="false" customHeight="true" outlineLevel="0" collapsed="false"/>
    <row r="5" customFormat="false" ht="30" hidden="false" customHeight="true" outlineLevel="0" collapsed="false">
      <c r="A5" s="50" t="s">
        <v>3300</v>
      </c>
      <c r="B5" s="50" t="s">
        <v>3062</v>
      </c>
      <c r="C5" s="50" t="s">
        <v>2919</v>
      </c>
      <c r="D5" s="50" t="s">
        <v>3301</v>
      </c>
      <c r="E5" s="50" t="s">
        <v>3302</v>
      </c>
    </row>
    <row r="6" customFormat="false" ht="24" hidden="false" customHeight="true" outlineLevel="0" collapsed="false">
      <c r="A6" s="5" t="s">
        <v>3303</v>
      </c>
      <c r="B6" s="5" t="s">
        <v>798</v>
      </c>
      <c r="C6" s="5" t="s">
        <v>1852</v>
      </c>
      <c r="D6" s="6" t="s">
        <v>3304</v>
      </c>
      <c r="E6" s="5" t="s">
        <v>494</v>
      </c>
    </row>
    <row r="7" customFormat="false" ht="24" hidden="false" customHeight="true" outlineLevel="0" collapsed="false">
      <c r="A7" s="7" t="s">
        <v>3305</v>
      </c>
      <c r="B7" s="7" t="s">
        <v>802</v>
      </c>
      <c r="C7" s="7" t="s">
        <v>1858</v>
      </c>
      <c r="D7" s="8" t="s">
        <v>3306</v>
      </c>
      <c r="E7" s="7" t="s">
        <v>494</v>
      </c>
    </row>
    <row r="8" customFormat="false" ht="24" hidden="false" customHeight="true" outlineLevel="0" collapsed="false">
      <c r="A8" s="5" t="s">
        <v>3307</v>
      </c>
      <c r="B8" s="5" t="s">
        <v>807</v>
      </c>
      <c r="C8" s="5" t="s">
        <v>3308</v>
      </c>
      <c r="D8" s="6" t="s">
        <v>3309</v>
      </c>
      <c r="E8" s="5" t="s">
        <v>494</v>
      </c>
    </row>
    <row r="9" customFormat="false" ht="24" hidden="false" customHeight="true" outlineLevel="0" collapsed="false">
      <c r="A9" s="7" t="s">
        <v>3310</v>
      </c>
      <c r="B9" s="7" t="s">
        <v>811</v>
      </c>
      <c r="C9" s="7" t="s">
        <v>3311</v>
      </c>
      <c r="D9" s="8" t="s">
        <v>3312</v>
      </c>
      <c r="E9" s="7" t="s">
        <v>494</v>
      </c>
    </row>
    <row r="10" customFormat="false" ht="24" hidden="false" customHeight="true" outlineLevel="0" collapsed="false">
      <c r="A10" s="5" t="s">
        <v>3313</v>
      </c>
      <c r="B10" s="5" t="s">
        <v>831</v>
      </c>
      <c r="C10" s="5" t="s">
        <v>3314</v>
      </c>
      <c r="D10" s="6" t="s">
        <v>3315</v>
      </c>
      <c r="E10" s="5" t="s">
        <v>494</v>
      </c>
    </row>
    <row r="11" customFormat="false" ht="24" hidden="false" customHeight="true" outlineLevel="0" collapsed="false">
      <c r="A11" s="7" t="s">
        <v>3316</v>
      </c>
      <c r="B11" s="7" t="s">
        <v>831</v>
      </c>
      <c r="C11" s="7" t="s">
        <v>3317</v>
      </c>
      <c r="D11" s="8" t="s">
        <v>3318</v>
      </c>
      <c r="E11" s="7" t="s">
        <v>99</v>
      </c>
    </row>
    <row r="12" customFormat="false" ht="24" hidden="false" customHeight="true" outlineLevel="0" collapsed="false">
      <c r="A12" s="5" t="s">
        <v>3319</v>
      </c>
      <c r="B12" s="5" t="s">
        <v>831</v>
      </c>
      <c r="C12" s="5" t="s">
        <v>3320</v>
      </c>
      <c r="D12" s="6" t="s">
        <v>3321</v>
      </c>
      <c r="E12" s="5" t="s">
        <v>494</v>
      </c>
    </row>
    <row r="13" customFormat="false" ht="24" hidden="false" customHeight="true" outlineLevel="0" collapsed="false">
      <c r="A13" s="7" t="s">
        <v>3322</v>
      </c>
      <c r="B13" s="7" t="s">
        <v>831</v>
      </c>
      <c r="C13" s="7" t="s">
        <v>3323</v>
      </c>
      <c r="D13" s="8" t="s">
        <v>3324</v>
      </c>
      <c r="E13" s="7" t="s">
        <v>494</v>
      </c>
    </row>
    <row r="14" customFormat="false" ht="24" hidden="false" customHeight="true" outlineLevel="0" collapsed="false">
      <c r="A14" s="5" t="s">
        <v>3325</v>
      </c>
      <c r="B14" s="5" t="s">
        <v>839</v>
      </c>
      <c r="C14" s="5" t="s">
        <v>3326</v>
      </c>
      <c r="D14" s="6" t="s">
        <v>3327</v>
      </c>
      <c r="E14" s="5" t="s">
        <v>494</v>
      </c>
    </row>
    <row r="15" customFormat="false" ht="24" hidden="false" customHeight="true" outlineLevel="0" collapsed="false">
      <c r="A15" s="7" t="s">
        <v>3328</v>
      </c>
      <c r="B15" s="7" t="s">
        <v>839</v>
      </c>
      <c r="C15" s="7" t="s">
        <v>3329</v>
      </c>
      <c r="D15" s="8" t="s">
        <v>3330</v>
      </c>
      <c r="E15" s="7" t="s">
        <v>494</v>
      </c>
    </row>
    <row r="16" customFormat="false" ht="24" hidden="false" customHeight="true" outlineLevel="0" collapsed="false">
      <c r="A16" s="5" t="s">
        <v>3331</v>
      </c>
      <c r="B16" s="5" t="s">
        <v>839</v>
      </c>
      <c r="C16" s="5" t="s">
        <v>3332</v>
      </c>
      <c r="D16" s="6" t="s">
        <v>3333</v>
      </c>
      <c r="E16" s="5" t="s">
        <v>104</v>
      </c>
    </row>
    <row r="17" customFormat="false" ht="24" hidden="false" customHeight="true" outlineLevel="0" collapsed="false">
      <c r="A17" s="7" t="s">
        <v>3334</v>
      </c>
      <c r="B17" s="7" t="s">
        <v>2065</v>
      </c>
      <c r="C17" s="7" t="s">
        <v>3335</v>
      </c>
      <c r="D17" s="8" t="s">
        <v>3336</v>
      </c>
      <c r="E17" s="7" t="s">
        <v>41</v>
      </c>
    </row>
    <row r="18" customFormat="false" ht="24" hidden="false" customHeight="true" outlineLevel="0" collapsed="false">
      <c r="A18" s="5" t="s">
        <v>3337</v>
      </c>
      <c r="B18" s="5" t="s">
        <v>2065</v>
      </c>
      <c r="C18" s="5" t="s">
        <v>3338</v>
      </c>
      <c r="D18" s="6" t="s">
        <v>3339</v>
      </c>
      <c r="E18" s="5" t="s">
        <v>41</v>
      </c>
    </row>
    <row r="19" customFormat="false" ht="24" hidden="false" customHeight="true" outlineLevel="0" collapsed="false">
      <c r="A19" s="7" t="s">
        <v>3340</v>
      </c>
      <c r="B19" s="7" t="s">
        <v>843</v>
      </c>
      <c r="C19" s="7" t="s">
        <v>3341</v>
      </c>
      <c r="D19" s="8" t="s">
        <v>3342</v>
      </c>
      <c r="E19" s="7" t="s">
        <v>494</v>
      </c>
    </row>
    <row r="20" customFormat="false" ht="24" hidden="false" customHeight="true" outlineLevel="0" collapsed="false">
      <c r="A20" s="5" t="s">
        <v>3343</v>
      </c>
      <c r="B20" s="5" t="s">
        <v>1508</v>
      </c>
      <c r="C20" s="5" t="s">
        <v>3344</v>
      </c>
      <c r="D20" s="6" t="s">
        <v>3345</v>
      </c>
      <c r="E20" s="5" t="s">
        <v>99</v>
      </c>
    </row>
    <row r="21" customFormat="false" ht="24" hidden="false" customHeight="true" outlineLevel="0" collapsed="false">
      <c r="A21" s="7" t="s">
        <v>3346</v>
      </c>
      <c r="B21" s="7" t="s">
        <v>1532</v>
      </c>
      <c r="C21" s="7" t="s">
        <v>3347</v>
      </c>
      <c r="D21" s="8" t="s">
        <v>3348</v>
      </c>
      <c r="E21" s="7" t="s">
        <v>99</v>
      </c>
    </row>
    <row r="22" customFormat="false" ht="24" hidden="false" customHeight="true" outlineLevel="0" collapsed="false">
      <c r="A22" s="5" t="s">
        <v>3349</v>
      </c>
      <c r="B22" s="5" t="s">
        <v>3128</v>
      </c>
      <c r="C22" s="5" t="s">
        <v>3350</v>
      </c>
      <c r="D22" s="6" t="s">
        <v>3351</v>
      </c>
      <c r="E22" s="5" t="s">
        <v>110</v>
      </c>
    </row>
    <row r="23" customFormat="false" ht="24" hidden="false" customHeight="true" outlineLevel="0" collapsed="false">
      <c r="A23" s="7" t="s">
        <v>3352</v>
      </c>
      <c r="B23" s="7" t="s">
        <v>1573</v>
      </c>
      <c r="C23" s="7" t="s">
        <v>3353</v>
      </c>
      <c r="D23" s="8" t="s">
        <v>3354</v>
      </c>
      <c r="E23" s="7" t="s">
        <v>494</v>
      </c>
    </row>
    <row r="24" customFormat="false" ht="24" hidden="false" customHeight="true" outlineLevel="0" collapsed="false">
      <c r="A24" s="5" t="s">
        <v>3355</v>
      </c>
      <c r="B24" s="5" t="s">
        <v>1573</v>
      </c>
      <c r="C24" s="5" t="s">
        <v>3356</v>
      </c>
      <c r="D24" s="6" t="s">
        <v>3357</v>
      </c>
      <c r="E24" s="5" t="s">
        <v>494</v>
      </c>
    </row>
    <row r="25" customFormat="false" ht="24" hidden="false" customHeight="true" outlineLevel="0" collapsed="false">
      <c r="A25" s="7" t="s">
        <v>3358</v>
      </c>
      <c r="B25" s="7" t="s">
        <v>1592</v>
      </c>
      <c r="C25" s="7" t="s">
        <v>3359</v>
      </c>
      <c r="D25" s="8" t="s">
        <v>3360</v>
      </c>
      <c r="E25" s="7" t="s">
        <v>110</v>
      </c>
    </row>
    <row r="26" customFormat="false" ht="24" hidden="false" customHeight="true" outlineLevel="0" collapsed="false">
      <c r="A26" s="5" t="s">
        <v>3361</v>
      </c>
      <c r="B26" s="5" t="s">
        <v>1585</v>
      </c>
      <c r="C26" s="5" t="s">
        <v>3362</v>
      </c>
      <c r="D26" s="6" t="s">
        <v>3363</v>
      </c>
      <c r="E26" s="5" t="s">
        <v>91</v>
      </c>
    </row>
    <row r="27" customFormat="false" ht="24" hidden="false" customHeight="true" outlineLevel="0" collapsed="false">
      <c r="A27" s="7" t="s">
        <v>3364</v>
      </c>
      <c r="B27" s="7" t="s">
        <v>1585</v>
      </c>
      <c r="C27" s="7" t="s">
        <v>3365</v>
      </c>
      <c r="D27" s="8" t="s">
        <v>3366</v>
      </c>
      <c r="E27" s="7" t="s">
        <v>494</v>
      </c>
    </row>
    <row r="28" customFormat="false" ht="24" hidden="false" customHeight="true" outlineLevel="0" collapsed="false">
      <c r="A28" s="5" t="s">
        <v>3367</v>
      </c>
      <c r="B28" s="5" t="s">
        <v>3125</v>
      </c>
      <c r="C28" s="5" t="s">
        <v>3368</v>
      </c>
      <c r="D28" s="6" t="s">
        <v>3369</v>
      </c>
      <c r="E28" s="5" t="s">
        <v>41</v>
      </c>
    </row>
    <row r="29" customFormat="false" ht="24" hidden="false" customHeight="true" outlineLevel="0" collapsed="false">
      <c r="A29" s="7" t="s">
        <v>3370</v>
      </c>
      <c r="B29" s="7" t="s">
        <v>3125</v>
      </c>
      <c r="C29" s="7" t="s">
        <v>3371</v>
      </c>
      <c r="D29" s="8" t="s">
        <v>3372</v>
      </c>
      <c r="E29" s="7" t="s">
        <v>41</v>
      </c>
    </row>
    <row r="30" customFormat="false" ht="24" hidden="false" customHeight="true" outlineLevel="0" collapsed="false">
      <c r="A30" s="5" t="s">
        <v>3373</v>
      </c>
      <c r="B30" s="5" t="s">
        <v>1658</v>
      </c>
      <c r="C30" s="5" t="s">
        <v>3374</v>
      </c>
      <c r="D30" s="6" t="s">
        <v>3375</v>
      </c>
      <c r="E30" s="5" t="s">
        <v>131</v>
      </c>
    </row>
    <row r="31" customFormat="false" ht="24" hidden="false" customHeight="true" outlineLevel="0" collapsed="false">
      <c r="A31" s="7" t="s">
        <v>3376</v>
      </c>
      <c r="B31" s="7" t="s">
        <v>860</v>
      </c>
      <c r="C31" s="7" t="s">
        <v>3377</v>
      </c>
      <c r="D31" s="8" t="s">
        <v>3378</v>
      </c>
      <c r="E31" s="7" t="s">
        <v>494</v>
      </c>
    </row>
    <row r="32" customFormat="false" ht="24" hidden="false" customHeight="true" outlineLevel="0" collapsed="false">
      <c r="A32" s="5" t="s">
        <v>3379</v>
      </c>
      <c r="B32" s="5" t="s">
        <v>864</v>
      </c>
      <c r="C32" s="5" t="s">
        <v>3380</v>
      </c>
      <c r="D32" s="6" t="s">
        <v>3381</v>
      </c>
      <c r="E32" s="5" t="s">
        <v>494</v>
      </c>
    </row>
    <row r="33" customFormat="false" ht="24" hidden="false" customHeight="true" outlineLevel="0" collapsed="false">
      <c r="A33" s="7" t="s">
        <v>3382</v>
      </c>
      <c r="B33" s="7" t="s">
        <v>864</v>
      </c>
      <c r="C33" s="7" t="s">
        <v>3383</v>
      </c>
      <c r="D33" s="8" t="s">
        <v>3384</v>
      </c>
      <c r="E33" s="7" t="s">
        <v>43</v>
      </c>
    </row>
    <row r="34" customFormat="false" ht="24" hidden="false" customHeight="true" outlineLevel="0" collapsed="false">
      <c r="A34" s="5" t="s">
        <v>3385</v>
      </c>
      <c r="B34" s="5" t="s">
        <v>811</v>
      </c>
      <c r="C34" s="5" t="s">
        <v>3386</v>
      </c>
      <c r="D34" s="6" t="s">
        <v>3387</v>
      </c>
      <c r="E34" s="5" t="s">
        <v>494</v>
      </c>
    </row>
    <row r="35" customFormat="false" ht="24" hidden="false" customHeight="true" outlineLevel="0" collapsed="false">
      <c r="A35" s="7" t="s">
        <v>3388</v>
      </c>
      <c r="B35" s="7" t="s">
        <v>2088</v>
      </c>
      <c r="C35" s="7" t="s">
        <v>3389</v>
      </c>
      <c r="D35" s="8" t="s">
        <v>3390</v>
      </c>
      <c r="E35" s="7" t="s">
        <v>41</v>
      </c>
    </row>
  </sheetData>
  <autoFilter ref="A5:E35"/>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8"/>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4" min="3" style="0" width="26"/>
    <col collapsed="false" customWidth="true" hidden="false" outlineLevel="0" max="5" min="5" style="0" width="44"/>
    <col collapsed="false" customWidth="true" hidden="false" outlineLevel="0" max="6" min="6" style="0" width="66"/>
  </cols>
  <sheetData>
    <row r="1" customFormat="false" ht="19.5" hidden="false" customHeight="true" outlineLevel="0" collapsed="false">
      <c r="A1" s="47" t="s">
        <v>3006</v>
      </c>
      <c r="B1" s="47"/>
      <c r="C1" s="47"/>
      <c r="D1" s="47"/>
      <c r="E1" s="47"/>
      <c r="F1" s="47"/>
    </row>
    <row r="2" customFormat="false" ht="27.75" hidden="false" customHeight="true" outlineLevel="0" collapsed="false">
      <c r="A2" s="48" t="s">
        <v>2428</v>
      </c>
      <c r="B2" s="48"/>
      <c r="C2" s="48"/>
      <c r="D2" s="48"/>
      <c r="E2" s="48"/>
      <c r="F2" s="48"/>
    </row>
    <row r="3" customFormat="false" ht="30" hidden="false" customHeight="true" outlineLevel="0" collapsed="false">
      <c r="A3" s="49" t="s">
        <v>3391</v>
      </c>
      <c r="B3" s="49"/>
      <c r="C3" s="49"/>
      <c r="D3" s="49"/>
      <c r="E3" s="49"/>
      <c r="F3" s="49"/>
    </row>
    <row r="4" customFormat="false" ht="6" hidden="false" customHeight="true" outlineLevel="0" collapsed="false"/>
    <row r="5" customFormat="false" ht="30" hidden="false" customHeight="true" outlineLevel="0" collapsed="false">
      <c r="A5" s="50" t="s">
        <v>81</v>
      </c>
      <c r="B5" s="50" t="s">
        <v>3392</v>
      </c>
      <c r="C5" s="50" t="s">
        <v>1562</v>
      </c>
      <c r="D5" s="50" t="s">
        <v>3393</v>
      </c>
      <c r="E5" s="50" t="s">
        <v>3394</v>
      </c>
      <c r="F5" s="50" t="s">
        <v>3395</v>
      </c>
    </row>
    <row r="6" customFormat="false" ht="25.5" hidden="false" customHeight="true" outlineLevel="0" collapsed="false">
      <c r="A6" s="5" t="s">
        <v>107</v>
      </c>
      <c r="B6" s="5" t="s">
        <v>3396</v>
      </c>
      <c r="C6" s="5" t="s">
        <v>420</v>
      </c>
      <c r="D6" s="5" t="s">
        <v>3397</v>
      </c>
      <c r="E6" s="5" t="s">
        <v>422</v>
      </c>
      <c r="F6" s="6" t="s">
        <v>3398</v>
      </c>
    </row>
    <row r="7" customFormat="false" ht="25.5" hidden="false" customHeight="true" outlineLevel="0" collapsed="false">
      <c r="A7" s="7" t="s">
        <v>99</v>
      </c>
      <c r="B7" s="7" t="s">
        <v>2212</v>
      </c>
      <c r="C7" s="7" t="s">
        <v>420</v>
      </c>
      <c r="D7" s="7" t="s">
        <v>420</v>
      </c>
      <c r="E7" s="7" t="s">
        <v>3399</v>
      </c>
      <c r="F7" s="8" t="s">
        <v>3400</v>
      </c>
    </row>
    <row r="8" customFormat="false" ht="25.5" hidden="false" customHeight="true" outlineLevel="0" collapsed="false">
      <c r="A8" s="5" t="s">
        <v>104</v>
      </c>
      <c r="B8" s="5" t="s">
        <v>3401</v>
      </c>
      <c r="C8" s="5" t="s">
        <v>420</v>
      </c>
      <c r="D8" s="5" t="s">
        <v>420</v>
      </c>
      <c r="E8" s="5" t="s">
        <v>3402</v>
      </c>
      <c r="F8" s="6" t="s">
        <v>3403</v>
      </c>
    </row>
    <row r="9" customFormat="false" ht="25.5" hidden="false" customHeight="true" outlineLevel="0" collapsed="false">
      <c r="A9" s="7" t="s">
        <v>41</v>
      </c>
      <c r="B9" s="7" t="s">
        <v>3404</v>
      </c>
      <c r="C9" s="7" t="s">
        <v>420</v>
      </c>
      <c r="D9" s="7" t="s">
        <v>420</v>
      </c>
      <c r="E9" s="7" t="s">
        <v>3405</v>
      </c>
      <c r="F9" s="8" t="s">
        <v>3406</v>
      </c>
    </row>
    <row r="10" customFormat="false" ht="25.5" hidden="false" customHeight="true" outlineLevel="0" collapsed="false">
      <c r="A10" s="5" t="s">
        <v>114</v>
      </c>
      <c r="B10" s="5" t="s">
        <v>3407</v>
      </c>
      <c r="C10" s="5" t="s">
        <v>420</v>
      </c>
      <c r="D10" s="5" t="s">
        <v>420</v>
      </c>
      <c r="E10" s="5" t="s">
        <v>3408</v>
      </c>
      <c r="F10" s="6" t="s">
        <v>3409</v>
      </c>
    </row>
    <row r="11" customFormat="false" ht="25.5" hidden="false" customHeight="true" outlineLevel="0" collapsed="false">
      <c r="A11" s="7" t="s">
        <v>110</v>
      </c>
      <c r="B11" s="7" t="s">
        <v>3410</v>
      </c>
      <c r="C11" s="7" t="s">
        <v>420</v>
      </c>
      <c r="D11" s="7" t="s">
        <v>420</v>
      </c>
      <c r="E11" s="7" t="s">
        <v>3411</v>
      </c>
      <c r="F11" s="8" t="s">
        <v>3409</v>
      </c>
    </row>
    <row r="12" customFormat="false" ht="25.5" hidden="false" customHeight="true" outlineLevel="0" collapsed="false">
      <c r="A12" s="5" t="s">
        <v>117</v>
      </c>
      <c r="B12" s="5" t="s">
        <v>3412</v>
      </c>
      <c r="C12" s="5" t="s">
        <v>3413</v>
      </c>
      <c r="D12" s="5" t="s">
        <v>3414</v>
      </c>
      <c r="E12" s="5" t="s">
        <v>3415</v>
      </c>
      <c r="F12" s="6" t="s">
        <v>3416</v>
      </c>
    </row>
    <row r="13" customFormat="false" ht="25.5" hidden="false" customHeight="true" outlineLevel="0" collapsed="false">
      <c r="A13" s="7" t="s">
        <v>91</v>
      </c>
      <c r="B13" s="7" t="s">
        <v>3417</v>
      </c>
      <c r="C13" s="7" t="s">
        <v>420</v>
      </c>
      <c r="D13" s="7" t="s">
        <v>3418</v>
      </c>
      <c r="E13" s="7" t="s">
        <v>3419</v>
      </c>
      <c r="F13" s="8" t="s">
        <v>3420</v>
      </c>
    </row>
    <row r="14" customFormat="false" ht="25.5" hidden="false" customHeight="true" outlineLevel="0" collapsed="false">
      <c r="A14" s="5" t="s">
        <v>131</v>
      </c>
      <c r="B14" s="5" t="s">
        <v>3421</v>
      </c>
      <c r="C14" s="5" t="s">
        <v>420</v>
      </c>
      <c r="D14" s="5" t="s">
        <v>420</v>
      </c>
      <c r="E14" s="5" t="s">
        <v>3422</v>
      </c>
      <c r="F14" s="6" t="s">
        <v>3423</v>
      </c>
    </row>
    <row r="15" customFormat="false" ht="25.5" hidden="false" customHeight="true" outlineLevel="0" collapsed="false">
      <c r="A15" s="7" t="s">
        <v>124</v>
      </c>
      <c r="B15" s="7" t="s">
        <v>3424</v>
      </c>
      <c r="C15" s="7" t="s">
        <v>3425</v>
      </c>
      <c r="D15" s="7" t="s">
        <v>3426</v>
      </c>
      <c r="E15" s="7" t="s">
        <v>422</v>
      </c>
      <c r="F15" s="8" t="s">
        <v>3427</v>
      </c>
    </row>
    <row r="16" customFormat="false" ht="25.5" hidden="false" customHeight="true" outlineLevel="0" collapsed="false">
      <c r="A16" s="5" t="s">
        <v>135</v>
      </c>
      <c r="B16" s="5" t="s">
        <v>3428</v>
      </c>
      <c r="C16" s="5" t="s">
        <v>3429</v>
      </c>
      <c r="D16" s="5" t="s">
        <v>3430</v>
      </c>
      <c r="E16" s="5" t="s">
        <v>422</v>
      </c>
      <c r="F16" s="6" t="s">
        <v>3431</v>
      </c>
    </row>
    <row r="17" customFormat="false" ht="25.5" hidden="false" customHeight="true" outlineLevel="0" collapsed="false">
      <c r="A17" s="7" t="s">
        <v>127</v>
      </c>
      <c r="B17" s="7" t="s">
        <v>3432</v>
      </c>
      <c r="C17" s="7" t="s">
        <v>420</v>
      </c>
      <c r="D17" s="7" t="s">
        <v>3433</v>
      </c>
      <c r="E17" s="7" t="s">
        <v>3434</v>
      </c>
      <c r="F17" s="8" t="s">
        <v>3435</v>
      </c>
    </row>
    <row r="18" customFormat="false" ht="25.5" hidden="false" customHeight="true" outlineLevel="0" collapsed="false">
      <c r="A18" s="5" t="s">
        <v>45</v>
      </c>
      <c r="B18" s="5" t="s">
        <v>3436</v>
      </c>
      <c r="C18" s="5" t="s">
        <v>420</v>
      </c>
      <c r="D18" s="5" t="s">
        <v>3437</v>
      </c>
      <c r="E18" s="5" t="s">
        <v>3438</v>
      </c>
      <c r="F18" s="6" t="s">
        <v>3439</v>
      </c>
    </row>
    <row r="19" customFormat="false" ht="25.5" hidden="false" customHeight="true" outlineLevel="0" collapsed="false">
      <c r="A19" s="7" t="s">
        <v>142</v>
      </c>
      <c r="B19" s="7" t="s">
        <v>3436</v>
      </c>
      <c r="C19" s="7" t="s">
        <v>3440</v>
      </c>
      <c r="D19" s="7" t="s">
        <v>3440</v>
      </c>
      <c r="E19" s="7" t="s">
        <v>422</v>
      </c>
      <c r="F19" s="8" t="s">
        <v>3441</v>
      </c>
    </row>
    <row r="20" customFormat="false" ht="25.5" hidden="false" customHeight="true" outlineLevel="0" collapsed="false">
      <c r="A20" s="5" t="s">
        <v>43</v>
      </c>
      <c r="B20" s="5" t="s">
        <v>3442</v>
      </c>
      <c r="C20" s="5" t="s">
        <v>420</v>
      </c>
      <c r="D20" s="5" t="s">
        <v>420</v>
      </c>
      <c r="E20" s="5" t="s">
        <v>3443</v>
      </c>
      <c r="F20" s="6" t="s">
        <v>3444</v>
      </c>
    </row>
    <row r="21" customFormat="false" ht="25.5" hidden="false" customHeight="true" outlineLevel="0" collapsed="false">
      <c r="A21" s="7" t="s">
        <v>158</v>
      </c>
      <c r="B21" s="7" t="s">
        <v>3445</v>
      </c>
      <c r="C21" s="7" t="s">
        <v>3446</v>
      </c>
      <c r="D21" s="7" t="s">
        <v>3447</v>
      </c>
      <c r="E21" s="7" t="s">
        <v>3448</v>
      </c>
      <c r="F21" s="8" t="s">
        <v>3449</v>
      </c>
    </row>
  </sheetData>
  <autoFilter ref="A5:F21"/>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358"/>
    <pageSetUpPr fitToPage="tru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 collapsed="false" customWidth="true" hidden="false" outlineLevel="0" max="3" min="3" style="0" width="26"/>
    <col collapsed="false" customWidth="true" hidden="false" outlineLevel="0" max="4" min="4" style="0" width="40"/>
    <col collapsed="false" customWidth="true" hidden="false" outlineLevel="0" max="5" min="5" style="0" width="22"/>
  </cols>
  <sheetData>
    <row r="1" customFormat="false" ht="19.5" hidden="false" customHeight="true" outlineLevel="0" collapsed="false">
      <c r="A1" s="47" t="s">
        <v>3006</v>
      </c>
      <c r="B1" s="47"/>
      <c r="C1" s="47"/>
      <c r="D1" s="47"/>
      <c r="E1" s="47"/>
    </row>
    <row r="2" customFormat="false" ht="27.75" hidden="false" customHeight="true" outlineLevel="0" collapsed="false">
      <c r="A2" s="48" t="s">
        <v>3450</v>
      </c>
      <c r="B2" s="48"/>
      <c r="C2" s="48"/>
      <c r="D2" s="48"/>
      <c r="E2" s="48"/>
    </row>
    <row r="3" customFormat="false" ht="30" hidden="false" customHeight="true" outlineLevel="0" collapsed="false">
      <c r="A3" s="49" t="s">
        <v>3451</v>
      </c>
      <c r="B3" s="49"/>
      <c r="C3" s="49"/>
      <c r="D3" s="49"/>
      <c r="E3" s="49"/>
    </row>
    <row r="4" customFormat="false" ht="6" hidden="false" customHeight="true" outlineLevel="0" collapsed="false"/>
    <row r="5" customFormat="false" ht="30" hidden="false" customHeight="true" outlineLevel="0" collapsed="false">
      <c r="A5" s="50" t="s">
        <v>2255</v>
      </c>
      <c r="B5" s="50" t="s">
        <v>2333</v>
      </c>
      <c r="C5" s="50" t="s">
        <v>3452</v>
      </c>
      <c r="D5" s="50" t="s">
        <v>173</v>
      </c>
      <c r="E5" s="50" t="s">
        <v>40</v>
      </c>
    </row>
    <row r="6" customFormat="false" ht="31.5" hidden="false" customHeight="true" outlineLevel="0" collapsed="false">
      <c r="A6" s="5" t="s">
        <v>3453</v>
      </c>
      <c r="B6" s="6" t="s">
        <v>3454</v>
      </c>
      <c r="C6" s="5" t="s">
        <v>831</v>
      </c>
      <c r="D6" s="5" t="s">
        <v>3455</v>
      </c>
      <c r="E6" s="5" t="s">
        <v>45</v>
      </c>
    </row>
    <row r="7" customFormat="false" ht="31.5" hidden="false" customHeight="true" outlineLevel="0" collapsed="false">
      <c r="A7" s="7" t="s">
        <v>3456</v>
      </c>
      <c r="B7" s="8" t="s">
        <v>3457</v>
      </c>
      <c r="C7" s="7" t="s">
        <v>3442</v>
      </c>
      <c r="D7" s="7" t="s">
        <v>3458</v>
      </c>
      <c r="E7" s="7" t="s">
        <v>45</v>
      </c>
    </row>
    <row r="8" customFormat="false" ht="31.5" hidden="false" customHeight="true" outlineLevel="0" collapsed="false">
      <c r="A8" s="5" t="s">
        <v>3459</v>
      </c>
      <c r="B8" s="6" t="s">
        <v>3460</v>
      </c>
      <c r="C8" s="5" t="s">
        <v>3461</v>
      </c>
      <c r="D8" s="5" t="s">
        <v>3462</v>
      </c>
      <c r="E8" s="5" t="s">
        <v>43</v>
      </c>
    </row>
    <row r="9" customFormat="false" ht="31.5" hidden="false" customHeight="true" outlineLevel="0" collapsed="false">
      <c r="A9" s="7" t="s">
        <v>3463</v>
      </c>
      <c r="B9" s="8" t="s">
        <v>3464</v>
      </c>
      <c r="C9" s="7" t="s">
        <v>831</v>
      </c>
      <c r="D9" s="7" t="s">
        <v>3465</v>
      </c>
      <c r="E9" s="7" t="s">
        <v>45</v>
      </c>
    </row>
    <row r="10" customFormat="false" ht="31.5" hidden="false" customHeight="true" outlineLevel="0" collapsed="false">
      <c r="A10" s="5" t="s">
        <v>3466</v>
      </c>
      <c r="B10" s="6" t="s">
        <v>3467</v>
      </c>
      <c r="C10" s="5" t="s">
        <v>3468</v>
      </c>
      <c r="D10" s="5" t="s">
        <v>3469</v>
      </c>
      <c r="E10" s="5" t="s">
        <v>158</v>
      </c>
    </row>
    <row r="11" customFormat="false" ht="31.5" hidden="false" customHeight="true" outlineLevel="0" collapsed="false">
      <c r="A11" s="7" t="s">
        <v>3470</v>
      </c>
      <c r="B11" s="8" t="s">
        <v>3471</v>
      </c>
      <c r="C11" s="7" t="s">
        <v>835</v>
      </c>
      <c r="D11" s="7" t="s">
        <v>1806</v>
      </c>
      <c r="E11" s="7" t="s">
        <v>158</v>
      </c>
    </row>
    <row r="12" customFormat="false" ht="31.5" hidden="false" customHeight="true" outlineLevel="0" collapsed="false">
      <c r="A12" s="5" t="s">
        <v>3472</v>
      </c>
      <c r="B12" s="6" t="s">
        <v>3473</v>
      </c>
      <c r="C12" s="5" t="s">
        <v>3442</v>
      </c>
      <c r="D12" s="5" t="s">
        <v>3474</v>
      </c>
      <c r="E12" s="5" t="s">
        <v>45</v>
      </c>
    </row>
    <row r="13" customFormat="false" ht="31.5" hidden="false" customHeight="true" outlineLevel="0" collapsed="false">
      <c r="A13" s="7" t="s">
        <v>3475</v>
      </c>
      <c r="B13" s="8" t="s">
        <v>3476</v>
      </c>
      <c r="C13" s="7" t="s">
        <v>3442</v>
      </c>
      <c r="D13" s="7" t="s">
        <v>2088</v>
      </c>
      <c r="E13" s="7" t="s">
        <v>41</v>
      </c>
    </row>
    <row r="14" customFormat="false" ht="31.5" hidden="false" customHeight="true" outlineLevel="0" collapsed="false">
      <c r="A14" s="5" t="s">
        <v>3477</v>
      </c>
      <c r="B14" s="6" t="s">
        <v>3478</v>
      </c>
      <c r="C14" s="5" t="s">
        <v>3442</v>
      </c>
      <c r="D14" s="5" t="s">
        <v>3479</v>
      </c>
      <c r="E14" s="5" t="s">
        <v>158</v>
      </c>
    </row>
    <row r="15" customFormat="false" ht="31.5" hidden="false" customHeight="true" outlineLevel="0" collapsed="false">
      <c r="A15" s="7" t="s">
        <v>3480</v>
      </c>
      <c r="B15" s="8" t="s">
        <v>3481</v>
      </c>
      <c r="C15" s="7" t="s">
        <v>3442</v>
      </c>
      <c r="D15" s="7" t="s">
        <v>3482</v>
      </c>
      <c r="E15" s="7" t="s">
        <v>45</v>
      </c>
    </row>
    <row r="16" customFormat="false" ht="31.5" hidden="false" customHeight="true" outlineLevel="0" collapsed="false">
      <c r="A16" s="5" t="s">
        <v>3483</v>
      </c>
      <c r="B16" s="6" t="s">
        <v>3484</v>
      </c>
      <c r="C16" s="5" t="s">
        <v>3468</v>
      </c>
      <c r="D16" s="5" t="s">
        <v>3469</v>
      </c>
      <c r="E16" s="5" t="s">
        <v>43</v>
      </c>
    </row>
    <row r="17" customFormat="false" ht="31.5" hidden="false" customHeight="true" outlineLevel="0" collapsed="false">
      <c r="A17" s="7" t="s">
        <v>3485</v>
      </c>
      <c r="B17" s="8" t="s">
        <v>3486</v>
      </c>
      <c r="C17" s="7" t="s">
        <v>3442</v>
      </c>
      <c r="D17" s="7" t="s">
        <v>3487</v>
      </c>
      <c r="E17" s="7" t="s">
        <v>43</v>
      </c>
    </row>
  </sheetData>
  <autoFilter ref="A5:E17"/>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A8"/>
    <pageSetUpPr fitToPage="true"/>
  </sheetPr>
  <dimension ref="A1:T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8"/>
    <col collapsed="false" customWidth="true" hidden="false" outlineLevel="0" max="4" min="4" style="0" width="10"/>
    <col collapsed="false" customWidth="true" hidden="false" outlineLevel="0" max="5" min="5" style="0" width="14"/>
    <col collapsed="false" customWidth="true" hidden="false" outlineLevel="0" max="7" min="6" style="0" width="16"/>
    <col collapsed="false" customWidth="true" hidden="false" outlineLevel="0" max="8" min="8" style="0" width="11"/>
    <col collapsed="false" customWidth="true" hidden="false" outlineLevel="0" max="9" min="9" style="0" width="12"/>
    <col collapsed="false" customWidth="true" hidden="false" outlineLevel="0" max="10" min="10" style="0" width="10"/>
    <col collapsed="false" customWidth="true" hidden="false" outlineLevel="0" max="11" min="11" style="0" width="9"/>
    <col collapsed="false" customWidth="true" hidden="false" outlineLevel="0" max="12" min="12" style="0" width="13"/>
    <col collapsed="false" customWidth="true" hidden="false" outlineLevel="0" max="13" min="13" style="0" width="10"/>
    <col collapsed="false" customWidth="true" hidden="false" outlineLevel="0" max="14" min="14" style="0" width="11"/>
    <col collapsed="false" customWidth="true" hidden="false" outlineLevel="0" max="15" min="15" style="0" width="14"/>
    <col collapsed="false" customWidth="true" hidden="false" outlineLevel="0" max="17" min="16" style="0" width="15"/>
    <col collapsed="false" customWidth="true" hidden="false" outlineLevel="0" max="18" min="18" style="0" width="12"/>
    <col collapsed="false" customWidth="true" hidden="false" outlineLevel="0" max="19" min="19" style="0" width="18"/>
    <col collapsed="false" customWidth="true" hidden="false" outlineLevel="0" max="20" min="20" style="0" width="22"/>
  </cols>
  <sheetData>
    <row r="1" customFormat="false" ht="19.5" hidden="false" customHeight="true" outlineLevel="0" collapsed="false">
      <c r="A1" s="51" t="s">
        <v>3488</v>
      </c>
      <c r="B1" s="51"/>
      <c r="C1" s="51"/>
      <c r="D1" s="51"/>
      <c r="E1" s="51"/>
      <c r="F1" s="51"/>
      <c r="G1" s="51"/>
      <c r="H1" s="51"/>
      <c r="I1" s="51"/>
      <c r="J1" s="51"/>
      <c r="K1" s="51"/>
      <c r="L1" s="51"/>
      <c r="M1" s="51"/>
      <c r="N1" s="51"/>
      <c r="O1" s="51"/>
      <c r="P1" s="51"/>
      <c r="Q1" s="51"/>
      <c r="R1" s="51"/>
      <c r="S1" s="51"/>
      <c r="T1" s="51"/>
    </row>
    <row r="2" customFormat="false" ht="27.75" hidden="false" customHeight="true" outlineLevel="0" collapsed="false">
      <c r="A2" s="52" t="s">
        <v>3489</v>
      </c>
      <c r="B2" s="52"/>
      <c r="C2" s="52"/>
      <c r="D2" s="52"/>
      <c r="E2" s="52"/>
      <c r="F2" s="52"/>
      <c r="G2" s="52"/>
      <c r="H2" s="52"/>
      <c r="I2" s="52"/>
      <c r="J2" s="52"/>
      <c r="K2" s="52"/>
      <c r="L2" s="52"/>
      <c r="M2" s="52"/>
      <c r="N2" s="52"/>
      <c r="O2" s="52"/>
      <c r="P2" s="52"/>
      <c r="Q2" s="52"/>
      <c r="R2" s="52"/>
      <c r="S2" s="52"/>
      <c r="T2" s="52"/>
    </row>
    <row r="3" customFormat="false" ht="30" hidden="false" customHeight="true" outlineLevel="0" collapsed="false">
      <c r="A3" s="53" t="s">
        <v>3490</v>
      </c>
      <c r="B3" s="53"/>
      <c r="C3" s="53"/>
      <c r="D3" s="53"/>
      <c r="E3" s="53"/>
      <c r="F3" s="53"/>
      <c r="G3" s="53"/>
      <c r="H3" s="53"/>
      <c r="I3" s="53"/>
      <c r="J3" s="53"/>
      <c r="K3" s="53"/>
      <c r="L3" s="53"/>
      <c r="M3" s="53"/>
      <c r="N3" s="53"/>
      <c r="O3" s="53"/>
      <c r="P3" s="53"/>
      <c r="Q3" s="53"/>
      <c r="R3" s="53"/>
      <c r="S3" s="53"/>
      <c r="T3" s="53"/>
    </row>
    <row r="4" customFormat="false" ht="6" hidden="false" customHeight="true" outlineLevel="0" collapsed="false"/>
    <row r="5" customFormat="false" ht="30" hidden="false" customHeight="true" outlineLevel="0" collapsed="false">
      <c r="A5" s="54" t="s">
        <v>3491</v>
      </c>
      <c r="B5" s="54" t="s">
        <v>346</v>
      </c>
      <c r="C5" s="54" t="s">
        <v>338</v>
      </c>
      <c r="D5" s="54" t="s">
        <v>168</v>
      </c>
      <c r="E5" s="54" t="s">
        <v>603</v>
      </c>
      <c r="F5" s="54" t="s">
        <v>1009</v>
      </c>
      <c r="G5" s="54" t="s">
        <v>3492</v>
      </c>
      <c r="H5" s="54" t="s">
        <v>3493</v>
      </c>
      <c r="I5" s="54" t="s">
        <v>5</v>
      </c>
      <c r="J5" s="54" t="s">
        <v>390</v>
      </c>
      <c r="K5" s="54" t="s">
        <v>396</v>
      </c>
      <c r="L5" s="54" t="s">
        <v>401</v>
      </c>
      <c r="M5" s="54" t="s">
        <v>406</v>
      </c>
      <c r="N5" s="54" t="s">
        <v>411</v>
      </c>
      <c r="O5" s="54" t="s">
        <v>3494</v>
      </c>
      <c r="P5" s="54" t="s">
        <v>3495</v>
      </c>
      <c r="Q5" s="54" t="s">
        <v>3496</v>
      </c>
      <c r="R5" s="54" t="s">
        <v>3497</v>
      </c>
      <c r="S5" s="54" t="s">
        <v>3498</v>
      </c>
      <c r="T5" s="54" t="s">
        <v>2700</v>
      </c>
    </row>
    <row r="6" customFormat="false" ht="15.75" hidden="false" customHeight="true" outlineLevel="0" collapsed="false">
      <c r="A6" s="5" t="s">
        <v>3499</v>
      </c>
      <c r="B6" s="55" t="n">
        <v>46086</v>
      </c>
      <c r="C6" s="15" t="s">
        <v>345</v>
      </c>
      <c r="D6" s="5" t="s">
        <v>565</v>
      </c>
      <c r="E6" s="5" t="s">
        <v>670</v>
      </c>
      <c r="F6" s="5" t="s">
        <v>3500</v>
      </c>
      <c r="G6" s="5" t="s">
        <v>3501</v>
      </c>
      <c r="H6" s="5" t="s">
        <v>422</v>
      </c>
      <c r="I6" s="5" t="s">
        <v>3502</v>
      </c>
      <c r="J6" s="15" t="n">
        <v>0</v>
      </c>
      <c r="K6" s="15" t="n">
        <v>0</v>
      </c>
      <c r="L6" s="15" t="n">
        <v>0</v>
      </c>
      <c r="M6" s="15" t="n">
        <v>0</v>
      </c>
      <c r="N6" s="15" t="n">
        <v>0</v>
      </c>
      <c r="O6" s="15" t="n">
        <v>20</v>
      </c>
      <c r="P6" s="15" t="n">
        <v>0</v>
      </c>
      <c r="Q6" s="56" t="n">
        <v>0</v>
      </c>
      <c r="R6" s="55" t="n">
        <v>46095</v>
      </c>
      <c r="S6" s="5" t="s">
        <v>3503</v>
      </c>
      <c r="T6" s="5" t="s">
        <v>3504</v>
      </c>
    </row>
    <row r="7" customFormat="false" ht="15.75" hidden="false" customHeight="true" outlineLevel="0" collapsed="false">
      <c r="A7" s="7" t="s">
        <v>3505</v>
      </c>
      <c r="B7" s="57" t="n">
        <v>46090</v>
      </c>
      <c r="C7" s="16" t="s">
        <v>345</v>
      </c>
      <c r="D7" s="7" t="s">
        <v>575</v>
      </c>
      <c r="E7" s="7" t="s">
        <v>705</v>
      </c>
      <c r="F7" s="7" t="s">
        <v>3506</v>
      </c>
      <c r="G7" s="7" t="s">
        <v>3507</v>
      </c>
      <c r="H7" s="7" t="s">
        <v>422</v>
      </c>
      <c r="I7" s="7" t="s">
        <v>3502</v>
      </c>
      <c r="J7" s="16" t="n">
        <v>0</v>
      </c>
      <c r="K7" s="16" t="n">
        <v>0</v>
      </c>
      <c r="L7" s="16" t="n">
        <v>0</v>
      </c>
      <c r="M7" s="16" t="n">
        <v>0</v>
      </c>
      <c r="N7" s="16" t="n">
        <v>0</v>
      </c>
      <c r="O7" s="16" t="n">
        <v>5</v>
      </c>
      <c r="P7" s="16" t="n">
        <v>0</v>
      </c>
      <c r="Q7" s="58" t="n">
        <v>0</v>
      </c>
      <c r="R7" s="57" t="n">
        <v>46108</v>
      </c>
      <c r="S7" s="7" t="s">
        <v>3503</v>
      </c>
      <c r="T7" s="7" t="s">
        <v>1210</v>
      </c>
    </row>
    <row r="8" customFormat="false" ht="15.75" hidden="false" customHeight="true" outlineLevel="0" collapsed="false">
      <c r="A8" s="5" t="s">
        <v>3508</v>
      </c>
      <c r="B8" s="55" t="n">
        <v>46094</v>
      </c>
      <c r="C8" s="15" t="s">
        <v>345</v>
      </c>
      <c r="D8" s="5" t="s">
        <v>584</v>
      </c>
      <c r="E8" s="5" t="s">
        <v>732</v>
      </c>
      <c r="F8" s="5" t="s">
        <v>3500</v>
      </c>
      <c r="G8" s="5" t="s">
        <v>3509</v>
      </c>
      <c r="H8" s="5" t="s">
        <v>420</v>
      </c>
      <c r="I8" s="5" t="s">
        <v>3502</v>
      </c>
      <c r="J8" s="15" t="n">
        <v>0</v>
      </c>
      <c r="K8" s="15" t="n">
        <v>0</v>
      </c>
      <c r="L8" s="15" t="n">
        <v>0</v>
      </c>
      <c r="M8" s="15" t="n">
        <v>0</v>
      </c>
      <c r="N8" s="15" t="n">
        <v>0</v>
      </c>
      <c r="O8" s="15" t="n">
        <v>20</v>
      </c>
      <c r="P8" s="15" t="n">
        <v>0</v>
      </c>
      <c r="Q8" s="56" t="n">
        <v>0</v>
      </c>
      <c r="R8" s="55" t="n">
        <v>46121</v>
      </c>
      <c r="S8" s="5" t="s">
        <v>3503</v>
      </c>
      <c r="T8" s="5" t="s">
        <v>3510</v>
      </c>
    </row>
    <row r="9" customFormat="false" ht="15.75" hidden="false" customHeight="true" outlineLevel="0" collapsed="false">
      <c r="A9" s="7" t="s">
        <v>3511</v>
      </c>
      <c r="B9" s="57" t="n">
        <v>46098</v>
      </c>
      <c r="C9" s="16" t="s">
        <v>345</v>
      </c>
      <c r="D9" s="7" t="s">
        <v>554</v>
      </c>
      <c r="E9" s="7" t="s">
        <v>614</v>
      </c>
      <c r="F9" s="7" t="s">
        <v>3506</v>
      </c>
      <c r="G9" s="7" t="s">
        <v>3512</v>
      </c>
      <c r="H9" s="7" t="s">
        <v>422</v>
      </c>
      <c r="I9" s="7" t="s">
        <v>3502</v>
      </c>
      <c r="J9" s="16" t="n">
        <v>0</v>
      </c>
      <c r="K9" s="16" t="n">
        <v>0</v>
      </c>
      <c r="L9" s="16" t="n">
        <v>0</v>
      </c>
      <c r="M9" s="16" t="n">
        <v>0</v>
      </c>
      <c r="N9" s="16" t="n">
        <v>0</v>
      </c>
      <c r="O9" s="16" t="n">
        <v>5</v>
      </c>
      <c r="P9" s="16" t="n">
        <v>0</v>
      </c>
      <c r="Q9" s="58" t="n">
        <v>0</v>
      </c>
      <c r="R9" s="57" t="n">
        <v>46134</v>
      </c>
      <c r="S9" s="7" t="s">
        <v>3503</v>
      </c>
      <c r="T9" s="7" t="s">
        <v>3513</v>
      </c>
    </row>
    <row r="10" customFormat="false" ht="15.75" hidden="false" customHeight="true" outlineLevel="0" collapsed="false">
      <c r="A10" s="5" t="s">
        <v>3514</v>
      </c>
      <c r="B10" s="55" t="n">
        <v>46102</v>
      </c>
      <c r="C10" s="15" t="s">
        <v>353</v>
      </c>
      <c r="D10" s="5" t="s">
        <v>565</v>
      </c>
      <c r="E10" s="5" t="s">
        <v>666</v>
      </c>
      <c r="F10" s="5" t="s">
        <v>3506</v>
      </c>
      <c r="G10" s="5" t="s">
        <v>3507</v>
      </c>
      <c r="H10" s="5" t="s">
        <v>422</v>
      </c>
      <c r="I10" s="5" t="s">
        <v>3502</v>
      </c>
      <c r="J10" s="15" t="n">
        <v>2</v>
      </c>
      <c r="K10" s="15" t="n">
        <v>0</v>
      </c>
      <c r="L10" s="15" t="n">
        <v>1</v>
      </c>
      <c r="M10" s="15" t="n">
        <v>2</v>
      </c>
      <c r="N10" s="15" t="n">
        <v>0</v>
      </c>
      <c r="O10" s="15" t="n">
        <v>20</v>
      </c>
      <c r="P10" s="15" t="n">
        <v>1</v>
      </c>
      <c r="Q10" s="56" t="n">
        <v>4.9</v>
      </c>
      <c r="R10" s="55" t="n">
        <v>46147</v>
      </c>
      <c r="S10" s="5" t="s">
        <v>2934</v>
      </c>
      <c r="T10" s="5" t="s">
        <v>3515</v>
      </c>
    </row>
    <row r="11" customFormat="false" ht="15.75" hidden="false" customHeight="true" outlineLevel="0" collapsed="false">
      <c r="A11" s="7" t="s">
        <v>3516</v>
      </c>
      <c r="B11" s="57" t="n">
        <v>46106</v>
      </c>
      <c r="C11" s="16" t="s">
        <v>353</v>
      </c>
      <c r="D11" s="7" t="s">
        <v>575</v>
      </c>
      <c r="E11" s="7" t="s">
        <v>701</v>
      </c>
      <c r="F11" s="7" t="s">
        <v>3500</v>
      </c>
      <c r="G11" s="7" t="s">
        <v>3509</v>
      </c>
      <c r="H11" s="7" t="s">
        <v>420</v>
      </c>
      <c r="I11" s="7" t="s">
        <v>3502</v>
      </c>
      <c r="J11" s="16" t="n">
        <v>0</v>
      </c>
      <c r="K11" s="16" t="n">
        <v>1</v>
      </c>
      <c r="L11" s="16" t="n">
        <v>2</v>
      </c>
      <c r="M11" s="16" t="n">
        <v>0</v>
      </c>
      <c r="N11" s="16" t="n">
        <v>1</v>
      </c>
      <c r="O11" s="16" t="n">
        <v>5</v>
      </c>
      <c r="P11" s="16" t="n">
        <v>0</v>
      </c>
      <c r="Q11" s="58" t="n">
        <v>0</v>
      </c>
      <c r="R11" s="57" t="n">
        <v>46160</v>
      </c>
      <c r="S11" s="7" t="s">
        <v>2934</v>
      </c>
      <c r="T11" s="7" t="s">
        <v>3517</v>
      </c>
    </row>
    <row r="12" customFormat="false" ht="15.75" hidden="false" customHeight="true" outlineLevel="0" collapsed="false">
      <c r="A12" s="5" t="s">
        <v>3518</v>
      </c>
      <c r="B12" s="55" t="n">
        <v>46110</v>
      </c>
      <c r="C12" s="15" t="s">
        <v>353</v>
      </c>
      <c r="D12" s="5" t="s">
        <v>584</v>
      </c>
      <c r="E12" s="5" t="s">
        <v>732</v>
      </c>
      <c r="F12" s="5" t="s">
        <v>3506</v>
      </c>
      <c r="G12" s="5" t="s">
        <v>3512</v>
      </c>
      <c r="H12" s="5" t="s">
        <v>422</v>
      </c>
      <c r="I12" s="5" t="s">
        <v>3502</v>
      </c>
      <c r="J12" s="15" t="n">
        <v>1</v>
      </c>
      <c r="K12" s="15" t="n">
        <v>2</v>
      </c>
      <c r="L12" s="15" t="n">
        <v>0</v>
      </c>
      <c r="M12" s="15" t="n">
        <v>1</v>
      </c>
      <c r="N12" s="15" t="n">
        <v>2</v>
      </c>
      <c r="O12" s="15" t="n">
        <v>20</v>
      </c>
      <c r="P12" s="15" t="n">
        <v>1</v>
      </c>
      <c r="Q12" s="56" t="n">
        <v>4.2</v>
      </c>
      <c r="R12" s="55" t="n">
        <v>46173</v>
      </c>
      <c r="S12" s="5" t="s">
        <v>2934</v>
      </c>
      <c r="T12" s="5" t="s">
        <v>3519</v>
      </c>
    </row>
    <row r="13" customFormat="false" ht="15.75" hidden="false" customHeight="true" outlineLevel="0" collapsed="false">
      <c r="A13" s="7" t="s">
        <v>3520</v>
      </c>
      <c r="B13" s="57" t="n">
        <v>46114</v>
      </c>
      <c r="C13" s="16" t="s">
        <v>360</v>
      </c>
      <c r="D13" s="7" t="s">
        <v>554</v>
      </c>
      <c r="E13" s="7" t="s">
        <v>620</v>
      </c>
      <c r="F13" s="7" t="s">
        <v>3521</v>
      </c>
      <c r="G13" s="7" t="s">
        <v>3507</v>
      </c>
      <c r="H13" s="7" t="s">
        <v>422</v>
      </c>
      <c r="I13" s="7" t="s">
        <v>3502</v>
      </c>
      <c r="J13" s="16" t="n">
        <v>3</v>
      </c>
      <c r="K13" s="16" t="n">
        <v>1</v>
      </c>
      <c r="L13" s="16" t="n">
        <v>2</v>
      </c>
      <c r="M13" s="16" t="n">
        <v>3</v>
      </c>
      <c r="N13" s="16" t="n">
        <v>1</v>
      </c>
      <c r="O13" s="16" t="n">
        <v>5</v>
      </c>
      <c r="P13" s="16" t="n">
        <v>3</v>
      </c>
      <c r="Q13" s="58" t="n">
        <v>4.4</v>
      </c>
      <c r="R13" s="57" t="n">
        <v>46186</v>
      </c>
      <c r="S13" s="7" t="s">
        <v>2934</v>
      </c>
      <c r="T13" s="7" t="s">
        <v>3504</v>
      </c>
    </row>
    <row r="14" customFormat="false" ht="15.75" hidden="false" customHeight="true" outlineLevel="0" collapsed="false">
      <c r="A14" s="5" t="s">
        <v>3522</v>
      </c>
      <c r="B14" s="55" t="n">
        <v>46118</v>
      </c>
      <c r="C14" s="15" t="s">
        <v>360</v>
      </c>
      <c r="D14" s="5" t="s">
        <v>565</v>
      </c>
      <c r="E14" s="5" t="s">
        <v>662</v>
      </c>
      <c r="F14" s="5" t="s">
        <v>3506</v>
      </c>
      <c r="G14" s="5" t="s">
        <v>3509</v>
      </c>
      <c r="H14" s="5" t="s">
        <v>420</v>
      </c>
      <c r="I14" s="5" t="s">
        <v>3502</v>
      </c>
      <c r="J14" s="15" t="n">
        <v>1</v>
      </c>
      <c r="K14" s="15" t="n">
        <v>2</v>
      </c>
      <c r="L14" s="15" t="n">
        <v>3</v>
      </c>
      <c r="M14" s="15" t="n">
        <v>1</v>
      </c>
      <c r="N14" s="15" t="n">
        <v>2</v>
      </c>
      <c r="O14" s="15" t="n">
        <v>20</v>
      </c>
      <c r="P14" s="15" t="n">
        <v>1</v>
      </c>
      <c r="Q14" s="56" t="n">
        <v>4.6</v>
      </c>
      <c r="R14" s="55" t="n">
        <v>46199</v>
      </c>
      <c r="S14" s="5" t="s">
        <v>2931</v>
      </c>
      <c r="T14" s="5" t="s">
        <v>1210</v>
      </c>
    </row>
    <row r="15" customFormat="false" ht="15.75" hidden="false" customHeight="true" outlineLevel="0" collapsed="false">
      <c r="A15" s="7" t="s">
        <v>3523</v>
      </c>
      <c r="B15" s="57" t="n">
        <v>46122</v>
      </c>
      <c r="C15" s="16" t="s">
        <v>367</v>
      </c>
      <c r="D15" s="7" t="s">
        <v>575</v>
      </c>
      <c r="E15" s="7" t="s">
        <v>709</v>
      </c>
      <c r="F15" s="7" t="s">
        <v>3500</v>
      </c>
      <c r="G15" s="7" t="s">
        <v>3512</v>
      </c>
      <c r="H15" s="7" t="s">
        <v>422</v>
      </c>
      <c r="I15" s="7" t="s">
        <v>3502</v>
      </c>
      <c r="J15" s="16" t="n">
        <v>3</v>
      </c>
      <c r="K15" s="16" t="n">
        <v>4</v>
      </c>
      <c r="L15" s="16" t="n">
        <v>2</v>
      </c>
      <c r="M15" s="16" t="n">
        <v>3</v>
      </c>
      <c r="N15" s="16" t="n">
        <v>4</v>
      </c>
      <c r="O15" s="16" t="n">
        <v>5</v>
      </c>
      <c r="P15" s="16" t="n">
        <v>7</v>
      </c>
      <c r="Q15" s="58" t="n">
        <v>4.8</v>
      </c>
      <c r="R15" s="57" t="n">
        <v>46212</v>
      </c>
      <c r="S15" s="7" t="s">
        <v>2934</v>
      </c>
      <c r="T15" s="7" t="s">
        <v>3510</v>
      </c>
    </row>
    <row r="16" customFormat="false" ht="15.75" hidden="false" customHeight="true" outlineLevel="0" collapsed="false">
      <c r="A16" s="5" t="s">
        <v>3524</v>
      </c>
      <c r="B16" s="55" t="n">
        <v>46126</v>
      </c>
      <c r="C16" s="15" t="s">
        <v>367</v>
      </c>
      <c r="D16" s="5" t="s">
        <v>584</v>
      </c>
      <c r="E16" s="5" t="s">
        <v>732</v>
      </c>
      <c r="F16" s="5" t="s">
        <v>3500</v>
      </c>
      <c r="G16" s="5" t="s">
        <v>3507</v>
      </c>
      <c r="H16" s="5" t="s">
        <v>422</v>
      </c>
      <c r="I16" s="5" t="s">
        <v>3502</v>
      </c>
      <c r="J16" s="15" t="n">
        <v>4</v>
      </c>
      <c r="K16" s="15" t="n">
        <v>2</v>
      </c>
      <c r="L16" s="15" t="n">
        <v>3</v>
      </c>
      <c r="M16" s="15" t="n">
        <v>4</v>
      </c>
      <c r="N16" s="15" t="n">
        <v>2</v>
      </c>
      <c r="O16" s="15" t="n">
        <v>20</v>
      </c>
      <c r="P16" s="15" t="n">
        <v>8</v>
      </c>
      <c r="Q16" s="56" t="n">
        <v>3.9</v>
      </c>
      <c r="R16" s="55" t="n">
        <v>46225</v>
      </c>
      <c r="S16" s="5" t="s">
        <v>2934</v>
      </c>
      <c r="T16" s="5" t="s">
        <v>3513</v>
      </c>
    </row>
    <row r="17" customFormat="false" ht="15.75" hidden="false" customHeight="true" outlineLevel="0" collapsed="false">
      <c r="A17" s="7" t="s">
        <v>3525</v>
      </c>
      <c r="B17" s="57" t="n">
        <v>46130</v>
      </c>
      <c r="C17" s="16" t="s">
        <v>345</v>
      </c>
      <c r="D17" s="7" t="s">
        <v>554</v>
      </c>
      <c r="E17" s="7" t="s">
        <v>607</v>
      </c>
      <c r="F17" s="7" t="s">
        <v>3506</v>
      </c>
      <c r="G17" s="7" t="s">
        <v>3509</v>
      </c>
      <c r="H17" s="7" t="s">
        <v>420</v>
      </c>
      <c r="I17" s="7" t="s">
        <v>3502</v>
      </c>
      <c r="J17" s="16" t="n">
        <v>0</v>
      </c>
      <c r="K17" s="16" t="n">
        <v>0</v>
      </c>
      <c r="L17" s="16" t="n">
        <v>0</v>
      </c>
      <c r="M17" s="16" t="n">
        <v>0</v>
      </c>
      <c r="N17" s="16" t="n">
        <v>0</v>
      </c>
      <c r="O17" s="16" t="n">
        <v>5</v>
      </c>
      <c r="P17" s="16" t="n">
        <v>0</v>
      </c>
      <c r="Q17" s="58" t="n">
        <v>0</v>
      </c>
      <c r="R17" s="57" t="n">
        <v>46238</v>
      </c>
      <c r="S17" s="7" t="s">
        <v>3503</v>
      </c>
      <c r="T17" s="7" t="s">
        <v>3515</v>
      </c>
    </row>
    <row r="18" customFormat="false" ht="15.75" hidden="false" customHeight="true" outlineLevel="0" collapsed="false">
      <c r="A18" s="5" t="s">
        <v>3526</v>
      </c>
      <c r="B18" s="55" t="n">
        <v>46134</v>
      </c>
      <c r="C18" s="15" t="s">
        <v>345</v>
      </c>
      <c r="D18" s="5" t="s">
        <v>565</v>
      </c>
      <c r="E18" s="5" t="s">
        <v>670</v>
      </c>
      <c r="F18" s="5" t="s">
        <v>3500</v>
      </c>
      <c r="G18" s="5" t="s">
        <v>3527</v>
      </c>
      <c r="H18" s="5" t="s">
        <v>422</v>
      </c>
      <c r="I18" s="5" t="s">
        <v>3502</v>
      </c>
      <c r="J18" s="15" t="n">
        <v>0</v>
      </c>
      <c r="K18" s="15" t="n">
        <v>0</v>
      </c>
      <c r="L18" s="15" t="n">
        <v>0</v>
      </c>
      <c r="M18" s="15" t="n">
        <v>0</v>
      </c>
      <c r="N18" s="15" t="n">
        <v>0</v>
      </c>
      <c r="O18" s="15" t="n">
        <v>20</v>
      </c>
      <c r="P18" s="15" t="n">
        <v>0</v>
      </c>
      <c r="Q18" s="56" t="n">
        <v>0</v>
      </c>
      <c r="R18" s="55" t="n">
        <v>46251</v>
      </c>
      <c r="S18" s="5" t="s">
        <v>3503</v>
      </c>
      <c r="T18" s="5" t="s">
        <v>3517</v>
      </c>
    </row>
    <row r="19" customFormat="false" ht="15.75" hidden="false" customHeight="true" outlineLevel="0" collapsed="false">
      <c r="A19" s="7" t="s">
        <v>3528</v>
      </c>
      <c r="B19" s="57" t="n">
        <v>46138</v>
      </c>
      <c r="C19" s="16" t="s">
        <v>345</v>
      </c>
      <c r="D19" s="7" t="s">
        <v>575</v>
      </c>
      <c r="E19" s="7" t="s">
        <v>705</v>
      </c>
      <c r="F19" s="7" t="s">
        <v>3506</v>
      </c>
      <c r="G19" s="7" t="s">
        <v>3507</v>
      </c>
      <c r="H19" s="7" t="s">
        <v>422</v>
      </c>
      <c r="I19" s="7" t="s">
        <v>3502</v>
      </c>
      <c r="J19" s="16" t="n">
        <v>0</v>
      </c>
      <c r="K19" s="16" t="n">
        <v>0</v>
      </c>
      <c r="L19" s="16" t="n">
        <v>0</v>
      </c>
      <c r="M19" s="16" t="n">
        <v>0</v>
      </c>
      <c r="N19" s="16" t="n">
        <v>0</v>
      </c>
      <c r="O19" s="16" t="n">
        <v>5</v>
      </c>
      <c r="P19" s="16" t="n">
        <v>0</v>
      </c>
      <c r="Q19" s="58" t="n">
        <v>0</v>
      </c>
      <c r="R19" s="57" t="n">
        <v>46264</v>
      </c>
      <c r="S19" s="7" t="s">
        <v>3503</v>
      </c>
      <c r="T19" s="7" t="s">
        <v>3519</v>
      </c>
    </row>
    <row r="20" customFormat="false" ht="15.75" hidden="false" customHeight="true" outlineLevel="0" collapsed="false">
      <c r="A20" s="5" t="s">
        <v>3529</v>
      </c>
      <c r="B20" s="55" t="n">
        <v>46142</v>
      </c>
      <c r="C20" s="15" t="s">
        <v>345</v>
      </c>
      <c r="D20" s="5" t="s">
        <v>584</v>
      </c>
      <c r="E20" s="5" t="s">
        <v>732</v>
      </c>
      <c r="F20" s="5" t="s">
        <v>3506</v>
      </c>
      <c r="G20" s="5" t="s">
        <v>3509</v>
      </c>
      <c r="H20" s="5" t="s">
        <v>420</v>
      </c>
      <c r="I20" s="5" t="s">
        <v>3502</v>
      </c>
      <c r="J20" s="15" t="n">
        <v>0</v>
      </c>
      <c r="K20" s="15" t="n">
        <v>0</v>
      </c>
      <c r="L20" s="15" t="n">
        <v>0</v>
      </c>
      <c r="M20" s="15" t="n">
        <v>0</v>
      </c>
      <c r="N20" s="15" t="n">
        <v>0</v>
      </c>
      <c r="O20" s="15" t="n">
        <v>20</v>
      </c>
      <c r="P20" s="15" t="n">
        <v>0</v>
      </c>
      <c r="Q20" s="56" t="n">
        <v>0</v>
      </c>
      <c r="R20" s="55" t="n">
        <v>46277</v>
      </c>
      <c r="S20" s="5" t="s">
        <v>3503</v>
      </c>
      <c r="T20" s="5" t="s">
        <v>3504</v>
      </c>
    </row>
    <row r="21" customFormat="false" ht="15.75" hidden="false" customHeight="true" outlineLevel="0" collapsed="false">
      <c r="A21" s="7" t="s">
        <v>3530</v>
      </c>
      <c r="B21" s="57" t="n">
        <v>46146</v>
      </c>
      <c r="C21" s="16" t="s">
        <v>353</v>
      </c>
      <c r="D21" s="7" t="s">
        <v>554</v>
      </c>
      <c r="E21" s="7" t="s">
        <v>614</v>
      </c>
      <c r="F21" s="7" t="s">
        <v>3500</v>
      </c>
      <c r="G21" s="7" t="s">
        <v>3527</v>
      </c>
      <c r="H21" s="7" t="s">
        <v>422</v>
      </c>
      <c r="I21" s="7" t="s">
        <v>3502</v>
      </c>
      <c r="J21" s="16" t="n">
        <v>1</v>
      </c>
      <c r="K21" s="16" t="n">
        <v>2</v>
      </c>
      <c r="L21" s="16" t="n">
        <v>0</v>
      </c>
      <c r="M21" s="16" t="n">
        <v>1</v>
      </c>
      <c r="N21" s="16" t="n">
        <v>2</v>
      </c>
      <c r="O21" s="16" t="n">
        <v>5</v>
      </c>
      <c r="P21" s="16" t="n">
        <v>0</v>
      </c>
      <c r="Q21" s="58" t="n">
        <v>0</v>
      </c>
      <c r="R21" s="57" t="n">
        <v>46290</v>
      </c>
      <c r="S21" s="7" t="s">
        <v>2934</v>
      </c>
      <c r="T21" s="7" t="s">
        <v>1210</v>
      </c>
    </row>
    <row r="22" customFormat="false" ht="15.75" hidden="false" customHeight="true" outlineLevel="0" collapsed="false">
      <c r="A22" s="5" t="s">
        <v>3531</v>
      </c>
      <c r="B22" s="55" t="n">
        <v>46150</v>
      </c>
      <c r="C22" s="15" t="s">
        <v>353</v>
      </c>
      <c r="D22" s="5" t="s">
        <v>565</v>
      </c>
      <c r="E22" s="5" t="s">
        <v>666</v>
      </c>
      <c r="F22" s="5" t="s">
        <v>3506</v>
      </c>
      <c r="G22" s="5" t="s">
        <v>3507</v>
      </c>
      <c r="H22" s="5" t="s">
        <v>422</v>
      </c>
      <c r="I22" s="5" t="s">
        <v>1965</v>
      </c>
      <c r="J22" s="15" t="n">
        <v>2</v>
      </c>
      <c r="K22" s="15" t="n">
        <v>0</v>
      </c>
      <c r="L22" s="15" t="n">
        <v>1</v>
      </c>
      <c r="M22" s="15" t="n">
        <v>2</v>
      </c>
      <c r="N22" s="15" t="n">
        <v>0</v>
      </c>
      <c r="O22" s="15" t="n">
        <v>20</v>
      </c>
      <c r="P22" s="15" t="n">
        <v>1</v>
      </c>
      <c r="Q22" s="56" t="n">
        <v>4</v>
      </c>
      <c r="R22" s="55" t="n">
        <v>46153</v>
      </c>
      <c r="S22" s="5" t="s">
        <v>2934</v>
      </c>
      <c r="T22" s="5" t="s">
        <v>3510</v>
      </c>
    </row>
    <row r="23" customFormat="false" ht="15.75" hidden="false" customHeight="true" outlineLevel="0" collapsed="false">
      <c r="A23" s="7" t="s">
        <v>3532</v>
      </c>
      <c r="B23" s="57" t="n">
        <v>46154</v>
      </c>
      <c r="C23" s="16" t="s">
        <v>353</v>
      </c>
      <c r="D23" s="7" t="s">
        <v>575</v>
      </c>
      <c r="E23" s="7" t="s">
        <v>701</v>
      </c>
      <c r="F23" s="7" t="s">
        <v>3521</v>
      </c>
      <c r="G23" s="7" t="s">
        <v>3533</v>
      </c>
      <c r="H23" s="7" t="s">
        <v>422</v>
      </c>
      <c r="I23" s="7" t="s">
        <v>3502</v>
      </c>
      <c r="J23" s="16" t="n">
        <v>0</v>
      </c>
      <c r="K23" s="16" t="n">
        <v>1</v>
      </c>
      <c r="L23" s="16" t="n">
        <v>2</v>
      </c>
      <c r="M23" s="16" t="n">
        <v>0</v>
      </c>
      <c r="N23" s="16" t="n">
        <v>1</v>
      </c>
      <c r="O23" s="16" t="n">
        <v>5</v>
      </c>
      <c r="P23" s="16" t="n">
        <v>0</v>
      </c>
      <c r="Q23" s="58" t="n">
        <v>0</v>
      </c>
      <c r="R23" s="57" t="n">
        <v>46166</v>
      </c>
      <c r="S23" s="7" t="s">
        <v>2931</v>
      </c>
      <c r="T23" s="7" t="s">
        <v>3513</v>
      </c>
    </row>
    <row r="24" customFormat="false" ht="15.75" hidden="false" customHeight="true" outlineLevel="0" collapsed="false">
      <c r="A24" s="5" t="s">
        <v>3534</v>
      </c>
      <c r="B24" s="55" t="n">
        <v>46158</v>
      </c>
      <c r="C24" s="15" t="s">
        <v>360</v>
      </c>
      <c r="D24" s="5" t="s">
        <v>584</v>
      </c>
      <c r="E24" s="5" t="s">
        <v>732</v>
      </c>
      <c r="F24" s="5" t="s">
        <v>3506</v>
      </c>
      <c r="G24" s="5" t="s">
        <v>3535</v>
      </c>
      <c r="H24" s="5" t="s">
        <v>422</v>
      </c>
      <c r="I24" s="5" t="s">
        <v>3502</v>
      </c>
      <c r="J24" s="15" t="n">
        <v>2</v>
      </c>
      <c r="K24" s="15" t="n">
        <v>3</v>
      </c>
      <c r="L24" s="15" t="n">
        <v>1</v>
      </c>
      <c r="M24" s="15" t="n">
        <v>2</v>
      </c>
      <c r="N24" s="15" t="n">
        <v>3</v>
      </c>
      <c r="O24" s="15" t="n">
        <v>20</v>
      </c>
      <c r="P24" s="15" t="n">
        <v>2</v>
      </c>
      <c r="Q24" s="56" t="n">
        <v>4.4</v>
      </c>
      <c r="R24" s="55" t="n">
        <v>46179</v>
      </c>
      <c r="S24" s="5" t="s">
        <v>2934</v>
      </c>
      <c r="T24" s="5" t="s">
        <v>3515</v>
      </c>
    </row>
    <row r="25" customFormat="false" ht="15.75" hidden="false" customHeight="true" outlineLevel="0" collapsed="false">
      <c r="A25" s="7" t="s">
        <v>3536</v>
      </c>
      <c r="B25" s="57" t="n">
        <v>46162</v>
      </c>
      <c r="C25" s="16" t="s">
        <v>360</v>
      </c>
      <c r="D25" s="7" t="s">
        <v>554</v>
      </c>
      <c r="E25" s="7" t="s">
        <v>620</v>
      </c>
      <c r="F25" s="7" t="s">
        <v>3500</v>
      </c>
      <c r="G25" s="7" t="s">
        <v>3507</v>
      </c>
      <c r="H25" s="7" t="s">
        <v>422</v>
      </c>
      <c r="I25" s="7" t="s">
        <v>3502</v>
      </c>
      <c r="J25" s="16" t="n">
        <v>3</v>
      </c>
      <c r="K25" s="16" t="n">
        <v>1</v>
      </c>
      <c r="L25" s="16" t="n">
        <v>2</v>
      </c>
      <c r="M25" s="16" t="n">
        <v>3</v>
      </c>
      <c r="N25" s="16" t="n">
        <v>1</v>
      </c>
      <c r="O25" s="16" t="n">
        <v>5</v>
      </c>
      <c r="P25" s="16" t="n">
        <v>3</v>
      </c>
      <c r="Q25" s="58" t="n">
        <v>4.6</v>
      </c>
      <c r="R25" s="57" t="n">
        <v>46192</v>
      </c>
      <c r="S25" s="7" t="s">
        <v>2934</v>
      </c>
      <c r="T25" s="7" t="s">
        <v>3517</v>
      </c>
    </row>
    <row r="26" customFormat="false" ht="15.75" hidden="false" customHeight="true" outlineLevel="0" collapsed="false">
      <c r="A26" s="5" t="s">
        <v>3537</v>
      </c>
      <c r="B26" s="55" t="n">
        <v>46166</v>
      </c>
      <c r="C26" s="15" t="s">
        <v>360</v>
      </c>
      <c r="D26" s="5" t="s">
        <v>565</v>
      </c>
      <c r="E26" s="5" t="s">
        <v>662</v>
      </c>
      <c r="F26" s="5" t="s">
        <v>3500</v>
      </c>
      <c r="G26" s="5" t="s">
        <v>3533</v>
      </c>
      <c r="H26" s="5" t="s">
        <v>422</v>
      </c>
      <c r="I26" s="5" t="s">
        <v>3502</v>
      </c>
      <c r="J26" s="15" t="n">
        <v>1</v>
      </c>
      <c r="K26" s="15" t="n">
        <v>2</v>
      </c>
      <c r="L26" s="15" t="n">
        <v>3</v>
      </c>
      <c r="M26" s="15" t="n">
        <v>1</v>
      </c>
      <c r="N26" s="15" t="n">
        <v>2</v>
      </c>
      <c r="O26" s="15" t="n">
        <v>20</v>
      </c>
      <c r="P26" s="15" t="n">
        <v>1</v>
      </c>
      <c r="Q26" s="56" t="n">
        <v>4.8</v>
      </c>
      <c r="R26" s="55" t="n">
        <v>46205</v>
      </c>
      <c r="S26" s="5" t="s">
        <v>2934</v>
      </c>
      <c r="T26" s="5" t="s">
        <v>3519</v>
      </c>
    </row>
    <row r="27" customFormat="false" ht="15.75" hidden="false" customHeight="true" outlineLevel="0" collapsed="false">
      <c r="A27" s="7" t="s">
        <v>3538</v>
      </c>
      <c r="B27" s="57" t="n">
        <v>46170</v>
      </c>
      <c r="C27" s="16" t="s">
        <v>367</v>
      </c>
      <c r="D27" s="7" t="s">
        <v>575</v>
      </c>
      <c r="E27" s="7" t="s">
        <v>709</v>
      </c>
      <c r="F27" s="7" t="s">
        <v>3506</v>
      </c>
      <c r="G27" s="7" t="s">
        <v>3535</v>
      </c>
      <c r="H27" s="7" t="s">
        <v>422</v>
      </c>
      <c r="I27" s="7" t="s">
        <v>3502</v>
      </c>
      <c r="J27" s="16" t="n">
        <v>3</v>
      </c>
      <c r="K27" s="16" t="n">
        <v>4</v>
      </c>
      <c r="L27" s="16" t="n">
        <v>2</v>
      </c>
      <c r="M27" s="16" t="n">
        <v>3</v>
      </c>
      <c r="N27" s="16" t="n">
        <v>4</v>
      </c>
      <c r="O27" s="16" t="n">
        <v>5</v>
      </c>
      <c r="P27" s="16" t="n">
        <v>7</v>
      </c>
      <c r="Q27" s="58" t="n">
        <v>3.9</v>
      </c>
      <c r="R27" s="57" t="n">
        <v>46218</v>
      </c>
      <c r="S27" s="7" t="s">
        <v>2934</v>
      </c>
      <c r="T27" s="7" t="s">
        <v>3504</v>
      </c>
    </row>
    <row r="28" customFormat="false" ht="15.75" hidden="false" customHeight="true" outlineLevel="0" collapsed="false">
      <c r="A28" s="5" t="s">
        <v>3539</v>
      </c>
      <c r="B28" s="55" t="n">
        <v>46174</v>
      </c>
      <c r="C28" s="15" t="s">
        <v>345</v>
      </c>
      <c r="D28" s="5" t="s">
        <v>584</v>
      </c>
      <c r="E28" s="5" t="s">
        <v>732</v>
      </c>
      <c r="F28" s="5" t="s">
        <v>3500</v>
      </c>
      <c r="G28" s="5" t="s">
        <v>3507</v>
      </c>
      <c r="H28" s="5" t="s">
        <v>422</v>
      </c>
      <c r="I28" s="5" t="s">
        <v>3502</v>
      </c>
      <c r="J28" s="15" t="n">
        <v>0</v>
      </c>
      <c r="K28" s="15" t="n">
        <v>0</v>
      </c>
      <c r="L28" s="15" t="n">
        <v>0</v>
      </c>
      <c r="M28" s="15" t="n">
        <v>0</v>
      </c>
      <c r="N28" s="15" t="n">
        <v>0</v>
      </c>
      <c r="O28" s="15" t="n">
        <v>20</v>
      </c>
      <c r="P28" s="15" t="n">
        <v>0</v>
      </c>
      <c r="Q28" s="56" t="n">
        <v>0</v>
      </c>
      <c r="R28" s="55" t="n">
        <v>46231</v>
      </c>
      <c r="S28" s="5" t="s">
        <v>3503</v>
      </c>
      <c r="T28" s="5" t="s">
        <v>1210</v>
      </c>
    </row>
    <row r="29" customFormat="false" ht="15.75" hidden="false" customHeight="true" outlineLevel="0" collapsed="false">
      <c r="A29" s="7" t="s">
        <v>3540</v>
      </c>
      <c r="B29" s="57" t="n">
        <v>46178</v>
      </c>
      <c r="C29" s="16" t="s">
        <v>345</v>
      </c>
      <c r="D29" s="7" t="s">
        <v>554</v>
      </c>
      <c r="E29" s="7" t="s">
        <v>607</v>
      </c>
      <c r="F29" s="7" t="s">
        <v>3506</v>
      </c>
      <c r="G29" s="7" t="s">
        <v>3501</v>
      </c>
      <c r="H29" s="7" t="s">
        <v>422</v>
      </c>
      <c r="I29" s="7" t="s">
        <v>3502</v>
      </c>
      <c r="J29" s="16" t="n">
        <v>0</v>
      </c>
      <c r="K29" s="16" t="n">
        <v>0</v>
      </c>
      <c r="L29" s="16" t="n">
        <v>0</v>
      </c>
      <c r="M29" s="16" t="n">
        <v>0</v>
      </c>
      <c r="N29" s="16" t="n">
        <v>0</v>
      </c>
      <c r="O29" s="16" t="n">
        <v>5</v>
      </c>
      <c r="P29" s="16" t="n">
        <v>0</v>
      </c>
      <c r="Q29" s="58" t="n">
        <v>0</v>
      </c>
      <c r="R29" s="57" t="n">
        <v>46244</v>
      </c>
      <c r="S29" s="7" t="s">
        <v>3503</v>
      </c>
      <c r="T29" s="7" t="s">
        <v>3510</v>
      </c>
    </row>
    <row r="30" customFormat="false" ht="15.75" hidden="false" customHeight="true" outlineLevel="0" collapsed="false">
      <c r="A30" s="5" t="s">
        <v>3541</v>
      </c>
      <c r="B30" s="55" t="n">
        <v>46182</v>
      </c>
      <c r="C30" s="15" t="s">
        <v>345</v>
      </c>
      <c r="D30" s="5" t="s">
        <v>565</v>
      </c>
      <c r="E30" s="5" t="s">
        <v>670</v>
      </c>
      <c r="F30" s="5" t="s">
        <v>3506</v>
      </c>
      <c r="G30" s="5" t="s">
        <v>3535</v>
      </c>
      <c r="H30" s="5" t="s">
        <v>422</v>
      </c>
      <c r="I30" s="5" t="s">
        <v>3502</v>
      </c>
      <c r="J30" s="15" t="n">
        <v>0</v>
      </c>
      <c r="K30" s="15" t="n">
        <v>0</v>
      </c>
      <c r="L30" s="15" t="n">
        <v>0</v>
      </c>
      <c r="M30" s="15" t="n">
        <v>0</v>
      </c>
      <c r="N30" s="15" t="n">
        <v>0</v>
      </c>
      <c r="O30" s="15" t="n">
        <v>20</v>
      </c>
      <c r="P30" s="15" t="n">
        <v>0</v>
      </c>
      <c r="Q30" s="56" t="n">
        <v>0</v>
      </c>
      <c r="R30" s="55" t="n">
        <v>46257</v>
      </c>
      <c r="S30" s="5" t="s">
        <v>3503</v>
      </c>
      <c r="T30" s="5" t="s">
        <v>3513</v>
      </c>
    </row>
    <row r="31" customFormat="false" ht="15.75" hidden="false" customHeight="true" outlineLevel="0" collapsed="false">
      <c r="A31" s="7" t="s">
        <v>3542</v>
      </c>
      <c r="B31" s="57" t="n">
        <v>46186</v>
      </c>
      <c r="C31" s="16" t="s">
        <v>345</v>
      </c>
      <c r="D31" s="7" t="s">
        <v>575</v>
      </c>
      <c r="E31" s="7" t="s">
        <v>705</v>
      </c>
      <c r="F31" s="7" t="s">
        <v>3500</v>
      </c>
      <c r="G31" s="7" t="s">
        <v>3507</v>
      </c>
      <c r="H31" s="7" t="s">
        <v>422</v>
      </c>
      <c r="I31" s="7" t="s">
        <v>3502</v>
      </c>
      <c r="J31" s="16" t="n">
        <v>0</v>
      </c>
      <c r="K31" s="16" t="n">
        <v>0</v>
      </c>
      <c r="L31" s="16" t="n">
        <v>0</v>
      </c>
      <c r="M31" s="16" t="n">
        <v>0</v>
      </c>
      <c r="N31" s="16" t="n">
        <v>0</v>
      </c>
      <c r="O31" s="16" t="n">
        <v>5</v>
      </c>
      <c r="P31" s="16" t="n">
        <v>0</v>
      </c>
      <c r="Q31" s="58" t="n">
        <v>0</v>
      </c>
      <c r="R31" s="57" t="n">
        <v>46270</v>
      </c>
      <c r="S31" s="7" t="s">
        <v>3503</v>
      </c>
      <c r="T31" s="7" t="s">
        <v>3515</v>
      </c>
    </row>
    <row r="32" customFormat="false" ht="15.75" hidden="false" customHeight="true" outlineLevel="0" collapsed="false">
      <c r="A32" s="5" t="s">
        <v>3543</v>
      </c>
      <c r="B32" s="55" t="n">
        <v>46190</v>
      </c>
      <c r="C32" s="15" t="s">
        <v>345</v>
      </c>
      <c r="D32" s="5" t="s">
        <v>584</v>
      </c>
      <c r="E32" s="5" t="s">
        <v>732</v>
      </c>
      <c r="F32" s="5" t="s">
        <v>3506</v>
      </c>
      <c r="G32" s="5" t="s">
        <v>3501</v>
      </c>
      <c r="H32" s="5" t="s">
        <v>422</v>
      </c>
      <c r="I32" s="5" t="s">
        <v>3502</v>
      </c>
      <c r="J32" s="15" t="n">
        <v>0</v>
      </c>
      <c r="K32" s="15" t="n">
        <v>0</v>
      </c>
      <c r="L32" s="15" t="n">
        <v>0</v>
      </c>
      <c r="M32" s="15" t="n">
        <v>0</v>
      </c>
      <c r="N32" s="15" t="n">
        <v>0</v>
      </c>
      <c r="O32" s="15" t="n">
        <v>20</v>
      </c>
      <c r="P32" s="15" t="n">
        <v>0</v>
      </c>
      <c r="Q32" s="56" t="n">
        <v>0</v>
      </c>
      <c r="R32" s="55" t="n">
        <v>46283</v>
      </c>
      <c r="S32" s="5" t="s">
        <v>3503</v>
      </c>
      <c r="T32" s="5" t="s">
        <v>3517</v>
      </c>
    </row>
    <row r="33" customFormat="false" ht="15.75" hidden="false" customHeight="true" outlineLevel="0" collapsed="false">
      <c r="A33" s="7" t="s">
        <v>3544</v>
      </c>
      <c r="B33" s="57" t="n">
        <v>46194</v>
      </c>
      <c r="C33" s="16" t="s">
        <v>353</v>
      </c>
      <c r="D33" s="7" t="s">
        <v>554</v>
      </c>
      <c r="E33" s="7" t="s">
        <v>614</v>
      </c>
      <c r="F33" s="7" t="s">
        <v>3521</v>
      </c>
      <c r="G33" s="7" t="s">
        <v>3507</v>
      </c>
      <c r="H33" s="7" t="s">
        <v>422</v>
      </c>
      <c r="I33" s="7" t="s">
        <v>3502</v>
      </c>
      <c r="J33" s="16" t="n">
        <v>1</v>
      </c>
      <c r="K33" s="16" t="n">
        <v>2</v>
      </c>
      <c r="L33" s="16" t="n">
        <v>0</v>
      </c>
      <c r="M33" s="16" t="n">
        <v>1</v>
      </c>
      <c r="N33" s="16" t="n">
        <v>2</v>
      </c>
      <c r="O33" s="16" t="n">
        <v>5</v>
      </c>
      <c r="P33" s="16" t="n">
        <v>0</v>
      </c>
      <c r="Q33" s="58" t="n">
        <v>0</v>
      </c>
      <c r="R33" s="57" t="n">
        <v>46296</v>
      </c>
      <c r="S33" s="7" t="s">
        <v>2934</v>
      </c>
      <c r="T33" s="7" t="s">
        <v>3519</v>
      </c>
    </row>
    <row r="34" customFormat="false" ht="15.75" hidden="false" customHeight="true" outlineLevel="0" collapsed="false">
      <c r="A34" s="5" t="s">
        <v>3545</v>
      </c>
      <c r="B34" s="55" t="n">
        <v>46198</v>
      </c>
      <c r="C34" s="15" t="s">
        <v>353</v>
      </c>
      <c r="D34" s="5" t="s">
        <v>565</v>
      </c>
      <c r="E34" s="5" t="s">
        <v>666</v>
      </c>
      <c r="F34" s="5" t="s">
        <v>3506</v>
      </c>
      <c r="G34" s="5" t="s">
        <v>3509</v>
      </c>
      <c r="H34" s="5" t="s">
        <v>420</v>
      </c>
      <c r="I34" s="5" t="s">
        <v>3502</v>
      </c>
      <c r="J34" s="15" t="n">
        <v>2</v>
      </c>
      <c r="K34" s="15" t="n">
        <v>0</v>
      </c>
      <c r="L34" s="15" t="n">
        <v>1</v>
      </c>
      <c r="M34" s="15" t="n">
        <v>2</v>
      </c>
      <c r="N34" s="15" t="n">
        <v>0</v>
      </c>
      <c r="O34" s="15" t="n">
        <v>20</v>
      </c>
      <c r="P34" s="15" t="n">
        <v>1</v>
      </c>
      <c r="Q34" s="56" t="n">
        <v>4.2</v>
      </c>
      <c r="R34" s="55" t="n">
        <v>46309</v>
      </c>
      <c r="S34" s="5" t="s">
        <v>2934</v>
      </c>
      <c r="T34" s="5" t="s">
        <v>3504</v>
      </c>
    </row>
    <row r="35" customFormat="false" ht="15.75" hidden="false" customHeight="true" outlineLevel="0" collapsed="false">
      <c r="A35" s="7" t="s">
        <v>3546</v>
      </c>
      <c r="B35" s="57" t="n">
        <v>46202</v>
      </c>
      <c r="C35" s="16" t="s">
        <v>353</v>
      </c>
      <c r="D35" s="7" t="s">
        <v>575</v>
      </c>
      <c r="E35" s="7" t="s">
        <v>701</v>
      </c>
      <c r="F35" s="7" t="s">
        <v>3500</v>
      </c>
      <c r="G35" s="7" t="s">
        <v>3501</v>
      </c>
      <c r="H35" s="7" t="s">
        <v>422</v>
      </c>
      <c r="I35" s="7" t="s">
        <v>3502</v>
      </c>
      <c r="J35" s="16" t="n">
        <v>0</v>
      </c>
      <c r="K35" s="16" t="n">
        <v>1</v>
      </c>
      <c r="L35" s="16" t="n">
        <v>2</v>
      </c>
      <c r="M35" s="16" t="n">
        <v>0</v>
      </c>
      <c r="N35" s="16" t="n">
        <v>1</v>
      </c>
      <c r="O35" s="16" t="n">
        <v>5</v>
      </c>
      <c r="P35" s="16" t="n">
        <v>0</v>
      </c>
      <c r="Q35" s="58" t="n">
        <v>0</v>
      </c>
      <c r="R35" s="57" t="n">
        <v>46322</v>
      </c>
      <c r="S35" s="7" t="s">
        <v>2934</v>
      </c>
      <c r="T35" s="7" t="s">
        <v>1210</v>
      </c>
    </row>
    <row r="36" customFormat="false" ht="15.75" hidden="false" customHeight="true" outlineLevel="0" collapsed="false">
      <c r="A36" s="5" t="s">
        <v>3547</v>
      </c>
      <c r="B36" s="55" t="n">
        <v>46206</v>
      </c>
      <c r="C36" s="15" t="s">
        <v>360</v>
      </c>
      <c r="D36" s="5" t="s">
        <v>584</v>
      </c>
      <c r="E36" s="5" t="s">
        <v>732</v>
      </c>
      <c r="F36" s="5" t="s">
        <v>3500</v>
      </c>
      <c r="G36" s="5" t="s">
        <v>3507</v>
      </c>
      <c r="H36" s="5" t="s">
        <v>422</v>
      </c>
      <c r="I36" s="5" t="s">
        <v>3502</v>
      </c>
      <c r="J36" s="15" t="n">
        <v>2</v>
      </c>
      <c r="K36" s="15" t="n">
        <v>3</v>
      </c>
      <c r="L36" s="15" t="n">
        <v>1</v>
      </c>
      <c r="M36" s="15" t="n">
        <v>2</v>
      </c>
      <c r="N36" s="15" t="n">
        <v>3</v>
      </c>
      <c r="O36" s="15" t="n">
        <v>20</v>
      </c>
      <c r="P36" s="15" t="n">
        <v>2</v>
      </c>
      <c r="Q36" s="56" t="n">
        <v>4.6</v>
      </c>
      <c r="R36" s="55" t="n">
        <v>46335</v>
      </c>
      <c r="S36" s="5" t="s">
        <v>2934</v>
      </c>
      <c r="T36" s="5" t="s">
        <v>3510</v>
      </c>
    </row>
    <row r="37" customFormat="false" ht="15.75" hidden="false" customHeight="true" outlineLevel="0" collapsed="false">
      <c r="A37" s="7" t="s">
        <v>3548</v>
      </c>
      <c r="B37" s="57" t="n">
        <v>46210</v>
      </c>
      <c r="C37" s="16" t="s">
        <v>360</v>
      </c>
      <c r="D37" s="7" t="s">
        <v>554</v>
      </c>
      <c r="E37" s="7" t="s">
        <v>620</v>
      </c>
      <c r="F37" s="7" t="s">
        <v>3506</v>
      </c>
      <c r="G37" s="7" t="s">
        <v>3509</v>
      </c>
      <c r="H37" s="7" t="s">
        <v>420</v>
      </c>
      <c r="I37" s="7" t="s">
        <v>3502</v>
      </c>
      <c r="J37" s="16" t="n">
        <v>3</v>
      </c>
      <c r="K37" s="16" t="n">
        <v>1</v>
      </c>
      <c r="L37" s="16" t="n">
        <v>2</v>
      </c>
      <c r="M37" s="16" t="n">
        <v>3</v>
      </c>
      <c r="N37" s="16" t="n">
        <v>1</v>
      </c>
      <c r="O37" s="16" t="n">
        <v>5</v>
      </c>
      <c r="P37" s="16" t="n">
        <v>3</v>
      </c>
      <c r="Q37" s="58" t="n">
        <v>4.8</v>
      </c>
      <c r="R37" s="57" t="n">
        <v>46348</v>
      </c>
      <c r="S37" s="7" t="s">
        <v>2934</v>
      </c>
      <c r="T37" s="7" t="s">
        <v>3513</v>
      </c>
    </row>
    <row r="38" customFormat="false" ht="15.75" hidden="false" customHeight="true" outlineLevel="0" collapsed="false">
      <c r="A38" s="5" t="s">
        <v>3549</v>
      </c>
      <c r="B38" s="55" t="n">
        <v>46214</v>
      </c>
      <c r="C38" s="15" t="s">
        <v>367</v>
      </c>
      <c r="D38" s="5" t="s">
        <v>565</v>
      </c>
      <c r="E38" s="5" t="s">
        <v>662</v>
      </c>
      <c r="F38" s="5" t="s">
        <v>3500</v>
      </c>
      <c r="G38" s="5" t="s">
        <v>3512</v>
      </c>
      <c r="H38" s="5" t="s">
        <v>422</v>
      </c>
      <c r="I38" s="5" t="s">
        <v>3502</v>
      </c>
      <c r="J38" s="15" t="n">
        <v>2</v>
      </c>
      <c r="K38" s="15" t="n">
        <v>3</v>
      </c>
      <c r="L38" s="15" t="n">
        <v>4</v>
      </c>
      <c r="M38" s="15" t="n">
        <v>2</v>
      </c>
      <c r="N38" s="15" t="n">
        <v>3</v>
      </c>
      <c r="O38" s="15" t="n">
        <v>20</v>
      </c>
      <c r="P38" s="15" t="n">
        <v>6</v>
      </c>
      <c r="Q38" s="56" t="n">
        <v>3.9</v>
      </c>
      <c r="R38" s="55" t="n">
        <v>46361</v>
      </c>
      <c r="S38" s="5" t="s">
        <v>2934</v>
      </c>
      <c r="T38" s="5" t="s">
        <v>3515</v>
      </c>
    </row>
    <row r="39" customFormat="false" ht="15.75" hidden="false" customHeight="true" outlineLevel="0" collapsed="false">
      <c r="A39" s="7" t="s">
        <v>3550</v>
      </c>
      <c r="B39" s="57" t="n">
        <v>46218</v>
      </c>
      <c r="C39" s="16" t="s">
        <v>375</v>
      </c>
      <c r="D39" s="7" t="s">
        <v>575</v>
      </c>
      <c r="E39" s="7" t="s">
        <v>709</v>
      </c>
      <c r="F39" s="7" t="s">
        <v>3506</v>
      </c>
      <c r="G39" s="7" t="s">
        <v>3507</v>
      </c>
      <c r="H39" s="7" t="s">
        <v>422</v>
      </c>
      <c r="I39" s="7" t="s">
        <v>1965</v>
      </c>
      <c r="J39" s="16" t="n">
        <v>4</v>
      </c>
      <c r="K39" s="16" t="n">
        <v>4</v>
      </c>
      <c r="L39" s="16" t="n">
        <v>3</v>
      </c>
      <c r="M39" s="16" t="n">
        <v>4</v>
      </c>
      <c r="N39" s="16" t="n">
        <v>4</v>
      </c>
      <c r="O39" s="16" t="n">
        <v>5</v>
      </c>
      <c r="P39" s="16" t="n">
        <v>14</v>
      </c>
      <c r="Q39" s="58" t="n">
        <v>4.1</v>
      </c>
      <c r="R39" s="57" t="n">
        <v>46224</v>
      </c>
      <c r="S39" s="7" t="s">
        <v>2934</v>
      </c>
      <c r="T39" s="7" t="s">
        <v>3517</v>
      </c>
    </row>
    <row r="40" customFormat="false" ht="15.75" hidden="false" customHeight="true" outlineLevel="0" collapsed="false">
      <c r="A40" s="5" t="s">
        <v>3551</v>
      </c>
      <c r="B40" s="55" t="n">
        <v>46082</v>
      </c>
      <c r="C40" s="15" t="s">
        <v>345</v>
      </c>
      <c r="D40" s="5" t="s">
        <v>584</v>
      </c>
      <c r="E40" s="5" t="s">
        <v>732</v>
      </c>
      <c r="F40" s="5" t="s">
        <v>3506</v>
      </c>
      <c r="G40" s="5" t="s">
        <v>3509</v>
      </c>
      <c r="H40" s="5" t="s">
        <v>420</v>
      </c>
      <c r="I40" s="5" t="s">
        <v>3502</v>
      </c>
      <c r="J40" s="15" t="n">
        <v>0</v>
      </c>
      <c r="K40" s="15" t="n">
        <v>0</v>
      </c>
      <c r="L40" s="15" t="n">
        <v>0</v>
      </c>
      <c r="M40" s="15" t="n">
        <v>0</v>
      </c>
      <c r="N40" s="15" t="n">
        <v>0</v>
      </c>
      <c r="O40" s="15" t="n">
        <v>20</v>
      </c>
      <c r="P40" s="15" t="n">
        <v>0</v>
      </c>
      <c r="Q40" s="56" t="n">
        <v>0</v>
      </c>
      <c r="R40" s="55" t="n">
        <v>46097</v>
      </c>
      <c r="S40" s="5" t="s">
        <v>3503</v>
      </c>
      <c r="T40" s="5" t="s">
        <v>3519</v>
      </c>
    </row>
    <row r="41" customFormat="false" ht="15.75" hidden="false" customHeight="true" outlineLevel="0" collapsed="false">
      <c r="A41" s="7" t="s">
        <v>3552</v>
      </c>
      <c r="B41" s="57" t="n">
        <v>46086</v>
      </c>
      <c r="C41" s="16" t="s">
        <v>345</v>
      </c>
      <c r="D41" s="7" t="s">
        <v>554</v>
      </c>
      <c r="E41" s="7" t="s">
        <v>607</v>
      </c>
      <c r="F41" s="7" t="s">
        <v>3500</v>
      </c>
      <c r="G41" s="7" t="s">
        <v>3512</v>
      </c>
      <c r="H41" s="7" t="s">
        <v>422</v>
      </c>
      <c r="I41" s="7" t="s">
        <v>3502</v>
      </c>
      <c r="J41" s="16" t="n">
        <v>0</v>
      </c>
      <c r="K41" s="16" t="n">
        <v>0</v>
      </c>
      <c r="L41" s="16" t="n">
        <v>0</v>
      </c>
      <c r="M41" s="16" t="n">
        <v>0</v>
      </c>
      <c r="N41" s="16" t="n">
        <v>0</v>
      </c>
      <c r="O41" s="16" t="n">
        <v>5</v>
      </c>
      <c r="P41" s="16" t="n">
        <v>0</v>
      </c>
      <c r="Q41" s="58" t="n">
        <v>0</v>
      </c>
      <c r="R41" s="57" t="n">
        <v>46110</v>
      </c>
      <c r="S41" s="7" t="s">
        <v>3503</v>
      </c>
      <c r="T41" s="7" t="s">
        <v>3504</v>
      </c>
    </row>
    <row r="42" customFormat="false" ht="15.75" hidden="false" customHeight="true" outlineLevel="0" collapsed="false">
      <c r="A42" s="5" t="s">
        <v>3553</v>
      </c>
      <c r="B42" s="55" t="n">
        <v>46090</v>
      </c>
      <c r="C42" s="15" t="s">
        <v>345</v>
      </c>
      <c r="D42" s="5" t="s">
        <v>565</v>
      </c>
      <c r="E42" s="5" t="s">
        <v>670</v>
      </c>
      <c r="F42" s="5" t="s">
        <v>3506</v>
      </c>
      <c r="G42" s="5" t="s">
        <v>3507</v>
      </c>
      <c r="H42" s="5" t="s">
        <v>422</v>
      </c>
      <c r="I42" s="5" t="s">
        <v>3554</v>
      </c>
      <c r="J42" s="15" t="n">
        <v>0</v>
      </c>
      <c r="K42" s="15" t="n">
        <v>0</v>
      </c>
      <c r="L42" s="15" t="n">
        <v>0</v>
      </c>
      <c r="M42" s="15" t="n">
        <v>0</v>
      </c>
      <c r="N42" s="15" t="n">
        <v>0</v>
      </c>
      <c r="O42" s="15" t="n">
        <v>20</v>
      </c>
      <c r="P42" s="15" t="n">
        <v>0</v>
      </c>
      <c r="Q42" s="56" t="n">
        <v>0</v>
      </c>
      <c r="R42" s="55" t="n">
        <v>46123</v>
      </c>
      <c r="S42" s="5" t="s">
        <v>3503</v>
      </c>
      <c r="T42" s="5" t="s">
        <v>1210</v>
      </c>
    </row>
    <row r="43" customFormat="false" ht="15.75" hidden="false" customHeight="true" outlineLevel="0" collapsed="false">
      <c r="A43" s="7" t="s">
        <v>3555</v>
      </c>
      <c r="B43" s="57" t="n">
        <v>46094</v>
      </c>
      <c r="C43" s="16" t="s">
        <v>345</v>
      </c>
      <c r="D43" s="7" t="s">
        <v>575</v>
      </c>
      <c r="E43" s="7" t="s">
        <v>705</v>
      </c>
      <c r="F43" s="7" t="s">
        <v>3521</v>
      </c>
      <c r="G43" s="7" t="s">
        <v>3509</v>
      </c>
      <c r="H43" s="7" t="s">
        <v>420</v>
      </c>
      <c r="I43" s="7" t="s">
        <v>3502</v>
      </c>
      <c r="J43" s="16" t="n">
        <v>0</v>
      </c>
      <c r="K43" s="16" t="n">
        <v>0</v>
      </c>
      <c r="L43" s="16" t="n">
        <v>0</v>
      </c>
      <c r="M43" s="16" t="n">
        <v>0</v>
      </c>
      <c r="N43" s="16" t="n">
        <v>0</v>
      </c>
      <c r="O43" s="16" t="n">
        <v>5</v>
      </c>
      <c r="P43" s="16" t="n">
        <v>0</v>
      </c>
      <c r="Q43" s="58" t="n">
        <v>0</v>
      </c>
      <c r="R43" s="57" t="n">
        <v>46136</v>
      </c>
      <c r="S43" s="7" t="s">
        <v>3503</v>
      </c>
      <c r="T43" s="7" t="s">
        <v>3510</v>
      </c>
    </row>
    <row r="44" customFormat="false" ht="15.75" hidden="false" customHeight="true" outlineLevel="0" collapsed="false">
      <c r="A44" s="5" t="s">
        <v>3556</v>
      </c>
      <c r="B44" s="55" t="n">
        <v>46098</v>
      </c>
      <c r="C44" s="15" t="s">
        <v>353</v>
      </c>
      <c r="D44" s="5" t="s">
        <v>584</v>
      </c>
      <c r="E44" s="5" t="s">
        <v>732</v>
      </c>
      <c r="F44" s="5" t="s">
        <v>3506</v>
      </c>
      <c r="G44" s="5" t="s">
        <v>3527</v>
      </c>
      <c r="H44" s="5" t="s">
        <v>422</v>
      </c>
      <c r="I44" s="5" t="s">
        <v>3502</v>
      </c>
      <c r="J44" s="15" t="n">
        <v>0</v>
      </c>
      <c r="K44" s="15" t="n">
        <v>1</v>
      </c>
      <c r="L44" s="15" t="n">
        <v>2</v>
      </c>
      <c r="M44" s="15" t="n">
        <v>0</v>
      </c>
      <c r="N44" s="15" t="n">
        <v>1</v>
      </c>
      <c r="O44" s="15" t="n">
        <v>20</v>
      </c>
      <c r="P44" s="15" t="n">
        <v>1</v>
      </c>
      <c r="Q44" s="56" t="n">
        <v>4</v>
      </c>
      <c r="R44" s="55" t="n">
        <v>46149</v>
      </c>
      <c r="S44" s="5" t="s">
        <v>2934</v>
      </c>
      <c r="T44" s="5" t="s">
        <v>3513</v>
      </c>
    </row>
    <row r="45" customFormat="false" ht="15.75" hidden="false" customHeight="true" outlineLevel="0" collapsed="false">
      <c r="A45" s="7" t="s">
        <v>3557</v>
      </c>
      <c r="B45" s="57" t="n">
        <v>46102</v>
      </c>
      <c r="C45" s="16" t="s">
        <v>353</v>
      </c>
      <c r="D45" s="7" t="s">
        <v>554</v>
      </c>
      <c r="E45" s="7" t="s">
        <v>614</v>
      </c>
      <c r="F45" s="7" t="s">
        <v>3500</v>
      </c>
      <c r="G45" s="7" t="s">
        <v>3507</v>
      </c>
      <c r="H45" s="7" t="s">
        <v>422</v>
      </c>
      <c r="I45" s="7" t="s">
        <v>3502</v>
      </c>
      <c r="J45" s="16" t="n">
        <v>1</v>
      </c>
      <c r="K45" s="16" t="n">
        <v>2</v>
      </c>
      <c r="L45" s="16" t="n">
        <v>0</v>
      </c>
      <c r="M45" s="16" t="n">
        <v>1</v>
      </c>
      <c r="N45" s="16" t="n">
        <v>2</v>
      </c>
      <c r="O45" s="16" t="n">
        <v>5</v>
      </c>
      <c r="P45" s="16" t="n">
        <v>0</v>
      </c>
      <c r="Q45" s="58" t="n">
        <v>0</v>
      </c>
      <c r="R45" s="57" t="n">
        <v>46162</v>
      </c>
      <c r="S45" s="7" t="s">
        <v>2934</v>
      </c>
      <c r="T45" s="7" t="s">
        <v>3515</v>
      </c>
    </row>
    <row r="46" customFormat="false" ht="15.75" hidden="false" customHeight="true" outlineLevel="0" collapsed="false">
      <c r="A46" s="5" t="s">
        <v>3558</v>
      </c>
      <c r="B46" s="55" t="n">
        <v>46106</v>
      </c>
      <c r="C46" s="15" t="s">
        <v>353</v>
      </c>
      <c r="D46" s="5" t="s">
        <v>565</v>
      </c>
      <c r="E46" s="5" t="s">
        <v>666</v>
      </c>
      <c r="F46" s="5" t="s">
        <v>3500</v>
      </c>
      <c r="G46" s="5" t="s">
        <v>3509</v>
      </c>
      <c r="H46" s="5" t="s">
        <v>420</v>
      </c>
      <c r="I46" s="5" t="s">
        <v>3502</v>
      </c>
      <c r="J46" s="15" t="n">
        <v>2</v>
      </c>
      <c r="K46" s="15" t="n">
        <v>0</v>
      </c>
      <c r="L46" s="15" t="n">
        <v>1</v>
      </c>
      <c r="M46" s="15" t="n">
        <v>2</v>
      </c>
      <c r="N46" s="15" t="n">
        <v>0</v>
      </c>
      <c r="O46" s="15" t="n">
        <v>20</v>
      </c>
      <c r="P46" s="15" t="n">
        <v>1</v>
      </c>
      <c r="Q46" s="56" t="n">
        <v>4.4</v>
      </c>
      <c r="R46" s="55" t="n">
        <v>46175</v>
      </c>
      <c r="S46" s="5" t="s">
        <v>2934</v>
      </c>
      <c r="T46" s="5" t="s">
        <v>3517</v>
      </c>
    </row>
    <row r="47" customFormat="false" ht="15.75" hidden="false" customHeight="true" outlineLevel="0" collapsed="false">
      <c r="A47" s="7" t="s">
        <v>3559</v>
      </c>
      <c r="B47" s="57" t="n">
        <v>46110</v>
      </c>
      <c r="C47" s="16" t="s">
        <v>360</v>
      </c>
      <c r="D47" s="7" t="s">
        <v>575</v>
      </c>
      <c r="E47" s="7" t="s">
        <v>701</v>
      </c>
      <c r="F47" s="7" t="s">
        <v>3506</v>
      </c>
      <c r="G47" s="7" t="s">
        <v>3527</v>
      </c>
      <c r="H47" s="7" t="s">
        <v>422</v>
      </c>
      <c r="I47" s="7" t="s">
        <v>3502</v>
      </c>
      <c r="J47" s="16" t="n">
        <v>1</v>
      </c>
      <c r="K47" s="16" t="n">
        <v>2</v>
      </c>
      <c r="L47" s="16" t="n">
        <v>3</v>
      </c>
      <c r="M47" s="16" t="n">
        <v>1</v>
      </c>
      <c r="N47" s="16" t="n">
        <v>2</v>
      </c>
      <c r="O47" s="16" t="n">
        <v>5</v>
      </c>
      <c r="P47" s="16" t="n">
        <v>1</v>
      </c>
      <c r="Q47" s="58" t="n">
        <v>4.6</v>
      </c>
      <c r="R47" s="57" t="n">
        <v>46188</v>
      </c>
      <c r="S47" s="7" t="s">
        <v>2934</v>
      </c>
      <c r="T47" s="7" t="s">
        <v>3519</v>
      </c>
    </row>
    <row r="48" customFormat="false" ht="15.75" hidden="false" customHeight="true" outlineLevel="0" collapsed="false">
      <c r="A48" s="5" t="s">
        <v>3560</v>
      </c>
      <c r="B48" s="55" t="n">
        <v>46114</v>
      </c>
      <c r="C48" s="15" t="s">
        <v>360</v>
      </c>
      <c r="D48" s="5" t="s">
        <v>584</v>
      </c>
      <c r="E48" s="5" t="s">
        <v>732</v>
      </c>
      <c r="F48" s="5" t="s">
        <v>3500</v>
      </c>
      <c r="G48" s="5" t="s">
        <v>3507</v>
      </c>
      <c r="H48" s="5" t="s">
        <v>422</v>
      </c>
      <c r="I48" s="5" t="s">
        <v>3502</v>
      </c>
      <c r="J48" s="15" t="n">
        <v>2</v>
      </c>
      <c r="K48" s="15" t="n">
        <v>3</v>
      </c>
      <c r="L48" s="15" t="n">
        <v>1</v>
      </c>
      <c r="M48" s="15" t="n">
        <v>2</v>
      </c>
      <c r="N48" s="15" t="n">
        <v>3</v>
      </c>
      <c r="O48" s="15" t="n">
        <v>20</v>
      </c>
      <c r="P48" s="15" t="n">
        <v>2</v>
      </c>
      <c r="Q48" s="56" t="n">
        <v>4.8</v>
      </c>
      <c r="R48" s="55" t="n">
        <v>46201</v>
      </c>
      <c r="S48" s="5" t="s">
        <v>2934</v>
      </c>
      <c r="T48" s="5" t="s">
        <v>3504</v>
      </c>
    </row>
    <row r="49" customFormat="false" ht="15.75" hidden="false" customHeight="true" outlineLevel="0" collapsed="false">
      <c r="A49" s="7" t="s">
        <v>3561</v>
      </c>
      <c r="B49" s="57" t="n">
        <v>46118</v>
      </c>
      <c r="C49" s="16" t="s">
        <v>360</v>
      </c>
      <c r="D49" s="7" t="s">
        <v>554</v>
      </c>
      <c r="E49" s="7" t="s">
        <v>620</v>
      </c>
      <c r="F49" s="7" t="s">
        <v>3506</v>
      </c>
      <c r="G49" s="7" t="s">
        <v>3533</v>
      </c>
      <c r="H49" s="7" t="s">
        <v>422</v>
      </c>
      <c r="I49" s="7" t="s">
        <v>3502</v>
      </c>
      <c r="J49" s="16" t="n">
        <v>3</v>
      </c>
      <c r="K49" s="16" t="n">
        <v>1</v>
      </c>
      <c r="L49" s="16" t="n">
        <v>2</v>
      </c>
      <c r="M49" s="16" t="n">
        <v>3</v>
      </c>
      <c r="N49" s="16" t="n">
        <v>1</v>
      </c>
      <c r="O49" s="16" t="n">
        <v>5</v>
      </c>
      <c r="P49" s="16" t="n">
        <v>3</v>
      </c>
      <c r="Q49" s="58" t="n">
        <v>3.9</v>
      </c>
      <c r="R49" s="57" t="n">
        <v>46214</v>
      </c>
      <c r="S49" s="7" t="s">
        <v>2934</v>
      </c>
      <c r="T49" s="7" t="s">
        <v>1210</v>
      </c>
    </row>
    <row r="50" customFormat="false" ht="15.75" hidden="false" customHeight="true" outlineLevel="0" collapsed="false">
      <c r="A50" s="5" t="s">
        <v>3562</v>
      </c>
      <c r="B50" s="55" t="n">
        <v>46122</v>
      </c>
      <c r="C50" s="15" t="s">
        <v>367</v>
      </c>
      <c r="D50" s="5" t="s">
        <v>565</v>
      </c>
      <c r="E50" s="5" t="s">
        <v>662</v>
      </c>
      <c r="F50" s="5" t="s">
        <v>3506</v>
      </c>
      <c r="G50" s="5" t="s">
        <v>3527</v>
      </c>
      <c r="H50" s="5" t="s">
        <v>422</v>
      </c>
      <c r="I50" s="5" t="s">
        <v>3502</v>
      </c>
      <c r="J50" s="15" t="n">
        <v>2</v>
      </c>
      <c r="K50" s="15" t="n">
        <v>3</v>
      </c>
      <c r="L50" s="15" t="n">
        <v>4</v>
      </c>
      <c r="M50" s="15" t="n">
        <v>2</v>
      </c>
      <c r="N50" s="15" t="n">
        <v>3</v>
      </c>
      <c r="O50" s="15" t="n">
        <v>20</v>
      </c>
      <c r="P50" s="15" t="n">
        <v>6</v>
      </c>
      <c r="Q50" s="56" t="n">
        <v>4.1</v>
      </c>
      <c r="R50" s="55" t="n">
        <v>46227</v>
      </c>
      <c r="S50" s="5" t="s">
        <v>2931</v>
      </c>
      <c r="T50" s="5" t="s">
        <v>3510</v>
      </c>
    </row>
    <row r="51" customFormat="false" ht="15.75" hidden="false" customHeight="true" outlineLevel="0" collapsed="false">
      <c r="A51" s="7" t="s">
        <v>3563</v>
      </c>
      <c r="B51" s="57" t="n">
        <v>46126</v>
      </c>
      <c r="C51" s="16" t="s">
        <v>345</v>
      </c>
      <c r="D51" s="7" t="s">
        <v>575</v>
      </c>
      <c r="E51" s="7" t="s">
        <v>709</v>
      </c>
      <c r="F51" s="7" t="s">
        <v>3500</v>
      </c>
      <c r="G51" s="7" t="s">
        <v>3507</v>
      </c>
      <c r="H51" s="7" t="s">
        <v>422</v>
      </c>
      <c r="I51" s="7" t="s">
        <v>3502</v>
      </c>
      <c r="J51" s="16" t="n">
        <v>0</v>
      </c>
      <c r="K51" s="16" t="n">
        <v>0</v>
      </c>
      <c r="L51" s="16" t="n">
        <v>0</v>
      </c>
      <c r="M51" s="16" t="n">
        <v>0</v>
      </c>
      <c r="N51" s="16" t="n">
        <v>0</v>
      </c>
      <c r="O51" s="16" t="n">
        <v>5</v>
      </c>
      <c r="P51" s="16" t="n">
        <v>0</v>
      </c>
      <c r="Q51" s="58" t="n">
        <v>0</v>
      </c>
      <c r="R51" s="57" t="n">
        <v>46240</v>
      </c>
      <c r="S51" s="7" t="s">
        <v>3503</v>
      </c>
      <c r="T51" s="7" t="s">
        <v>3513</v>
      </c>
    </row>
    <row r="52" customFormat="false" ht="15.75" hidden="false" customHeight="true" outlineLevel="0" collapsed="false">
      <c r="A52" s="5" t="s">
        <v>3564</v>
      </c>
      <c r="B52" s="55" t="n">
        <v>46130</v>
      </c>
      <c r="C52" s="15" t="s">
        <v>345</v>
      </c>
      <c r="D52" s="5" t="s">
        <v>584</v>
      </c>
      <c r="E52" s="5" t="s">
        <v>732</v>
      </c>
      <c r="F52" s="5" t="s">
        <v>3506</v>
      </c>
      <c r="G52" s="5" t="s">
        <v>3533</v>
      </c>
      <c r="H52" s="5" t="s">
        <v>422</v>
      </c>
      <c r="I52" s="5" t="s">
        <v>3502</v>
      </c>
      <c r="J52" s="15" t="n">
        <v>0</v>
      </c>
      <c r="K52" s="15" t="n">
        <v>0</v>
      </c>
      <c r="L52" s="15" t="n">
        <v>0</v>
      </c>
      <c r="M52" s="15" t="n">
        <v>0</v>
      </c>
      <c r="N52" s="15" t="n">
        <v>0</v>
      </c>
      <c r="O52" s="15" t="n">
        <v>20</v>
      </c>
      <c r="P52" s="15" t="n">
        <v>0</v>
      </c>
      <c r="Q52" s="56" t="n">
        <v>0</v>
      </c>
      <c r="R52" s="55" t="n">
        <v>46253</v>
      </c>
      <c r="S52" s="5" t="s">
        <v>3503</v>
      </c>
      <c r="T52" s="5" t="s">
        <v>3515</v>
      </c>
    </row>
    <row r="53" customFormat="false" ht="15.75" hidden="false" customHeight="true" outlineLevel="0" collapsed="false">
      <c r="A53" s="7" t="s">
        <v>3565</v>
      </c>
      <c r="B53" s="57" t="n">
        <v>46134</v>
      </c>
      <c r="C53" s="16" t="s">
        <v>345</v>
      </c>
      <c r="D53" s="7" t="s">
        <v>554</v>
      </c>
      <c r="E53" s="7" t="s">
        <v>607</v>
      </c>
      <c r="F53" s="7" t="s">
        <v>3521</v>
      </c>
      <c r="G53" s="7" t="s">
        <v>3535</v>
      </c>
      <c r="H53" s="7" t="s">
        <v>422</v>
      </c>
      <c r="I53" s="7" t="s">
        <v>3502</v>
      </c>
      <c r="J53" s="16" t="n">
        <v>0</v>
      </c>
      <c r="K53" s="16" t="n">
        <v>0</v>
      </c>
      <c r="L53" s="16" t="n">
        <v>0</v>
      </c>
      <c r="M53" s="16" t="n">
        <v>0</v>
      </c>
      <c r="N53" s="16" t="n">
        <v>0</v>
      </c>
      <c r="O53" s="16" t="n">
        <v>5</v>
      </c>
      <c r="P53" s="16" t="n">
        <v>0</v>
      </c>
      <c r="Q53" s="58" t="n">
        <v>0</v>
      </c>
      <c r="R53" s="57" t="n">
        <v>46266</v>
      </c>
      <c r="S53" s="7" t="s">
        <v>3503</v>
      </c>
      <c r="T53" s="7" t="s">
        <v>3517</v>
      </c>
    </row>
    <row r="54" customFormat="false" ht="15.75" hidden="false" customHeight="true" outlineLevel="0" collapsed="false">
      <c r="A54" s="5" t="s">
        <v>3566</v>
      </c>
      <c r="B54" s="55" t="n">
        <v>46138</v>
      </c>
      <c r="C54" s="15" t="s">
        <v>345</v>
      </c>
      <c r="D54" s="5" t="s">
        <v>565</v>
      </c>
      <c r="E54" s="5" t="s">
        <v>670</v>
      </c>
      <c r="F54" s="5" t="s">
        <v>3506</v>
      </c>
      <c r="G54" s="5" t="s">
        <v>3507</v>
      </c>
      <c r="H54" s="5" t="s">
        <v>422</v>
      </c>
      <c r="I54" s="5" t="s">
        <v>3502</v>
      </c>
      <c r="J54" s="15" t="n">
        <v>0</v>
      </c>
      <c r="K54" s="15" t="n">
        <v>0</v>
      </c>
      <c r="L54" s="15" t="n">
        <v>0</v>
      </c>
      <c r="M54" s="15" t="n">
        <v>0</v>
      </c>
      <c r="N54" s="15" t="n">
        <v>0</v>
      </c>
      <c r="O54" s="15" t="n">
        <v>20</v>
      </c>
      <c r="P54" s="15" t="n">
        <v>0</v>
      </c>
      <c r="Q54" s="56" t="n">
        <v>0</v>
      </c>
      <c r="R54" s="55" t="n">
        <v>46279</v>
      </c>
      <c r="S54" s="5" t="s">
        <v>3503</v>
      </c>
      <c r="T54" s="5" t="s">
        <v>3519</v>
      </c>
    </row>
    <row r="55" customFormat="false" ht="15.75" hidden="false" customHeight="true" outlineLevel="0" collapsed="false">
      <c r="A55" s="7" t="s">
        <v>3567</v>
      </c>
      <c r="B55" s="57" t="n">
        <v>46142</v>
      </c>
      <c r="C55" s="16" t="s">
        <v>353</v>
      </c>
      <c r="D55" s="7" t="s">
        <v>575</v>
      </c>
      <c r="E55" s="7" t="s">
        <v>705</v>
      </c>
      <c r="F55" s="7" t="s">
        <v>3500</v>
      </c>
      <c r="G55" s="7" t="s">
        <v>3533</v>
      </c>
      <c r="H55" s="7" t="s">
        <v>422</v>
      </c>
      <c r="I55" s="7" t="s">
        <v>3502</v>
      </c>
      <c r="J55" s="16" t="n">
        <v>2</v>
      </c>
      <c r="K55" s="16" t="n">
        <v>0</v>
      </c>
      <c r="L55" s="16" t="n">
        <v>1</v>
      </c>
      <c r="M55" s="16" t="n">
        <v>2</v>
      </c>
      <c r="N55" s="16" t="n">
        <v>0</v>
      </c>
      <c r="O55" s="16" t="n">
        <v>5</v>
      </c>
      <c r="P55" s="16" t="n">
        <v>0</v>
      </c>
      <c r="Q55" s="58" t="n">
        <v>0</v>
      </c>
      <c r="R55" s="57" t="n">
        <v>46142</v>
      </c>
      <c r="S55" s="7" t="s">
        <v>2934</v>
      </c>
      <c r="T55" s="7" t="s">
        <v>3504</v>
      </c>
    </row>
    <row r="56" customFormat="false" ht="15.75" hidden="false" customHeight="true" outlineLevel="0" collapsed="false">
      <c r="A56" s="5" t="s">
        <v>3568</v>
      </c>
      <c r="B56" s="55" t="n">
        <v>46146</v>
      </c>
      <c r="C56" s="15" t="s">
        <v>353</v>
      </c>
      <c r="D56" s="5" t="s">
        <v>584</v>
      </c>
      <c r="E56" s="5" t="s">
        <v>732</v>
      </c>
      <c r="F56" s="5" t="s">
        <v>3500</v>
      </c>
      <c r="G56" s="5" t="s">
        <v>3535</v>
      </c>
      <c r="H56" s="5" t="s">
        <v>422</v>
      </c>
      <c r="I56" s="5" t="s">
        <v>1965</v>
      </c>
      <c r="J56" s="15" t="n">
        <v>0</v>
      </c>
      <c r="K56" s="15" t="n">
        <v>1</v>
      </c>
      <c r="L56" s="15" t="n">
        <v>2</v>
      </c>
      <c r="M56" s="15" t="n">
        <v>0</v>
      </c>
      <c r="N56" s="15" t="n">
        <v>1</v>
      </c>
      <c r="O56" s="15" t="n">
        <v>20</v>
      </c>
      <c r="P56" s="15" t="n">
        <v>1</v>
      </c>
      <c r="Q56" s="56" t="n">
        <v>4.2</v>
      </c>
      <c r="R56" s="55" t="n">
        <v>46155</v>
      </c>
      <c r="S56" s="5" t="s">
        <v>2934</v>
      </c>
      <c r="T56" s="5" t="s">
        <v>1210</v>
      </c>
    </row>
    <row r="57" customFormat="false" ht="15.75" hidden="false" customHeight="true" outlineLevel="0" collapsed="false">
      <c r="A57" s="7" t="s">
        <v>3569</v>
      </c>
      <c r="B57" s="57" t="n">
        <v>46150</v>
      </c>
      <c r="C57" s="16" t="s">
        <v>353</v>
      </c>
      <c r="D57" s="7" t="s">
        <v>554</v>
      </c>
      <c r="E57" s="7" t="s">
        <v>614</v>
      </c>
      <c r="F57" s="7" t="s">
        <v>3506</v>
      </c>
      <c r="G57" s="7" t="s">
        <v>3507</v>
      </c>
      <c r="H57" s="7" t="s">
        <v>422</v>
      </c>
      <c r="I57" s="7" t="s">
        <v>3502</v>
      </c>
      <c r="J57" s="16" t="n">
        <v>1</v>
      </c>
      <c r="K57" s="16" t="n">
        <v>2</v>
      </c>
      <c r="L57" s="16" t="n">
        <v>0</v>
      </c>
      <c r="M57" s="16" t="n">
        <v>1</v>
      </c>
      <c r="N57" s="16" t="n">
        <v>2</v>
      </c>
      <c r="O57" s="16" t="n">
        <v>5</v>
      </c>
      <c r="P57" s="16" t="n">
        <v>0</v>
      </c>
      <c r="Q57" s="58" t="n">
        <v>0</v>
      </c>
      <c r="R57" s="57" t="n">
        <v>46168</v>
      </c>
      <c r="S57" s="7" t="s">
        <v>2934</v>
      </c>
      <c r="T57" s="7" t="s">
        <v>3510</v>
      </c>
    </row>
    <row r="58" customFormat="false" ht="15.75" hidden="false" customHeight="true" outlineLevel="0" collapsed="false">
      <c r="A58" s="5" t="s">
        <v>3570</v>
      </c>
      <c r="B58" s="55" t="n">
        <v>46154</v>
      </c>
      <c r="C58" s="15" t="s">
        <v>353</v>
      </c>
      <c r="D58" s="5" t="s">
        <v>565</v>
      </c>
      <c r="E58" s="5" t="s">
        <v>666</v>
      </c>
      <c r="F58" s="5" t="s">
        <v>3500</v>
      </c>
      <c r="G58" s="5" t="s">
        <v>3501</v>
      </c>
      <c r="H58" s="5" t="s">
        <v>422</v>
      </c>
      <c r="I58" s="5" t="s">
        <v>3502</v>
      </c>
      <c r="J58" s="15" t="n">
        <v>2</v>
      </c>
      <c r="K58" s="15" t="n">
        <v>0</v>
      </c>
      <c r="L58" s="15" t="n">
        <v>1</v>
      </c>
      <c r="M58" s="15" t="n">
        <v>2</v>
      </c>
      <c r="N58" s="15" t="n">
        <v>0</v>
      </c>
      <c r="O58" s="15" t="n">
        <v>20</v>
      </c>
      <c r="P58" s="15" t="n">
        <v>1</v>
      </c>
      <c r="Q58" s="56" t="n">
        <v>4.6</v>
      </c>
      <c r="R58" s="55" t="n">
        <v>46181</v>
      </c>
      <c r="S58" s="5" t="s">
        <v>2934</v>
      </c>
      <c r="T58" s="5" t="s">
        <v>3513</v>
      </c>
    </row>
    <row r="59" customFormat="false" ht="15.75" hidden="false" customHeight="true" outlineLevel="0" collapsed="false">
      <c r="A59" s="7" t="s">
        <v>3571</v>
      </c>
      <c r="B59" s="57" t="n">
        <v>46158</v>
      </c>
      <c r="C59" s="16" t="s">
        <v>360</v>
      </c>
      <c r="D59" s="7" t="s">
        <v>575</v>
      </c>
      <c r="E59" s="7" t="s">
        <v>701</v>
      </c>
      <c r="F59" s="7" t="s">
        <v>3506</v>
      </c>
      <c r="G59" s="7" t="s">
        <v>3507</v>
      </c>
      <c r="H59" s="7" t="s">
        <v>422</v>
      </c>
      <c r="I59" s="7" t="s">
        <v>3502</v>
      </c>
      <c r="J59" s="16" t="n">
        <v>1</v>
      </c>
      <c r="K59" s="16" t="n">
        <v>2</v>
      </c>
      <c r="L59" s="16" t="n">
        <v>3</v>
      </c>
      <c r="M59" s="16" t="n">
        <v>1</v>
      </c>
      <c r="N59" s="16" t="n">
        <v>2</v>
      </c>
      <c r="O59" s="16" t="n">
        <v>5</v>
      </c>
      <c r="P59" s="16" t="n">
        <v>1</v>
      </c>
      <c r="Q59" s="58" t="n">
        <v>4.8</v>
      </c>
      <c r="R59" s="57" t="n">
        <v>46194</v>
      </c>
      <c r="S59" s="7" t="s">
        <v>2931</v>
      </c>
      <c r="T59" s="7" t="s">
        <v>3515</v>
      </c>
    </row>
    <row r="60" customFormat="false" ht="15.75" hidden="false" customHeight="true" outlineLevel="0" collapsed="false">
      <c r="A60" s="5" t="s">
        <v>3572</v>
      </c>
      <c r="B60" s="55" t="n">
        <v>46162</v>
      </c>
      <c r="C60" s="15" t="s">
        <v>360</v>
      </c>
      <c r="D60" s="5" t="s">
        <v>584</v>
      </c>
      <c r="E60" s="5" t="s">
        <v>732</v>
      </c>
      <c r="F60" s="5" t="s">
        <v>3506</v>
      </c>
      <c r="G60" s="5" t="s">
        <v>3507</v>
      </c>
      <c r="H60" s="5" t="s">
        <v>422</v>
      </c>
      <c r="I60" s="5" t="s">
        <v>3502</v>
      </c>
      <c r="J60" s="15" t="n">
        <v>2</v>
      </c>
      <c r="K60" s="15" t="n">
        <v>3</v>
      </c>
      <c r="L60" s="15" t="n">
        <v>1</v>
      </c>
      <c r="M60" s="15" t="n">
        <v>2</v>
      </c>
      <c r="N60" s="15" t="n">
        <v>3</v>
      </c>
      <c r="O60" s="15" t="n">
        <v>20</v>
      </c>
      <c r="P60" s="15" t="n">
        <v>2</v>
      </c>
      <c r="Q60" s="56" t="n">
        <v>3.9</v>
      </c>
      <c r="R60" s="55" t="n">
        <v>46207</v>
      </c>
      <c r="S60" s="5" t="s">
        <v>2934</v>
      </c>
      <c r="T60" s="5" t="s">
        <v>3517</v>
      </c>
    </row>
    <row r="61" customFormat="false" ht="15.75" hidden="false" customHeight="true" outlineLevel="0" collapsed="false">
      <c r="A61" s="7" t="s">
        <v>3573</v>
      </c>
      <c r="B61" s="57" t="n">
        <v>46166</v>
      </c>
      <c r="C61" s="16" t="s">
        <v>367</v>
      </c>
      <c r="D61" s="7" t="s">
        <v>554</v>
      </c>
      <c r="E61" s="7" t="s">
        <v>620</v>
      </c>
      <c r="F61" s="7" t="s">
        <v>3500</v>
      </c>
      <c r="G61" s="7" t="s">
        <v>3501</v>
      </c>
      <c r="H61" s="7" t="s">
        <v>422</v>
      </c>
      <c r="I61" s="7" t="s">
        <v>3502</v>
      </c>
      <c r="J61" s="16" t="n">
        <v>4</v>
      </c>
      <c r="K61" s="16" t="n">
        <v>2</v>
      </c>
      <c r="L61" s="16" t="n">
        <v>3</v>
      </c>
      <c r="M61" s="16" t="n">
        <v>4</v>
      </c>
      <c r="N61" s="16" t="n">
        <v>2</v>
      </c>
      <c r="O61" s="16" t="n">
        <v>5</v>
      </c>
      <c r="P61" s="16" t="n">
        <v>5</v>
      </c>
      <c r="Q61" s="58" t="n">
        <v>4.1</v>
      </c>
      <c r="R61" s="57" t="n">
        <v>46220</v>
      </c>
      <c r="S61" s="7" t="s">
        <v>2934</v>
      </c>
      <c r="T61" s="7" t="s">
        <v>3519</v>
      </c>
    </row>
    <row r="62" customFormat="false" ht="15.75" hidden="false" customHeight="true" outlineLevel="0" collapsed="false">
      <c r="A62" s="5" t="s">
        <v>3574</v>
      </c>
      <c r="B62" s="55" t="n">
        <v>46170</v>
      </c>
      <c r="C62" s="15" t="s">
        <v>375</v>
      </c>
      <c r="D62" s="5" t="s">
        <v>565</v>
      </c>
      <c r="E62" s="5" t="s">
        <v>662</v>
      </c>
      <c r="F62" s="5" t="s">
        <v>3506</v>
      </c>
      <c r="G62" s="5" t="s">
        <v>3507</v>
      </c>
      <c r="H62" s="5" t="s">
        <v>422</v>
      </c>
      <c r="I62" s="5" t="s">
        <v>3502</v>
      </c>
      <c r="J62" s="15" t="n">
        <v>3</v>
      </c>
      <c r="K62" s="15" t="n">
        <v>4</v>
      </c>
      <c r="L62" s="15" t="n">
        <v>4</v>
      </c>
      <c r="M62" s="15" t="n">
        <v>3</v>
      </c>
      <c r="N62" s="15" t="n">
        <v>4</v>
      </c>
      <c r="O62" s="15" t="n">
        <v>20</v>
      </c>
      <c r="P62" s="15" t="n">
        <v>13</v>
      </c>
      <c r="Q62" s="56" t="n">
        <v>4.3</v>
      </c>
      <c r="R62" s="55" t="n">
        <v>46233</v>
      </c>
      <c r="S62" s="5" t="s">
        <v>2934</v>
      </c>
      <c r="T62" s="5" t="s">
        <v>3504</v>
      </c>
    </row>
    <row r="63" customFormat="false" ht="15.75" hidden="false" customHeight="true" outlineLevel="0" collapsed="false">
      <c r="A63" s="7" t="s">
        <v>3575</v>
      </c>
      <c r="B63" s="57" t="n">
        <v>46174</v>
      </c>
      <c r="C63" s="16" t="s">
        <v>345</v>
      </c>
      <c r="D63" s="7" t="s">
        <v>575</v>
      </c>
      <c r="E63" s="7" t="s">
        <v>709</v>
      </c>
      <c r="F63" s="7" t="s">
        <v>3521</v>
      </c>
      <c r="G63" s="7" t="s">
        <v>3509</v>
      </c>
      <c r="H63" s="7" t="s">
        <v>420</v>
      </c>
      <c r="I63" s="7" t="s">
        <v>3502</v>
      </c>
      <c r="J63" s="16" t="n">
        <v>0</v>
      </c>
      <c r="K63" s="16" t="n">
        <v>0</v>
      </c>
      <c r="L63" s="16" t="n">
        <v>0</v>
      </c>
      <c r="M63" s="16" t="n">
        <v>0</v>
      </c>
      <c r="N63" s="16" t="n">
        <v>0</v>
      </c>
      <c r="O63" s="16" t="n">
        <v>5</v>
      </c>
      <c r="P63" s="16" t="n">
        <v>0</v>
      </c>
      <c r="Q63" s="58" t="n">
        <v>0</v>
      </c>
      <c r="R63" s="57" t="n">
        <v>46246</v>
      </c>
      <c r="S63" s="7" t="s">
        <v>3503</v>
      </c>
      <c r="T63" s="7" t="s">
        <v>1210</v>
      </c>
    </row>
    <row r="64" customFormat="false" ht="15.75" hidden="false" customHeight="true" outlineLevel="0" collapsed="false">
      <c r="A64" s="5" t="s">
        <v>3576</v>
      </c>
      <c r="B64" s="55" t="n">
        <v>46178</v>
      </c>
      <c r="C64" s="15" t="s">
        <v>345</v>
      </c>
      <c r="D64" s="5" t="s">
        <v>584</v>
      </c>
      <c r="E64" s="5" t="s">
        <v>732</v>
      </c>
      <c r="F64" s="5" t="s">
        <v>3506</v>
      </c>
      <c r="G64" s="5" t="s">
        <v>3512</v>
      </c>
      <c r="H64" s="5" t="s">
        <v>422</v>
      </c>
      <c r="I64" s="5" t="s">
        <v>3502</v>
      </c>
      <c r="J64" s="15" t="n">
        <v>0</v>
      </c>
      <c r="K64" s="15" t="n">
        <v>0</v>
      </c>
      <c r="L64" s="15" t="n">
        <v>0</v>
      </c>
      <c r="M64" s="15" t="n">
        <v>0</v>
      </c>
      <c r="N64" s="15" t="n">
        <v>0</v>
      </c>
      <c r="O64" s="15" t="n">
        <v>20</v>
      </c>
      <c r="P64" s="15" t="n">
        <v>0</v>
      </c>
      <c r="Q64" s="56" t="n">
        <v>0</v>
      </c>
      <c r="R64" s="55" t="n">
        <v>46259</v>
      </c>
      <c r="S64" s="5" t="s">
        <v>3503</v>
      </c>
      <c r="T64" s="5" t="s">
        <v>3510</v>
      </c>
    </row>
    <row r="65" customFormat="false" ht="15.75" hidden="false" customHeight="true" outlineLevel="0" collapsed="false">
      <c r="A65" s="7" t="s">
        <v>3577</v>
      </c>
      <c r="B65" s="57" t="n">
        <v>46182</v>
      </c>
      <c r="C65" s="16" t="s">
        <v>345</v>
      </c>
      <c r="D65" s="7" t="s">
        <v>554</v>
      </c>
      <c r="E65" s="7" t="s">
        <v>607</v>
      </c>
      <c r="F65" s="7" t="s">
        <v>3500</v>
      </c>
      <c r="G65" s="7" t="s">
        <v>3507</v>
      </c>
      <c r="H65" s="7" t="s">
        <v>422</v>
      </c>
      <c r="I65" s="7" t="s">
        <v>3502</v>
      </c>
      <c r="J65" s="16" t="n">
        <v>0</v>
      </c>
      <c r="K65" s="16" t="n">
        <v>0</v>
      </c>
      <c r="L65" s="16" t="n">
        <v>0</v>
      </c>
      <c r="M65" s="16" t="n">
        <v>0</v>
      </c>
      <c r="N65" s="16" t="n">
        <v>0</v>
      </c>
      <c r="O65" s="16" t="n">
        <v>5</v>
      </c>
      <c r="P65" s="16" t="n">
        <v>0</v>
      </c>
      <c r="Q65" s="58" t="n">
        <v>0</v>
      </c>
      <c r="R65" s="57" t="n">
        <v>46272</v>
      </c>
      <c r="S65" s="7" t="s">
        <v>3503</v>
      </c>
      <c r="T65" s="7" t="s">
        <v>3513</v>
      </c>
    </row>
    <row r="66" customFormat="false" ht="15.75" hidden="false" customHeight="true" outlineLevel="0" collapsed="false">
      <c r="A66" s="5" t="s">
        <v>3578</v>
      </c>
      <c r="B66" s="55" t="n">
        <v>46186</v>
      </c>
      <c r="C66" s="15" t="s">
        <v>345</v>
      </c>
      <c r="D66" s="5" t="s">
        <v>565</v>
      </c>
      <c r="E66" s="5" t="s">
        <v>670</v>
      </c>
      <c r="F66" s="5" t="s">
        <v>3500</v>
      </c>
      <c r="G66" s="5" t="s">
        <v>3509</v>
      </c>
      <c r="H66" s="5" t="s">
        <v>420</v>
      </c>
      <c r="I66" s="5" t="s">
        <v>3502</v>
      </c>
      <c r="J66" s="15" t="n">
        <v>0</v>
      </c>
      <c r="K66" s="15" t="n">
        <v>0</v>
      </c>
      <c r="L66" s="15" t="n">
        <v>0</v>
      </c>
      <c r="M66" s="15" t="n">
        <v>0</v>
      </c>
      <c r="N66" s="15" t="n">
        <v>0</v>
      </c>
      <c r="O66" s="15" t="n">
        <v>20</v>
      </c>
      <c r="P66" s="15" t="n">
        <v>0</v>
      </c>
      <c r="Q66" s="56" t="n">
        <v>0</v>
      </c>
      <c r="R66" s="55" t="n">
        <v>46285</v>
      </c>
      <c r="S66" s="5" t="s">
        <v>3503</v>
      </c>
      <c r="T66" s="5" t="s">
        <v>3515</v>
      </c>
    </row>
    <row r="67" customFormat="false" ht="15.75" hidden="false" customHeight="true" outlineLevel="0" collapsed="false">
      <c r="A67" s="7" t="s">
        <v>3579</v>
      </c>
      <c r="B67" s="57" t="n">
        <v>46190</v>
      </c>
      <c r="C67" s="16" t="s">
        <v>353</v>
      </c>
      <c r="D67" s="7" t="s">
        <v>575</v>
      </c>
      <c r="E67" s="7" t="s">
        <v>705</v>
      </c>
      <c r="F67" s="7" t="s">
        <v>3506</v>
      </c>
      <c r="G67" s="7" t="s">
        <v>3512</v>
      </c>
      <c r="H67" s="7" t="s">
        <v>422</v>
      </c>
      <c r="I67" s="7" t="s">
        <v>3502</v>
      </c>
      <c r="J67" s="16" t="n">
        <v>2</v>
      </c>
      <c r="K67" s="16" t="n">
        <v>0</v>
      </c>
      <c r="L67" s="16" t="n">
        <v>1</v>
      </c>
      <c r="M67" s="16" t="n">
        <v>2</v>
      </c>
      <c r="N67" s="16" t="n">
        <v>0</v>
      </c>
      <c r="O67" s="16" t="n">
        <v>5</v>
      </c>
      <c r="P67" s="16" t="n">
        <v>0</v>
      </c>
      <c r="Q67" s="58" t="n">
        <v>0</v>
      </c>
      <c r="R67" s="57" t="n">
        <v>46298</v>
      </c>
      <c r="S67" s="7" t="s">
        <v>2934</v>
      </c>
      <c r="T67" s="7" t="s">
        <v>3517</v>
      </c>
    </row>
    <row r="68" customFormat="false" ht="15.75" hidden="false" customHeight="true" outlineLevel="0" collapsed="false">
      <c r="A68" s="5" t="s">
        <v>3580</v>
      </c>
      <c r="B68" s="55" t="n">
        <v>46194</v>
      </c>
      <c r="C68" s="15" t="s">
        <v>353</v>
      </c>
      <c r="D68" s="5" t="s">
        <v>584</v>
      </c>
      <c r="E68" s="5" t="s">
        <v>732</v>
      </c>
      <c r="F68" s="5" t="s">
        <v>3500</v>
      </c>
      <c r="G68" s="5" t="s">
        <v>3507</v>
      </c>
      <c r="H68" s="5" t="s">
        <v>422</v>
      </c>
      <c r="I68" s="5" t="s">
        <v>3502</v>
      </c>
      <c r="J68" s="15" t="n">
        <v>0</v>
      </c>
      <c r="K68" s="15" t="n">
        <v>1</v>
      </c>
      <c r="L68" s="15" t="n">
        <v>2</v>
      </c>
      <c r="M68" s="15" t="n">
        <v>0</v>
      </c>
      <c r="N68" s="15" t="n">
        <v>1</v>
      </c>
      <c r="O68" s="15" t="n">
        <v>20</v>
      </c>
      <c r="P68" s="15" t="n">
        <v>1</v>
      </c>
      <c r="Q68" s="56" t="n">
        <v>4.4</v>
      </c>
      <c r="R68" s="55" t="n">
        <v>46311</v>
      </c>
      <c r="S68" s="5" t="s">
        <v>2931</v>
      </c>
      <c r="T68" s="5" t="s">
        <v>3519</v>
      </c>
    </row>
    <row r="69" customFormat="false" ht="15.75" hidden="false" customHeight="true" outlineLevel="0" collapsed="false">
      <c r="A69" s="7" t="s">
        <v>3581</v>
      </c>
      <c r="B69" s="57" t="n">
        <v>46198</v>
      </c>
      <c r="C69" s="16" t="s">
        <v>353</v>
      </c>
      <c r="D69" s="7" t="s">
        <v>554</v>
      </c>
      <c r="E69" s="7" t="s">
        <v>614</v>
      </c>
      <c r="F69" s="7" t="s">
        <v>3506</v>
      </c>
      <c r="G69" s="7" t="s">
        <v>3509</v>
      </c>
      <c r="H69" s="7" t="s">
        <v>420</v>
      </c>
      <c r="I69" s="7" t="s">
        <v>3502</v>
      </c>
      <c r="J69" s="16" t="n">
        <v>1</v>
      </c>
      <c r="K69" s="16" t="n">
        <v>2</v>
      </c>
      <c r="L69" s="16" t="n">
        <v>0</v>
      </c>
      <c r="M69" s="16" t="n">
        <v>1</v>
      </c>
      <c r="N69" s="16" t="n">
        <v>2</v>
      </c>
      <c r="O69" s="16" t="n">
        <v>5</v>
      </c>
      <c r="P69" s="16" t="n">
        <v>0</v>
      </c>
      <c r="Q69" s="58" t="n">
        <v>0</v>
      </c>
      <c r="R69" s="57" t="n">
        <v>46324</v>
      </c>
      <c r="S69" s="7" t="s">
        <v>2934</v>
      </c>
      <c r="T69" s="7" t="s">
        <v>3504</v>
      </c>
    </row>
    <row r="70" customFormat="false" ht="15.75" hidden="false" customHeight="true" outlineLevel="0" collapsed="false">
      <c r="A70" s="5" t="s">
        <v>3582</v>
      </c>
      <c r="B70" s="55" t="n">
        <v>46202</v>
      </c>
      <c r="C70" s="15" t="s">
        <v>360</v>
      </c>
      <c r="D70" s="5" t="s">
        <v>565</v>
      </c>
      <c r="E70" s="5" t="s">
        <v>666</v>
      </c>
      <c r="F70" s="5" t="s">
        <v>3506</v>
      </c>
      <c r="G70" s="5" t="s">
        <v>3512</v>
      </c>
      <c r="H70" s="5" t="s">
        <v>422</v>
      </c>
      <c r="I70" s="5" t="s">
        <v>3502</v>
      </c>
      <c r="J70" s="15" t="n">
        <v>3</v>
      </c>
      <c r="K70" s="15" t="n">
        <v>1</v>
      </c>
      <c r="L70" s="15" t="n">
        <v>2</v>
      </c>
      <c r="M70" s="15" t="n">
        <v>3</v>
      </c>
      <c r="N70" s="15" t="n">
        <v>1</v>
      </c>
      <c r="O70" s="15" t="n">
        <v>20</v>
      </c>
      <c r="P70" s="15" t="n">
        <v>3</v>
      </c>
      <c r="Q70" s="56" t="n">
        <v>4.8</v>
      </c>
      <c r="R70" s="55" t="n">
        <v>46337</v>
      </c>
      <c r="S70" s="5" t="s">
        <v>2934</v>
      </c>
      <c r="T70" s="5" t="s">
        <v>1210</v>
      </c>
    </row>
    <row r="71" customFormat="false" ht="15.75" hidden="false" customHeight="true" outlineLevel="0" collapsed="false">
      <c r="A71" s="7" t="s">
        <v>3583</v>
      </c>
      <c r="B71" s="57" t="n">
        <v>46206</v>
      </c>
      <c r="C71" s="16" t="s">
        <v>360</v>
      </c>
      <c r="D71" s="7" t="s">
        <v>575</v>
      </c>
      <c r="E71" s="7" t="s">
        <v>701</v>
      </c>
      <c r="F71" s="7" t="s">
        <v>3500</v>
      </c>
      <c r="G71" s="7" t="s">
        <v>3507</v>
      </c>
      <c r="H71" s="7" t="s">
        <v>422</v>
      </c>
      <c r="I71" s="7" t="s">
        <v>3502</v>
      </c>
      <c r="J71" s="16" t="n">
        <v>1</v>
      </c>
      <c r="K71" s="16" t="n">
        <v>2</v>
      </c>
      <c r="L71" s="16" t="n">
        <v>3</v>
      </c>
      <c r="M71" s="16" t="n">
        <v>1</v>
      </c>
      <c r="N71" s="16" t="n">
        <v>2</v>
      </c>
      <c r="O71" s="16" t="n">
        <v>5</v>
      </c>
      <c r="P71" s="16" t="n">
        <v>1</v>
      </c>
      <c r="Q71" s="58" t="n">
        <v>3.9</v>
      </c>
      <c r="R71" s="57" t="n">
        <v>46350</v>
      </c>
      <c r="S71" s="7" t="s">
        <v>2934</v>
      </c>
      <c r="T71" s="7" t="s">
        <v>3510</v>
      </c>
    </row>
    <row r="72" customFormat="false" ht="15.75" hidden="false" customHeight="true" outlineLevel="0" collapsed="false">
      <c r="A72" s="5" t="s">
        <v>3584</v>
      </c>
      <c r="B72" s="55" t="n">
        <v>46210</v>
      </c>
      <c r="C72" s="15" t="s">
        <v>360</v>
      </c>
      <c r="D72" s="5" t="s">
        <v>584</v>
      </c>
      <c r="E72" s="5" t="s">
        <v>732</v>
      </c>
      <c r="F72" s="5" t="s">
        <v>3506</v>
      </c>
      <c r="G72" s="5" t="s">
        <v>3509</v>
      </c>
      <c r="H72" s="5" t="s">
        <v>420</v>
      </c>
      <c r="I72" s="5" t="s">
        <v>3502</v>
      </c>
      <c r="J72" s="15" t="n">
        <v>2</v>
      </c>
      <c r="K72" s="15" t="n">
        <v>3</v>
      </c>
      <c r="L72" s="15" t="n">
        <v>1</v>
      </c>
      <c r="M72" s="15" t="n">
        <v>2</v>
      </c>
      <c r="N72" s="15" t="n">
        <v>3</v>
      </c>
      <c r="O72" s="15" t="n">
        <v>20</v>
      </c>
      <c r="P72" s="15" t="n">
        <v>2</v>
      </c>
      <c r="Q72" s="56" t="n">
        <v>4.1</v>
      </c>
      <c r="R72" s="55" t="n">
        <v>46213</v>
      </c>
      <c r="S72" s="5" t="s">
        <v>2934</v>
      </c>
      <c r="T72" s="5" t="s">
        <v>3513</v>
      </c>
    </row>
    <row r="73" customFormat="false" ht="15.75" hidden="false" customHeight="true" outlineLevel="0" collapsed="false">
      <c r="A73" s="7" t="s">
        <v>3585</v>
      </c>
      <c r="B73" s="57" t="n">
        <v>46214</v>
      </c>
      <c r="C73" s="16" t="s">
        <v>367</v>
      </c>
      <c r="D73" s="7" t="s">
        <v>554</v>
      </c>
      <c r="E73" s="7" t="s">
        <v>620</v>
      </c>
      <c r="F73" s="7" t="s">
        <v>3521</v>
      </c>
      <c r="G73" s="7" t="s">
        <v>3527</v>
      </c>
      <c r="H73" s="7" t="s">
        <v>422</v>
      </c>
      <c r="I73" s="7" t="s">
        <v>1965</v>
      </c>
      <c r="J73" s="16" t="n">
        <v>4</v>
      </c>
      <c r="K73" s="16" t="n">
        <v>2</v>
      </c>
      <c r="L73" s="16" t="n">
        <v>3</v>
      </c>
      <c r="M73" s="16" t="n">
        <v>4</v>
      </c>
      <c r="N73" s="16" t="n">
        <v>2</v>
      </c>
      <c r="O73" s="16" t="n">
        <v>5</v>
      </c>
      <c r="P73" s="16" t="n">
        <v>5</v>
      </c>
      <c r="Q73" s="58" t="n">
        <v>4.3</v>
      </c>
      <c r="R73" s="57" t="n">
        <v>46226</v>
      </c>
      <c r="S73" s="7" t="s">
        <v>2934</v>
      </c>
      <c r="T73" s="7" t="s">
        <v>3515</v>
      </c>
    </row>
    <row r="74" customFormat="false" ht="15.75" hidden="false" customHeight="true" outlineLevel="0" collapsed="false">
      <c r="A74" s="5" t="s">
        <v>3586</v>
      </c>
      <c r="B74" s="55" t="n">
        <v>46218</v>
      </c>
      <c r="C74" s="15" t="s">
        <v>345</v>
      </c>
      <c r="D74" s="5" t="s">
        <v>565</v>
      </c>
      <c r="E74" s="5" t="s">
        <v>662</v>
      </c>
      <c r="F74" s="5" t="s">
        <v>3506</v>
      </c>
      <c r="G74" s="5" t="s">
        <v>3507</v>
      </c>
      <c r="H74" s="5" t="s">
        <v>422</v>
      </c>
      <c r="I74" s="5" t="s">
        <v>3502</v>
      </c>
      <c r="J74" s="15" t="n">
        <v>0</v>
      </c>
      <c r="K74" s="15" t="n">
        <v>0</v>
      </c>
      <c r="L74" s="15" t="n">
        <v>0</v>
      </c>
      <c r="M74" s="15" t="n">
        <v>0</v>
      </c>
      <c r="N74" s="15" t="n">
        <v>0</v>
      </c>
      <c r="O74" s="15" t="n">
        <v>20</v>
      </c>
      <c r="P74" s="15" t="n">
        <v>0</v>
      </c>
      <c r="Q74" s="56" t="n">
        <v>0</v>
      </c>
      <c r="R74" s="55" t="n">
        <v>46239</v>
      </c>
      <c r="S74" s="5" t="s">
        <v>3503</v>
      </c>
      <c r="T74" s="5" t="s">
        <v>3517</v>
      </c>
    </row>
    <row r="75" customFormat="false" ht="15.75" hidden="false" customHeight="true" outlineLevel="0" collapsed="false">
      <c r="A75" s="7" t="s">
        <v>3587</v>
      </c>
      <c r="B75" s="57" t="n">
        <v>46082</v>
      </c>
      <c r="C75" s="16" t="s">
        <v>345</v>
      </c>
      <c r="D75" s="7" t="s">
        <v>575</v>
      </c>
      <c r="E75" s="7" t="s">
        <v>709</v>
      </c>
      <c r="F75" s="7" t="s">
        <v>3500</v>
      </c>
      <c r="G75" s="7" t="s">
        <v>3509</v>
      </c>
      <c r="H75" s="7" t="s">
        <v>420</v>
      </c>
      <c r="I75" s="7" t="s">
        <v>3502</v>
      </c>
      <c r="J75" s="16" t="n">
        <v>0</v>
      </c>
      <c r="K75" s="16" t="n">
        <v>0</v>
      </c>
      <c r="L75" s="16" t="n">
        <v>0</v>
      </c>
      <c r="M75" s="16" t="n">
        <v>0</v>
      </c>
      <c r="N75" s="16" t="n">
        <v>0</v>
      </c>
      <c r="O75" s="16" t="n">
        <v>5</v>
      </c>
      <c r="P75" s="16" t="n">
        <v>0</v>
      </c>
      <c r="Q75" s="58" t="n">
        <v>0</v>
      </c>
      <c r="R75" s="57" t="n">
        <v>46112</v>
      </c>
      <c r="S75" s="7" t="s">
        <v>3503</v>
      </c>
      <c r="T75" s="7" t="s">
        <v>3519</v>
      </c>
    </row>
    <row r="76" customFormat="false" ht="15.75" hidden="false" customHeight="true" outlineLevel="0" collapsed="false">
      <c r="A76" s="5" t="s">
        <v>3588</v>
      </c>
      <c r="B76" s="55" t="n">
        <v>46086</v>
      </c>
      <c r="C76" s="15" t="s">
        <v>345</v>
      </c>
      <c r="D76" s="5" t="s">
        <v>584</v>
      </c>
      <c r="E76" s="5" t="s">
        <v>732</v>
      </c>
      <c r="F76" s="5" t="s">
        <v>3500</v>
      </c>
      <c r="G76" s="5" t="s">
        <v>3527</v>
      </c>
      <c r="H76" s="5" t="s">
        <v>422</v>
      </c>
      <c r="I76" s="5" t="s">
        <v>3502</v>
      </c>
      <c r="J76" s="15" t="n">
        <v>0</v>
      </c>
      <c r="K76" s="15" t="n">
        <v>0</v>
      </c>
      <c r="L76" s="15" t="n">
        <v>0</v>
      </c>
      <c r="M76" s="15" t="n">
        <v>0</v>
      </c>
      <c r="N76" s="15" t="n">
        <v>0</v>
      </c>
      <c r="O76" s="15" t="n">
        <v>20</v>
      </c>
      <c r="P76" s="15" t="n">
        <v>0</v>
      </c>
      <c r="Q76" s="56" t="n">
        <v>0</v>
      </c>
      <c r="R76" s="55" t="n">
        <v>46125</v>
      </c>
      <c r="S76" s="5" t="s">
        <v>3503</v>
      </c>
      <c r="T76" s="5" t="s">
        <v>3504</v>
      </c>
    </row>
    <row r="77" customFormat="false" ht="15.75" hidden="false" customHeight="true" outlineLevel="0" collapsed="false">
      <c r="A77" s="7" t="s">
        <v>3589</v>
      </c>
      <c r="B77" s="57" t="n">
        <v>46090</v>
      </c>
      <c r="C77" s="16" t="s">
        <v>345</v>
      </c>
      <c r="D77" s="7" t="s">
        <v>554</v>
      </c>
      <c r="E77" s="7" t="s">
        <v>607</v>
      </c>
      <c r="F77" s="7" t="s">
        <v>3506</v>
      </c>
      <c r="G77" s="7" t="s">
        <v>3507</v>
      </c>
      <c r="H77" s="7" t="s">
        <v>422</v>
      </c>
      <c r="I77" s="7" t="s">
        <v>3502</v>
      </c>
      <c r="J77" s="16" t="n">
        <v>0</v>
      </c>
      <c r="K77" s="16" t="n">
        <v>0</v>
      </c>
      <c r="L77" s="16" t="n">
        <v>0</v>
      </c>
      <c r="M77" s="16" t="n">
        <v>0</v>
      </c>
      <c r="N77" s="16" t="n">
        <v>0</v>
      </c>
      <c r="O77" s="16" t="n">
        <v>5</v>
      </c>
      <c r="P77" s="16" t="n">
        <v>0</v>
      </c>
      <c r="Q77" s="58" t="n">
        <v>0</v>
      </c>
      <c r="R77" s="57" t="n">
        <v>46138</v>
      </c>
      <c r="S77" s="7" t="s">
        <v>3503</v>
      </c>
      <c r="T77" s="7" t="s">
        <v>1210</v>
      </c>
    </row>
    <row r="78" customFormat="false" ht="15.75" hidden="false" customHeight="true" outlineLevel="0" collapsed="false">
      <c r="A78" s="5" t="s">
        <v>3590</v>
      </c>
      <c r="B78" s="55" t="n">
        <v>46094</v>
      </c>
      <c r="C78" s="15" t="s">
        <v>353</v>
      </c>
      <c r="D78" s="5" t="s">
        <v>565</v>
      </c>
      <c r="E78" s="5" t="s">
        <v>670</v>
      </c>
      <c r="F78" s="5" t="s">
        <v>3500</v>
      </c>
      <c r="G78" s="5" t="s">
        <v>3533</v>
      </c>
      <c r="H78" s="5" t="s">
        <v>422</v>
      </c>
      <c r="I78" s="5" t="s">
        <v>3502</v>
      </c>
      <c r="J78" s="15" t="n">
        <v>1</v>
      </c>
      <c r="K78" s="15" t="n">
        <v>2</v>
      </c>
      <c r="L78" s="15" t="n">
        <v>0</v>
      </c>
      <c r="M78" s="15" t="n">
        <v>1</v>
      </c>
      <c r="N78" s="15" t="n">
        <v>2</v>
      </c>
      <c r="O78" s="15" t="n">
        <v>20</v>
      </c>
      <c r="P78" s="15" t="n">
        <v>1</v>
      </c>
      <c r="Q78" s="56" t="n">
        <v>4.2</v>
      </c>
      <c r="R78" s="55" t="n">
        <v>46151</v>
      </c>
      <c r="S78" s="5" t="s">
        <v>2934</v>
      </c>
      <c r="T78" s="5" t="s">
        <v>3510</v>
      </c>
    </row>
    <row r="79" customFormat="false" ht="15.75" hidden="false" customHeight="true" outlineLevel="0" collapsed="false">
      <c r="A79" s="7" t="s">
        <v>3591</v>
      </c>
      <c r="B79" s="57" t="n">
        <v>46098</v>
      </c>
      <c r="C79" s="16" t="s">
        <v>353</v>
      </c>
      <c r="D79" s="7" t="s">
        <v>575</v>
      </c>
      <c r="E79" s="7" t="s">
        <v>705</v>
      </c>
      <c r="F79" s="7" t="s">
        <v>3506</v>
      </c>
      <c r="G79" s="7" t="s">
        <v>3535</v>
      </c>
      <c r="H79" s="7" t="s">
        <v>422</v>
      </c>
      <c r="I79" s="7" t="s">
        <v>3554</v>
      </c>
      <c r="J79" s="16" t="n">
        <v>2</v>
      </c>
      <c r="K79" s="16" t="n">
        <v>0</v>
      </c>
      <c r="L79" s="16" t="n">
        <v>1</v>
      </c>
      <c r="M79" s="16" t="n">
        <v>2</v>
      </c>
      <c r="N79" s="16" t="n">
        <v>0</v>
      </c>
      <c r="O79" s="16" t="n">
        <v>5</v>
      </c>
      <c r="P79" s="16" t="n">
        <v>0</v>
      </c>
      <c r="Q79" s="58" t="n">
        <v>0</v>
      </c>
      <c r="R79" s="57" t="n">
        <v>46164</v>
      </c>
      <c r="S79" s="7" t="s">
        <v>2934</v>
      </c>
      <c r="T79" s="7" t="s">
        <v>3513</v>
      </c>
    </row>
    <row r="80" customFormat="false" ht="15.75" hidden="false" customHeight="true" outlineLevel="0" collapsed="false">
      <c r="A80" s="5" t="s">
        <v>3592</v>
      </c>
      <c r="B80" s="55" t="n">
        <v>46102</v>
      </c>
      <c r="C80" s="15" t="s">
        <v>353</v>
      </c>
      <c r="D80" s="5" t="s">
        <v>584</v>
      </c>
      <c r="E80" s="5" t="s">
        <v>732</v>
      </c>
      <c r="F80" s="5" t="s">
        <v>3506</v>
      </c>
      <c r="G80" s="5" t="s">
        <v>3507</v>
      </c>
      <c r="H80" s="5" t="s">
        <v>422</v>
      </c>
      <c r="I80" s="5" t="s">
        <v>3502</v>
      </c>
      <c r="J80" s="15" t="n">
        <v>0</v>
      </c>
      <c r="K80" s="15" t="n">
        <v>1</v>
      </c>
      <c r="L80" s="15" t="n">
        <v>2</v>
      </c>
      <c r="M80" s="15" t="n">
        <v>0</v>
      </c>
      <c r="N80" s="15" t="n">
        <v>1</v>
      </c>
      <c r="O80" s="15" t="n">
        <v>20</v>
      </c>
      <c r="P80" s="15" t="n">
        <v>1</v>
      </c>
      <c r="Q80" s="56" t="n">
        <v>4.6</v>
      </c>
      <c r="R80" s="55" t="n">
        <v>46177</v>
      </c>
      <c r="S80" s="5" t="s">
        <v>2934</v>
      </c>
      <c r="T80" s="5" t="s">
        <v>3515</v>
      </c>
    </row>
    <row r="81" customFormat="false" ht="15.75" hidden="false" customHeight="true" outlineLevel="0" collapsed="false">
      <c r="A81" s="7" t="s">
        <v>3593</v>
      </c>
      <c r="B81" s="57" t="n">
        <v>46106</v>
      </c>
      <c r="C81" s="16" t="s">
        <v>360</v>
      </c>
      <c r="D81" s="7" t="s">
        <v>554</v>
      </c>
      <c r="E81" s="7" t="s">
        <v>614</v>
      </c>
      <c r="F81" s="7" t="s">
        <v>3500</v>
      </c>
      <c r="G81" s="7" t="s">
        <v>3533</v>
      </c>
      <c r="H81" s="7" t="s">
        <v>422</v>
      </c>
      <c r="I81" s="7" t="s">
        <v>3502</v>
      </c>
      <c r="J81" s="16" t="n">
        <v>2</v>
      </c>
      <c r="K81" s="16" t="n">
        <v>3</v>
      </c>
      <c r="L81" s="16" t="n">
        <v>1</v>
      </c>
      <c r="M81" s="16" t="n">
        <v>2</v>
      </c>
      <c r="N81" s="16" t="n">
        <v>3</v>
      </c>
      <c r="O81" s="16" t="n">
        <v>5</v>
      </c>
      <c r="P81" s="16" t="n">
        <v>2</v>
      </c>
      <c r="Q81" s="58" t="n">
        <v>4.8</v>
      </c>
      <c r="R81" s="57" t="n">
        <v>46190</v>
      </c>
      <c r="S81" s="7" t="s">
        <v>2934</v>
      </c>
      <c r="T81" s="7" t="s">
        <v>3517</v>
      </c>
    </row>
    <row r="82" customFormat="false" ht="15.75" hidden="false" customHeight="true" outlineLevel="0" collapsed="false">
      <c r="A82" s="5" t="s">
        <v>3594</v>
      </c>
      <c r="B82" s="55" t="n">
        <v>46110</v>
      </c>
      <c r="C82" s="15" t="s">
        <v>360</v>
      </c>
      <c r="D82" s="5" t="s">
        <v>565</v>
      </c>
      <c r="E82" s="5" t="s">
        <v>666</v>
      </c>
      <c r="F82" s="5" t="s">
        <v>3506</v>
      </c>
      <c r="G82" s="5" t="s">
        <v>3535</v>
      </c>
      <c r="H82" s="5" t="s">
        <v>422</v>
      </c>
      <c r="I82" s="5" t="s">
        <v>3502</v>
      </c>
      <c r="J82" s="15" t="n">
        <v>3</v>
      </c>
      <c r="K82" s="15" t="n">
        <v>1</v>
      </c>
      <c r="L82" s="15" t="n">
        <v>2</v>
      </c>
      <c r="M82" s="15" t="n">
        <v>3</v>
      </c>
      <c r="N82" s="15" t="n">
        <v>1</v>
      </c>
      <c r="O82" s="15" t="n">
        <v>20</v>
      </c>
      <c r="P82" s="15" t="n">
        <v>3</v>
      </c>
      <c r="Q82" s="56" t="n">
        <v>3.9</v>
      </c>
      <c r="R82" s="55" t="n">
        <v>46203</v>
      </c>
      <c r="S82" s="5" t="s">
        <v>2934</v>
      </c>
      <c r="T82" s="5" t="s">
        <v>3519</v>
      </c>
    </row>
    <row r="83" customFormat="false" ht="15.75" hidden="false" customHeight="true" outlineLevel="0" collapsed="false">
      <c r="A83" s="7" t="s">
        <v>3595</v>
      </c>
      <c r="B83" s="57" t="n">
        <v>46114</v>
      </c>
      <c r="C83" s="16" t="s">
        <v>360</v>
      </c>
      <c r="D83" s="7" t="s">
        <v>575</v>
      </c>
      <c r="E83" s="7" t="s">
        <v>701</v>
      </c>
      <c r="F83" s="7" t="s">
        <v>3521</v>
      </c>
      <c r="G83" s="7" t="s">
        <v>3507</v>
      </c>
      <c r="H83" s="7" t="s">
        <v>422</v>
      </c>
      <c r="I83" s="7" t="s">
        <v>3502</v>
      </c>
      <c r="J83" s="16" t="n">
        <v>1</v>
      </c>
      <c r="K83" s="16" t="n">
        <v>2</v>
      </c>
      <c r="L83" s="16" t="n">
        <v>3</v>
      </c>
      <c r="M83" s="16" t="n">
        <v>1</v>
      </c>
      <c r="N83" s="16" t="n">
        <v>2</v>
      </c>
      <c r="O83" s="16" t="n">
        <v>5</v>
      </c>
      <c r="P83" s="16" t="n">
        <v>1</v>
      </c>
      <c r="Q83" s="58" t="n">
        <v>4.1</v>
      </c>
      <c r="R83" s="57" t="n">
        <v>46216</v>
      </c>
      <c r="S83" s="7" t="s">
        <v>2934</v>
      </c>
      <c r="T83" s="7" t="s">
        <v>3504</v>
      </c>
    </row>
    <row r="84" customFormat="false" ht="15.75" hidden="false" customHeight="true" outlineLevel="0" collapsed="false">
      <c r="A84" s="5" t="s">
        <v>3596</v>
      </c>
      <c r="B84" s="55" t="n">
        <v>46118</v>
      </c>
      <c r="C84" s="15" t="s">
        <v>367</v>
      </c>
      <c r="D84" s="5" t="s">
        <v>584</v>
      </c>
      <c r="E84" s="5" t="s">
        <v>732</v>
      </c>
      <c r="F84" s="5" t="s">
        <v>3506</v>
      </c>
      <c r="G84" s="5" t="s">
        <v>3501</v>
      </c>
      <c r="H84" s="5" t="s">
        <v>422</v>
      </c>
      <c r="I84" s="5" t="s">
        <v>3502</v>
      </c>
      <c r="J84" s="15" t="n">
        <v>3</v>
      </c>
      <c r="K84" s="15" t="n">
        <v>4</v>
      </c>
      <c r="L84" s="15" t="n">
        <v>2</v>
      </c>
      <c r="M84" s="15" t="n">
        <v>3</v>
      </c>
      <c r="N84" s="15" t="n">
        <v>4</v>
      </c>
      <c r="O84" s="15" t="n">
        <v>20</v>
      </c>
      <c r="P84" s="15" t="n">
        <v>8</v>
      </c>
      <c r="Q84" s="56" t="n">
        <v>4.3</v>
      </c>
      <c r="R84" s="55" t="n">
        <v>46229</v>
      </c>
      <c r="S84" s="5" t="s">
        <v>2934</v>
      </c>
      <c r="T84" s="5" t="s">
        <v>1210</v>
      </c>
    </row>
    <row r="85" customFormat="false" ht="15.75" hidden="false" customHeight="true" outlineLevel="0" collapsed="false">
      <c r="A85" s="7" t="s">
        <v>3597</v>
      </c>
      <c r="B85" s="57" t="n">
        <v>46122</v>
      </c>
      <c r="C85" s="16" t="s">
        <v>345</v>
      </c>
      <c r="D85" s="7" t="s">
        <v>554</v>
      </c>
      <c r="E85" s="7" t="s">
        <v>620</v>
      </c>
      <c r="F85" s="7" t="s">
        <v>3500</v>
      </c>
      <c r="G85" s="7" t="s">
        <v>3535</v>
      </c>
      <c r="H85" s="7" t="s">
        <v>422</v>
      </c>
      <c r="I85" s="7" t="s">
        <v>3502</v>
      </c>
      <c r="J85" s="16" t="n">
        <v>0</v>
      </c>
      <c r="K85" s="16" t="n">
        <v>0</v>
      </c>
      <c r="L85" s="16" t="n">
        <v>0</v>
      </c>
      <c r="M85" s="16" t="n">
        <v>0</v>
      </c>
      <c r="N85" s="16" t="n">
        <v>0</v>
      </c>
      <c r="O85" s="16" t="n">
        <v>5</v>
      </c>
      <c r="P85" s="16" t="n">
        <v>0</v>
      </c>
      <c r="Q85" s="58" t="n">
        <v>0</v>
      </c>
      <c r="R85" s="57" t="n">
        <v>46242</v>
      </c>
      <c r="S85" s="7" t="s">
        <v>3503</v>
      </c>
      <c r="T85" s="7" t="s">
        <v>3510</v>
      </c>
    </row>
  </sheetData>
  <autoFilter ref="A5:T85"/>
  <mergeCells count="3">
    <mergeCell ref="A1:T1"/>
    <mergeCell ref="A2:T2"/>
    <mergeCell ref="A3:T3"/>
  </mergeCells>
  <conditionalFormatting sqref="J6:N85">
    <cfRule type="colorScale" priority="2">
      <colorScale>
        <cfvo type="num" val="0"/>
        <cfvo type="num" val="2"/>
        <cfvo type="num" val="4"/>
        <color rgb="FFF5DDE4"/>
        <color rgb="FFFDF3D8"/>
        <color rgb="FFDCEEE3"/>
      </colorScale>
    </cfRule>
  </conditionalFormatting>
  <conditionalFormatting sqref="C6:C85">
    <cfRule type="cellIs" priority="3" operator="equal" aboveAverage="0" equalAverage="0" bottom="0" percent="0" rank="0" text="" dxfId="28">
      <formula>"T4"</formula>
    </cfRule>
  </conditionalFormatting>
  <conditionalFormatting sqref="I6:I85">
    <cfRule type="cellIs" priority="4" operator="equal" aboveAverage="0" equalAverage="0" bottom="0" percent="0" rank="0" text="" dxfId="29">
      <formula>"Suspended"</formula>
    </cfRule>
    <cfRule type="cellIs" priority="5" operator="equal" aboveAverage="0" equalAverage="0" bottom="0" percent="0" rank="0" text="" dxfId="30">
      <formula>"Dormant"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A8"/>
    <pageSetUpPr fitToPage="tru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16"/>
    <col collapsed="false" customWidth="true" hidden="false" outlineLevel="0" max="8" min="8" style="0" width="26"/>
    <col collapsed="false" customWidth="true" hidden="false" outlineLevel="0" max="9" min="9" style="0" width="12"/>
  </cols>
  <sheetData>
    <row r="1" customFormat="false" ht="19.5" hidden="false" customHeight="true" outlineLevel="0" collapsed="false">
      <c r="A1" s="51" t="s">
        <v>3488</v>
      </c>
      <c r="B1" s="51"/>
      <c r="C1" s="51"/>
      <c r="D1" s="51"/>
      <c r="E1" s="51"/>
      <c r="F1" s="51"/>
      <c r="G1" s="51"/>
      <c r="H1" s="51"/>
      <c r="I1" s="51"/>
    </row>
    <row r="2" customFormat="false" ht="27.75" hidden="false" customHeight="true" outlineLevel="0" collapsed="false">
      <c r="A2" s="52" t="s">
        <v>3598</v>
      </c>
      <c r="B2" s="52"/>
      <c r="C2" s="52"/>
      <c r="D2" s="52"/>
      <c r="E2" s="52"/>
      <c r="F2" s="52"/>
      <c r="G2" s="52"/>
      <c r="H2" s="52"/>
      <c r="I2" s="52"/>
    </row>
    <row r="3" customFormat="false" ht="30" hidden="false" customHeight="true" outlineLevel="0" collapsed="false">
      <c r="A3" s="53" t="s">
        <v>3599</v>
      </c>
      <c r="B3" s="53"/>
      <c r="C3" s="53"/>
      <c r="D3" s="53"/>
      <c r="E3" s="53"/>
      <c r="F3" s="53"/>
      <c r="G3" s="53"/>
      <c r="H3" s="53"/>
      <c r="I3" s="53"/>
    </row>
    <row r="4" customFormat="false" ht="6" hidden="false" customHeight="true" outlineLevel="0" collapsed="false"/>
    <row r="5" customFormat="false" ht="30" hidden="false" customHeight="true" outlineLevel="0" collapsed="false">
      <c r="A5" s="54" t="s">
        <v>3600</v>
      </c>
      <c r="B5" s="54" t="s">
        <v>3491</v>
      </c>
      <c r="C5" s="54" t="s">
        <v>3601</v>
      </c>
      <c r="D5" s="54" t="s">
        <v>3602</v>
      </c>
      <c r="E5" s="54" t="s">
        <v>3603</v>
      </c>
      <c r="F5" s="54" t="s">
        <v>2170</v>
      </c>
      <c r="G5" s="54" t="s">
        <v>3604</v>
      </c>
      <c r="H5" s="54" t="s">
        <v>1311</v>
      </c>
      <c r="I5" s="54" t="s">
        <v>1766</v>
      </c>
    </row>
    <row r="6" customFormat="false" ht="15.75" hidden="false" customHeight="true" outlineLevel="0" collapsed="false">
      <c r="A6" s="5" t="s">
        <v>3605</v>
      </c>
      <c r="B6" s="5" t="s">
        <v>3511</v>
      </c>
      <c r="C6" s="55" t="n">
        <v>46101</v>
      </c>
      <c r="D6" s="55" t="n">
        <v>46103</v>
      </c>
      <c r="E6" s="15" t="n">
        <f aca="false">IF(D6="","",D6-C6)</f>
        <v>2</v>
      </c>
      <c r="F6" s="5" t="s">
        <v>3606</v>
      </c>
      <c r="G6" s="5" t="s">
        <v>99</v>
      </c>
      <c r="H6" s="5" t="s">
        <v>3607</v>
      </c>
      <c r="I6" s="59" t="n">
        <v>0.89</v>
      </c>
    </row>
    <row r="7" customFormat="false" ht="15.75" hidden="false" customHeight="true" outlineLevel="0" collapsed="false">
      <c r="A7" s="7" t="s">
        <v>3608</v>
      </c>
      <c r="B7" s="7" t="s">
        <v>3518</v>
      </c>
      <c r="C7" s="57" t="n">
        <v>46114</v>
      </c>
      <c r="D7" s="57" t="n">
        <v>46117</v>
      </c>
      <c r="E7" s="16" t="n">
        <f aca="false">IF(D7="","",D7-C7)</f>
        <v>3</v>
      </c>
      <c r="F7" s="7" t="s">
        <v>3606</v>
      </c>
      <c r="G7" s="7" t="s">
        <v>99</v>
      </c>
      <c r="H7" s="7" t="s">
        <v>3609</v>
      </c>
      <c r="I7" s="60" t="n">
        <v>0.81</v>
      </c>
    </row>
    <row r="8" customFormat="false" ht="15.75" hidden="false" customHeight="true" outlineLevel="0" collapsed="false">
      <c r="A8" s="5" t="s">
        <v>3610</v>
      </c>
      <c r="B8" s="5" t="s">
        <v>3523</v>
      </c>
      <c r="C8" s="55" t="n">
        <v>46127</v>
      </c>
      <c r="D8" s="55" t="n">
        <v>46131</v>
      </c>
      <c r="E8" s="15" t="n">
        <f aca="false">IF(D8="","",D8-C8)</f>
        <v>4</v>
      </c>
      <c r="F8" s="5" t="s">
        <v>3606</v>
      </c>
      <c r="G8" s="5" t="s">
        <v>99</v>
      </c>
      <c r="H8" s="5" t="s">
        <v>3611</v>
      </c>
      <c r="I8" s="59" t="n">
        <v>0.73</v>
      </c>
    </row>
    <row r="9" customFormat="false" ht="15.75" hidden="false" customHeight="true" outlineLevel="0" collapsed="false">
      <c r="A9" s="7" t="s">
        <v>3612</v>
      </c>
      <c r="B9" s="7" t="s">
        <v>3526</v>
      </c>
      <c r="C9" s="57" t="n">
        <v>46140</v>
      </c>
      <c r="D9" s="57" t="n">
        <v>46145</v>
      </c>
      <c r="E9" s="16" t="n">
        <f aca="false">IF(D9="","",D9-C9)</f>
        <v>5</v>
      </c>
      <c r="F9" s="7" t="s">
        <v>3606</v>
      </c>
      <c r="G9" s="7" t="s">
        <v>99</v>
      </c>
      <c r="H9" s="7" t="s">
        <v>3613</v>
      </c>
      <c r="I9" s="60" t="n">
        <v>0.9</v>
      </c>
    </row>
    <row r="10" customFormat="false" ht="15.75" hidden="false" customHeight="true" outlineLevel="0" collapsed="false">
      <c r="A10" s="5" t="s">
        <v>3614</v>
      </c>
      <c r="B10" s="5" t="s">
        <v>3530</v>
      </c>
      <c r="C10" s="55" t="n">
        <v>46148</v>
      </c>
      <c r="D10" s="55" t="n">
        <v>46154</v>
      </c>
      <c r="E10" s="15" t="n">
        <f aca="false">IF(D10="","",D10-C10)</f>
        <v>6</v>
      </c>
      <c r="F10" s="5" t="s">
        <v>3606</v>
      </c>
      <c r="G10" s="5" t="s">
        <v>99</v>
      </c>
      <c r="H10" s="5" t="s">
        <v>3607</v>
      </c>
      <c r="I10" s="59" t="n">
        <v>0.82</v>
      </c>
    </row>
    <row r="11" customFormat="false" ht="15.75" hidden="false" customHeight="true" outlineLevel="0" collapsed="false">
      <c r="A11" s="7" t="s">
        <v>3615</v>
      </c>
      <c r="B11" s="7" t="s">
        <v>3534</v>
      </c>
      <c r="C11" s="57" t="n">
        <v>46161</v>
      </c>
      <c r="D11" s="57" t="n">
        <v>46162</v>
      </c>
      <c r="E11" s="16" t="n">
        <f aca="false">IF(D11="","",D11-C11)</f>
        <v>1</v>
      </c>
      <c r="F11" s="7" t="s">
        <v>3606</v>
      </c>
      <c r="G11" s="7" t="s">
        <v>99</v>
      </c>
      <c r="H11" s="7" t="s">
        <v>3609</v>
      </c>
      <c r="I11" s="60" t="n">
        <v>0.74</v>
      </c>
    </row>
    <row r="12" customFormat="false" ht="15.75" hidden="false" customHeight="true" outlineLevel="0" collapsed="false">
      <c r="A12" s="5" t="s">
        <v>3616</v>
      </c>
      <c r="B12" s="5" t="s">
        <v>3538</v>
      </c>
      <c r="C12" s="55" t="n">
        <v>46174</v>
      </c>
      <c r="D12" s="55" t="n">
        <v>46176</v>
      </c>
      <c r="E12" s="15" t="n">
        <f aca="false">IF(D12="","",D12-C12)</f>
        <v>2</v>
      </c>
      <c r="F12" s="5" t="s">
        <v>3606</v>
      </c>
      <c r="G12" s="5" t="s">
        <v>99</v>
      </c>
      <c r="H12" s="5" t="s">
        <v>3611</v>
      </c>
      <c r="I12" s="59" t="n">
        <v>0.91</v>
      </c>
    </row>
    <row r="13" customFormat="false" ht="15.75" hidden="false" customHeight="true" outlineLevel="0" collapsed="false">
      <c r="A13" s="7" t="s">
        <v>3617</v>
      </c>
      <c r="B13" s="7" t="s">
        <v>3541</v>
      </c>
      <c r="C13" s="57" t="n">
        <v>46187</v>
      </c>
      <c r="D13" s="57" t="n">
        <v>46190</v>
      </c>
      <c r="E13" s="16" t="n">
        <f aca="false">IF(D13="","",D13-C13)</f>
        <v>3</v>
      </c>
      <c r="F13" s="7" t="s">
        <v>3606</v>
      </c>
      <c r="G13" s="7" t="s">
        <v>99</v>
      </c>
      <c r="H13" s="7" t="s">
        <v>3613</v>
      </c>
      <c r="I13" s="60" t="n">
        <v>0.83</v>
      </c>
    </row>
    <row r="14" customFormat="false" ht="15.75" hidden="false" customHeight="true" outlineLevel="0" collapsed="false">
      <c r="A14" s="5" t="s">
        <v>3618</v>
      </c>
      <c r="B14" s="5" t="s">
        <v>3544</v>
      </c>
      <c r="C14" s="55" t="n">
        <v>46200</v>
      </c>
      <c r="D14" s="55" t="n">
        <v>46204</v>
      </c>
      <c r="E14" s="15" t="n">
        <f aca="false">IF(D14="","",D14-C14)</f>
        <v>4</v>
      </c>
      <c r="F14" s="5" t="s">
        <v>3619</v>
      </c>
      <c r="G14" s="5" t="s">
        <v>99</v>
      </c>
      <c r="H14" s="5" t="s">
        <v>3607</v>
      </c>
      <c r="I14" s="59" t="n">
        <v>0.75</v>
      </c>
    </row>
    <row r="15" customFormat="false" ht="15.75" hidden="false" customHeight="true" outlineLevel="0" collapsed="false">
      <c r="A15" s="7" t="s">
        <v>3620</v>
      </c>
      <c r="B15" s="7" t="s">
        <v>3547</v>
      </c>
      <c r="C15" s="57" t="n">
        <v>46208</v>
      </c>
      <c r="D15" s="57" t="n">
        <v>46213</v>
      </c>
      <c r="E15" s="16" t="n">
        <f aca="false">IF(D15="","",D15-C15)</f>
        <v>5</v>
      </c>
      <c r="F15" s="7" t="s">
        <v>3606</v>
      </c>
      <c r="G15" s="7" t="s">
        <v>99</v>
      </c>
      <c r="H15" s="7" t="s">
        <v>3609</v>
      </c>
      <c r="I15" s="60" t="n">
        <v>0.92</v>
      </c>
    </row>
    <row r="16" customFormat="false" ht="15.75" hidden="false" customHeight="true" outlineLevel="0" collapsed="false">
      <c r="A16" s="5" t="s">
        <v>3621</v>
      </c>
      <c r="B16" s="5" t="s">
        <v>3550</v>
      </c>
      <c r="C16" s="55" t="n">
        <v>46221</v>
      </c>
      <c r="D16" s="55" t="n">
        <v>46227</v>
      </c>
      <c r="E16" s="15" t="n">
        <f aca="false">IF(D16="","",D16-C16)</f>
        <v>6</v>
      </c>
      <c r="F16" s="5" t="s">
        <v>3606</v>
      </c>
      <c r="G16" s="5" t="s">
        <v>99</v>
      </c>
      <c r="H16" s="5" t="s">
        <v>3611</v>
      </c>
      <c r="I16" s="59" t="n">
        <v>0.84</v>
      </c>
    </row>
    <row r="17" customFormat="false" ht="15.75" hidden="false" customHeight="true" outlineLevel="0" collapsed="false">
      <c r="A17" s="7" t="s">
        <v>3622</v>
      </c>
      <c r="B17" s="7" t="s">
        <v>3553</v>
      </c>
      <c r="C17" s="57" t="n">
        <v>46094</v>
      </c>
      <c r="D17" s="57" t="n">
        <v>46095</v>
      </c>
      <c r="E17" s="16" t="n">
        <f aca="false">IF(D17="","",D17-C17)</f>
        <v>1</v>
      </c>
      <c r="F17" s="7" t="s">
        <v>3606</v>
      </c>
      <c r="G17" s="7" t="s">
        <v>99</v>
      </c>
      <c r="H17" s="7" t="s">
        <v>3613</v>
      </c>
      <c r="I17" s="60" t="n">
        <v>0.76</v>
      </c>
    </row>
    <row r="18" customFormat="false" ht="15.75" hidden="false" customHeight="true" outlineLevel="0" collapsed="false">
      <c r="A18" s="5" t="s">
        <v>3623</v>
      </c>
      <c r="B18" s="5" t="s">
        <v>3557</v>
      </c>
      <c r="C18" s="55" t="n">
        <v>46107</v>
      </c>
      <c r="D18" s="55" t="n">
        <v>46109</v>
      </c>
      <c r="E18" s="15" t="n">
        <f aca="false">IF(D18="","",D18-C18)</f>
        <v>2</v>
      </c>
      <c r="F18" s="5" t="s">
        <v>3606</v>
      </c>
      <c r="G18" s="5" t="s">
        <v>99</v>
      </c>
      <c r="H18" s="5" t="s">
        <v>3607</v>
      </c>
      <c r="I18" s="59" t="n">
        <v>0.93</v>
      </c>
    </row>
    <row r="19" customFormat="false" ht="15.75" hidden="false" customHeight="true" outlineLevel="0" collapsed="false">
      <c r="A19" s="7" t="s">
        <v>3624</v>
      </c>
      <c r="B19" s="7" t="s">
        <v>3560</v>
      </c>
      <c r="C19" s="57" t="n">
        <v>46120</v>
      </c>
      <c r="D19" s="57" t="n">
        <v>46123</v>
      </c>
      <c r="E19" s="16" t="n">
        <f aca="false">IF(D19="","",D19-C19)</f>
        <v>3</v>
      </c>
      <c r="F19" s="7" t="s">
        <v>3606</v>
      </c>
      <c r="G19" s="7" t="s">
        <v>99</v>
      </c>
      <c r="H19" s="7" t="s">
        <v>3609</v>
      </c>
      <c r="I19" s="60" t="n">
        <v>0.85</v>
      </c>
    </row>
    <row r="20" customFormat="false" ht="15.75" hidden="false" customHeight="true" outlineLevel="0" collapsed="false">
      <c r="A20" s="5" t="s">
        <v>3625</v>
      </c>
      <c r="B20" s="5" t="s">
        <v>3563</v>
      </c>
      <c r="C20" s="55" t="n">
        <v>46128</v>
      </c>
      <c r="D20" s="55" t="n">
        <v>46132</v>
      </c>
      <c r="E20" s="15" t="n">
        <f aca="false">IF(D20="","",D20-C20)</f>
        <v>4</v>
      </c>
      <c r="F20" s="5" t="s">
        <v>3606</v>
      </c>
      <c r="G20" s="5" t="s">
        <v>99</v>
      </c>
      <c r="H20" s="5" t="s">
        <v>3611</v>
      </c>
      <c r="I20" s="59" t="n">
        <v>0.77</v>
      </c>
    </row>
    <row r="21" customFormat="false" ht="15.75" hidden="false" customHeight="true" outlineLevel="0" collapsed="false">
      <c r="A21" s="7" t="s">
        <v>3626</v>
      </c>
      <c r="B21" s="7" t="s">
        <v>3566</v>
      </c>
      <c r="C21" s="57" t="n">
        <v>46141</v>
      </c>
      <c r="D21" s="57" t="n">
        <v>46146</v>
      </c>
      <c r="E21" s="16" t="n">
        <f aca="false">IF(D21="","",D21-C21)</f>
        <v>5</v>
      </c>
      <c r="F21" s="7" t="s">
        <v>3606</v>
      </c>
      <c r="G21" s="7" t="s">
        <v>99</v>
      </c>
      <c r="H21" s="7" t="s">
        <v>3613</v>
      </c>
      <c r="I21" s="60" t="n">
        <v>0.94</v>
      </c>
    </row>
    <row r="22" customFormat="false" ht="15.75" hidden="false" customHeight="true" outlineLevel="0" collapsed="false">
      <c r="A22" s="5" t="s">
        <v>3627</v>
      </c>
      <c r="B22" s="5" t="s">
        <v>3569</v>
      </c>
      <c r="C22" s="55" t="n">
        <v>46154</v>
      </c>
      <c r="D22" s="55" t="n">
        <v>46160</v>
      </c>
      <c r="E22" s="15" t="n">
        <f aca="false">IF(D22="","",D22-C22)</f>
        <v>6</v>
      </c>
      <c r="F22" s="5" t="s">
        <v>3606</v>
      </c>
      <c r="G22" s="5" t="s">
        <v>99</v>
      </c>
      <c r="H22" s="5" t="s">
        <v>3607</v>
      </c>
      <c r="I22" s="59" t="n">
        <v>0.86</v>
      </c>
    </row>
    <row r="23" customFormat="false" ht="15.75" hidden="false" customHeight="true" outlineLevel="0" collapsed="false">
      <c r="A23" s="7" t="s">
        <v>3628</v>
      </c>
      <c r="B23" s="7" t="s">
        <v>3572</v>
      </c>
      <c r="C23" s="57" t="n">
        <v>46167</v>
      </c>
      <c r="D23" s="57" t="n">
        <v>46168</v>
      </c>
      <c r="E23" s="16" t="n">
        <f aca="false">IF(D23="","",D23-C23)</f>
        <v>1</v>
      </c>
      <c r="F23" s="7" t="s">
        <v>3619</v>
      </c>
      <c r="G23" s="7" t="s">
        <v>99</v>
      </c>
      <c r="H23" s="7" t="s">
        <v>3609</v>
      </c>
      <c r="I23" s="60" t="n">
        <v>0.78</v>
      </c>
    </row>
    <row r="24" customFormat="false" ht="15.75" hidden="false" customHeight="true" outlineLevel="0" collapsed="false">
      <c r="A24" s="5" t="s">
        <v>3629</v>
      </c>
      <c r="B24" s="5" t="s">
        <v>3575</v>
      </c>
      <c r="C24" s="55" t="n">
        <v>46180</v>
      </c>
      <c r="D24" s="55" t="n">
        <v>46182</v>
      </c>
      <c r="E24" s="15" t="n">
        <f aca="false">IF(D24="","",D24-C24)</f>
        <v>2</v>
      </c>
      <c r="F24" s="5" t="s">
        <v>3606</v>
      </c>
      <c r="G24" s="5" t="s">
        <v>99</v>
      </c>
      <c r="H24" s="5" t="s">
        <v>3611</v>
      </c>
      <c r="I24" s="59" t="n">
        <v>0.95</v>
      </c>
    </row>
    <row r="25" customFormat="false" ht="15.75" hidden="false" customHeight="true" outlineLevel="0" collapsed="false">
      <c r="A25" s="7" t="s">
        <v>3630</v>
      </c>
      <c r="B25" s="7" t="s">
        <v>3578</v>
      </c>
      <c r="C25" s="57" t="n">
        <v>46188</v>
      </c>
      <c r="D25" s="57" t="n">
        <v>46191</v>
      </c>
      <c r="E25" s="16" t="n">
        <f aca="false">IF(D25="","",D25-C25)</f>
        <v>3</v>
      </c>
      <c r="F25" s="7" t="s">
        <v>3606</v>
      </c>
      <c r="G25" s="7" t="s">
        <v>99</v>
      </c>
      <c r="H25" s="7" t="s">
        <v>3613</v>
      </c>
      <c r="I25" s="60" t="n">
        <v>0.87</v>
      </c>
    </row>
    <row r="26" customFormat="false" ht="15.75" hidden="false" customHeight="true" outlineLevel="0" collapsed="false">
      <c r="A26" s="5" t="s">
        <v>3631</v>
      </c>
      <c r="B26" s="5" t="s">
        <v>3581</v>
      </c>
      <c r="C26" s="55" t="n">
        <v>46201</v>
      </c>
      <c r="D26" s="55" t="n">
        <v>46205</v>
      </c>
      <c r="E26" s="15" t="n">
        <f aca="false">IF(D26="","",D26-C26)</f>
        <v>4</v>
      </c>
      <c r="F26" s="5" t="s">
        <v>3606</v>
      </c>
      <c r="G26" s="5" t="s">
        <v>99</v>
      </c>
      <c r="H26" s="5" t="s">
        <v>3607</v>
      </c>
      <c r="I26" s="59" t="n">
        <v>0.79</v>
      </c>
    </row>
    <row r="27" customFormat="false" ht="15.75" hidden="false" customHeight="true" outlineLevel="0" collapsed="false">
      <c r="A27" s="7" t="s">
        <v>3632</v>
      </c>
      <c r="B27" s="7" t="s">
        <v>3584</v>
      </c>
      <c r="C27" s="57" t="n">
        <v>46214</v>
      </c>
      <c r="D27" s="57" t="n">
        <v>46219</v>
      </c>
      <c r="E27" s="16" t="n">
        <f aca="false">IF(D27="","",D27-C27)</f>
        <v>5</v>
      </c>
      <c r="F27" s="7" t="s">
        <v>3606</v>
      </c>
      <c r="G27" s="7" t="s">
        <v>99</v>
      </c>
      <c r="H27" s="7" t="s">
        <v>3609</v>
      </c>
      <c r="I27" s="60" t="n">
        <v>0.96</v>
      </c>
    </row>
    <row r="28" customFormat="false" ht="15.75" hidden="false" customHeight="true" outlineLevel="0" collapsed="false">
      <c r="A28" s="5" t="s">
        <v>3633</v>
      </c>
      <c r="B28" s="5" t="s">
        <v>3587</v>
      </c>
      <c r="C28" s="55" t="n">
        <v>46087</v>
      </c>
      <c r="D28" s="55" t="n">
        <v>46093</v>
      </c>
      <c r="E28" s="15" t="n">
        <f aca="false">IF(D28="","",D28-C28)</f>
        <v>6</v>
      </c>
      <c r="F28" s="5" t="s">
        <v>3606</v>
      </c>
      <c r="G28" s="5" t="s">
        <v>99</v>
      </c>
      <c r="H28" s="5" t="s">
        <v>3611</v>
      </c>
      <c r="I28" s="59" t="n">
        <v>0.88</v>
      </c>
    </row>
    <row r="29" customFormat="false" ht="15.75" hidden="false" customHeight="true" outlineLevel="0" collapsed="false">
      <c r="A29" s="7" t="s">
        <v>3634</v>
      </c>
      <c r="B29" s="7" t="s">
        <v>3590</v>
      </c>
      <c r="C29" s="57" t="n">
        <v>46100</v>
      </c>
      <c r="D29" s="57" t="n">
        <v>46101</v>
      </c>
      <c r="E29" s="16" t="n">
        <f aca="false">IF(D29="","",D29-C29)</f>
        <v>1</v>
      </c>
      <c r="F29" s="7" t="s">
        <v>3606</v>
      </c>
      <c r="G29" s="7" t="s">
        <v>99</v>
      </c>
      <c r="H29" s="7" t="s">
        <v>3613</v>
      </c>
      <c r="I29" s="60" t="n">
        <v>0.8</v>
      </c>
    </row>
    <row r="30" customFormat="false" ht="15.75" hidden="false" customHeight="true" outlineLevel="0" collapsed="false">
      <c r="A30" s="5" t="s">
        <v>3635</v>
      </c>
      <c r="B30" s="5" t="s">
        <v>3593</v>
      </c>
      <c r="C30" s="55" t="n">
        <v>46108</v>
      </c>
      <c r="D30" s="55" t="n">
        <v>46110</v>
      </c>
      <c r="E30" s="15" t="n">
        <f aca="false">IF(D30="","",D30-C30)</f>
        <v>2</v>
      </c>
      <c r="F30" s="5" t="s">
        <v>3606</v>
      </c>
      <c r="G30" s="5" t="s">
        <v>99</v>
      </c>
      <c r="H30" s="5" t="s">
        <v>3607</v>
      </c>
      <c r="I30" s="59" t="n">
        <v>0.72</v>
      </c>
    </row>
    <row r="31" customFormat="false" ht="15.75" hidden="false" customHeight="true" outlineLevel="0" collapsed="false">
      <c r="A31" s="7" t="s">
        <v>3636</v>
      </c>
      <c r="B31" s="7" t="s">
        <v>3596</v>
      </c>
      <c r="C31" s="57" t="n">
        <v>46121</v>
      </c>
      <c r="D31" s="57" t="n">
        <v>46124</v>
      </c>
      <c r="E31" s="16" t="n">
        <f aca="false">IF(D31="","",D31-C31)</f>
        <v>3</v>
      </c>
      <c r="F31" s="7" t="s">
        <v>3606</v>
      </c>
      <c r="G31" s="7" t="s">
        <v>99</v>
      </c>
      <c r="H31" s="7" t="s">
        <v>3609</v>
      </c>
      <c r="I31" s="60" t="n">
        <v>0.89</v>
      </c>
    </row>
    <row r="32" customFormat="false" ht="15.75" hidden="false" customHeight="true" outlineLevel="0" collapsed="false">
      <c r="A32" s="5" t="s">
        <v>3637</v>
      </c>
      <c r="B32" s="5" t="s">
        <v>3505</v>
      </c>
      <c r="C32" s="55" t="n">
        <v>46094</v>
      </c>
      <c r="D32" s="55" t="n">
        <v>46098</v>
      </c>
      <c r="E32" s="15" t="n">
        <f aca="false">IF(D32="","",D32-C32)</f>
        <v>4</v>
      </c>
      <c r="F32" s="5" t="s">
        <v>3619</v>
      </c>
      <c r="G32" s="5" t="s">
        <v>99</v>
      </c>
      <c r="H32" s="5" t="s">
        <v>3611</v>
      </c>
      <c r="I32" s="59" t="n">
        <v>0.81</v>
      </c>
    </row>
    <row r="33" customFormat="false" ht="15.75" hidden="false" customHeight="true" outlineLevel="0" collapsed="false">
      <c r="A33" s="7" t="s">
        <v>3638</v>
      </c>
      <c r="B33" s="7" t="s">
        <v>3514</v>
      </c>
      <c r="C33" s="57" t="n">
        <v>46107</v>
      </c>
      <c r="D33" s="57" t="n">
        <v>46112</v>
      </c>
      <c r="E33" s="16" t="n">
        <f aca="false">IF(D33="","",D33-C33)</f>
        <v>5</v>
      </c>
      <c r="F33" s="7" t="s">
        <v>3606</v>
      </c>
      <c r="G33" s="7" t="s">
        <v>99</v>
      </c>
      <c r="H33" s="7" t="s">
        <v>3613</v>
      </c>
      <c r="I33" s="60" t="n">
        <v>0.73</v>
      </c>
    </row>
    <row r="34" customFormat="false" ht="15.75" hidden="false" customHeight="true" outlineLevel="0" collapsed="false">
      <c r="A34" s="5" t="s">
        <v>3639</v>
      </c>
      <c r="B34" s="5" t="s">
        <v>3520</v>
      </c>
      <c r="C34" s="55" t="n">
        <v>46120</v>
      </c>
      <c r="D34" s="55" t="n">
        <v>46126</v>
      </c>
      <c r="E34" s="15" t="n">
        <f aca="false">IF(D34="","",D34-C34)</f>
        <v>6</v>
      </c>
      <c r="F34" s="5" t="s">
        <v>3606</v>
      </c>
      <c r="G34" s="5" t="s">
        <v>99</v>
      </c>
      <c r="H34" s="5" t="s">
        <v>3607</v>
      </c>
      <c r="I34" s="59" t="n">
        <v>0.9</v>
      </c>
    </row>
    <row r="35" customFormat="false" ht="15.75" hidden="false" customHeight="true" outlineLevel="0" collapsed="false">
      <c r="A35" s="7" t="s">
        <v>3640</v>
      </c>
      <c r="B35" s="7" t="s">
        <v>3524</v>
      </c>
      <c r="C35" s="57" t="n">
        <v>46128</v>
      </c>
      <c r="D35" s="57" t="n">
        <v>46129</v>
      </c>
      <c r="E35" s="16" t="n">
        <f aca="false">IF(D35="","",D35-C35)</f>
        <v>1</v>
      </c>
      <c r="F35" s="7" t="s">
        <v>3606</v>
      </c>
      <c r="G35" s="7" t="s">
        <v>99</v>
      </c>
      <c r="H35" s="7" t="s">
        <v>3609</v>
      </c>
      <c r="I35" s="60" t="n">
        <v>0.82</v>
      </c>
    </row>
    <row r="36" customFormat="false" ht="15.75" hidden="false" customHeight="true" outlineLevel="0" collapsed="false">
      <c r="A36" s="5" t="s">
        <v>3641</v>
      </c>
      <c r="B36" s="5" t="s">
        <v>3528</v>
      </c>
      <c r="C36" s="55" t="n">
        <v>46141</v>
      </c>
      <c r="D36" s="55" t="n">
        <v>46143</v>
      </c>
      <c r="E36" s="15" t="n">
        <f aca="false">IF(D36="","",D36-C36)</f>
        <v>2</v>
      </c>
      <c r="F36" s="5" t="s">
        <v>3606</v>
      </c>
      <c r="G36" s="5" t="s">
        <v>99</v>
      </c>
      <c r="H36" s="5" t="s">
        <v>3611</v>
      </c>
      <c r="I36" s="59" t="n">
        <v>0.74</v>
      </c>
    </row>
    <row r="37" customFormat="false" ht="15.75" hidden="false" customHeight="true" outlineLevel="0" collapsed="false">
      <c r="A37" s="7" t="s">
        <v>3642</v>
      </c>
      <c r="B37" s="7" t="s">
        <v>3531</v>
      </c>
      <c r="C37" s="57" t="n">
        <v>46154</v>
      </c>
      <c r="D37" s="57" t="n">
        <v>46157</v>
      </c>
      <c r="E37" s="16" t="n">
        <f aca="false">IF(D37="","",D37-C37)</f>
        <v>3</v>
      </c>
      <c r="F37" s="7" t="s">
        <v>3606</v>
      </c>
      <c r="G37" s="7" t="s">
        <v>99</v>
      </c>
      <c r="H37" s="7" t="s">
        <v>3613</v>
      </c>
      <c r="I37" s="60" t="n">
        <v>0.91</v>
      </c>
    </row>
    <row r="38" customFormat="false" ht="15.75" hidden="false" customHeight="true" outlineLevel="0" collapsed="false">
      <c r="A38" s="5" t="s">
        <v>3643</v>
      </c>
      <c r="B38" s="5" t="s">
        <v>3536</v>
      </c>
      <c r="C38" s="55" t="n">
        <v>46167</v>
      </c>
      <c r="D38" s="55" t="n">
        <v>46171</v>
      </c>
      <c r="E38" s="15" t="n">
        <f aca="false">IF(D38="","",D38-C38)</f>
        <v>4</v>
      </c>
      <c r="F38" s="5" t="s">
        <v>3606</v>
      </c>
      <c r="G38" s="5" t="s">
        <v>99</v>
      </c>
      <c r="H38" s="5" t="s">
        <v>3607</v>
      </c>
      <c r="I38" s="59" t="n">
        <v>0.83</v>
      </c>
    </row>
    <row r="39" customFormat="false" ht="15.75" hidden="false" customHeight="true" outlineLevel="0" collapsed="false">
      <c r="A39" s="7" t="s">
        <v>3644</v>
      </c>
      <c r="B39" s="7" t="s">
        <v>3539</v>
      </c>
      <c r="C39" s="57" t="n">
        <v>46180</v>
      </c>
      <c r="D39" s="57" t="n">
        <v>46185</v>
      </c>
      <c r="E39" s="16" t="n">
        <f aca="false">IF(D39="","",D39-C39)</f>
        <v>5</v>
      </c>
      <c r="F39" s="7" t="s">
        <v>3606</v>
      </c>
      <c r="G39" s="7" t="s">
        <v>99</v>
      </c>
      <c r="H39" s="7" t="s">
        <v>3609</v>
      </c>
      <c r="I39" s="60" t="n">
        <v>0.75</v>
      </c>
    </row>
    <row r="40" customFormat="false" ht="15.75" hidden="false" customHeight="true" outlineLevel="0" collapsed="false">
      <c r="A40" s="5" t="s">
        <v>3645</v>
      </c>
      <c r="B40" s="5" t="s">
        <v>3542</v>
      </c>
      <c r="C40" s="55" t="n">
        <v>46188</v>
      </c>
      <c r="D40" s="55" t="n">
        <v>46194</v>
      </c>
      <c r="E40" s="15" t="n">
        <f aca="false">IF(D40="","",D40-C40)</f>
        <v>6</v>
      </c>
      <c r="F40" s="5" t="s">
        <v>3606</v>
      </c>
      <c r="G40" s="5" t="s">
        <v>99</v>
      </c>
      <c r="H40" s="5" t="s">
        <v>3611</v>
      </c>
      <c r="I40" s="59" t="n">
        <v>0.92</v>
      </c>
    </row>
    <row r="41" customFormat="false" ht="15.75" hidden="false" customHeight="true" outlineLevel="0" collapsed="false">
      <c r="A41" s="7" t="s">
        <v>3646</v>
      </c>
      <c r="B41" s="7" t="s">
        <v>3545</v>
      </c>
      <c r="C41" s="57" t="n">
        <v>46201</v>
      </c>
      <c r="D41" s="57" t="n">
        <v>46202</v>
      </c>
      <c r="E41" s="16" t="n">
        <f aca="false">IF(D41="","",D41-C41)</f>
        <v>1</v>
      </c>
      <c r="F41" s="7" t="s">
        <v>3619</v>
      </c>
      <c r="G41" s="7" t="s">
        <v>99</v>
      </c>
      <c r="H41" s="7" t="s">
        <v>3613</v>
      </c>
      <c r="I41" s="60" t="n">
        <v>0.84</v>
      </c>
    </row>
    <row r="42" customFormat="false" ht="15.75" hidden="false" customHeight="true" outlineLevel="0" collapsed="false">
      <c r="A42" s="5" t="s">
        <v>3647</v>
      </c>
      <c r="B42" s="5" t="s">
        <v>3548</v>
      </c>
      <c r="C42" s="55" t="n">
        <v>46214</v>
      </c>
      <c r="D42" s="55" t="n">
        <v>46216</v>
      </c>
      <c r="E42" s="15" t="n">
        <f aca="false">IF(D42="","",D42-C42)</f>
        <v>2</v>
      </c>
      <c r="F42" s="5" t="s">
        <v>3606</v>
      </c>
      <c r="G42" s="5" t="s">
        <v>99</v>
      </c>
      <c r="H42" s="5" t="s">
        <v>3607</v>
      </c>
      <c r="I42" s="59" t="n">
        <v>0.76</v>
      </c>
    </row>
    <row r="43" customFormat="false" ht="15.75" hidden="false" customHeight="true" outlineLevel="0" collapsed="false">
      <c r="A43" s="7" t="s">
        <v>3648</v>
      </c>
      <c r="B43" s="7" t="s">
        <v>3551</v>
      </c>
      <c r="C43" s="57" t="n">
        <v>46087</v>
      </c>
      <c r="D43" s="57" t="n">
        <v>46090</v>
      </c>
      <c r="E43" s="16" t="n">
        <f aca="false">IF(D43="","",D43-C43)</f>
        <v>3</v>
      </c>
      <c r="F43" s="7" t="s">
        <v>3606</v>
      </c>
      <c r="G43" s="7" t="s">
        <v>99</v>
      </c>
      <c r="H43" s="7" t="s">
        <v>3609</v>
      </c>
      <c r="I43" s="60" t="n">
        <v>0.93</v>
      </c>
    </row>
    <row r="44" customFormat="false" ht="15.75" hidden="false" customHeight="true" outlineLevel="0" collapsed="false">
      <c r="A44" s="5" t="s">
        <v>3649</v>
      </c>
      <c r="B44" s="5" t="s">
        <v>3555</v>
      </c>
      <c r="C44" s="55" t="n">
        <v>46100</v>
      </c>
      <c r="D44" s="55" t="n">
        <v>46104</v>
      </c>
      <c r="E44" s="15" t="n">
        <f aca="false">IF(D44="","",D44-C44)</f>
        <v>4</v>
      </c>
      <c r="F44" s="5" t="s">
        <v>3606</v>
      </c>
      <c r="G44" s="5" t="s">
        <v>99</v>
      </c>
      <c r="H44" s="5" t="s">
        <v>3611</v>
      </c>
      <c r="I44" s="59" t="n">
        <v>0.85</v>
      </c>
    </row>
    <row r="45" customFormat="false" ht="15.75" hidden="false" customHeight="true" outlineLevel="0" collapsed="false">
      <c r="A45" s="7" t="s">
        <v>3650</v>
      </c>
      <c r="B45" s="7" t="s">
        <v>3558</v>
      </c>
      <c r="C45" s="57" t="n">
        <v>46108</v>
      </c>
      <c r="D45" s="57" t="n">
        <v>46113</v>
      </c>
      <c r="E45" s="16" t="n">
        <f aca="false">IF(D45="","",D45-C45)</f>
        <v>5</v>
      </c>
      <c r="F45" s="7" t="s">
        <v>3606</v>
      </c>
      <c r="G45" s="7" t="s">
        <v>99</v>
      </c>
      <c r="H45" s="7" t="s">
        <v>3613</v>
      </c>
      <c r="I45" s="60" t="n">
        <v>0.77</v>
      </c>
    </row>
    <row r="46" customFormat="false" ht="15.75" hidden="false" customHeight="true" outlineLevel="0" collapsed="false">
      <c r="A46" s="5" t="s">
        <v>3651</v>
      </c>
      <c r="B46" s="5" t="s">
        <v>3561</v>
      </c>
      <c r="C46" s="55" t="n">
        <v>46121</v>
      </c>
      <c r="D46" s="55" t="n">
        <v>46127</v>
      </c>
      <c r="E46" s="15" t="n">
        <f aca="false">IF(D46="","",D46-C46)</f>
        <v>6</v>
      </c>
      <c r="F46" s="5" t="s">
        <v>3606</v>
      </c>
      <c r="G46" s="5" t="s">
        <v>99</v>
      </c>
      <c r="H46" s="5" t="s">
        <v>3607</v>
      </c>
      <c r="I46" s="59" t="n">
        <v>0.94</v>
      </c>
    </row>
    <row r="47" customFormat="false" ht="15.75" hidden="false" customHeight="true" outlineLevel="0" collapsed="false">
      <c r="A47" s="7" t="s">
        <v>3652</v>
      </c>
      <c r="B47" s="7" t="s">
        <v>3564</v>
      </c>
      <c r="C47" s="57" t="n">
        <v>46134</v>
      </c>
      <c r="D47" s="57" t="n">
        <v>46135</v>
      </c>
      <c r="E47" s="16" t="n">
        <f aca="false">IF(D47="","",D47-C47)</f>
        <v>1</v>
      </c>
      <c r="F47" s="7" t="s">
        <v>3606</v>
      </c>
      <c r="G47" s="7" t="s">
        <v>99</v>
      </c>
      <c r="H47" s="7" t="s">
        <v>3609</v>
      </c>
      <c r="I47" s="60" t="n">
        <v>0.86</v>
      </c>
    </row>
    <row r="48" customFormat="false" ht="15.75" hidden="false" customHeight="true" outlineLevel="0" collapsed="false">
      <c r="A48" s="5" t="s">
        <v>3653</v>
      </c>
      <c r="B48" s="5" t="s">
        <v>3567</v>
      </c>
      <c r="C48" s="55" t="n">
        <v>46147</v>
      </c>
      <c r="D48" s="55" t="n">
        <v>46149</v>
      </c>
      <c r="E48" s="15" t="n">
        <f aca="false">IF(D48="","",D48-C48)</f>
        <v>2</v>
      </c>
      <c r="F48" s="5" t="s">
        <v>3606</v>
      </c>
      <c r="G48" s="5" t="s">
        <v>99</v>
      </c>
      <c r="H48" s="5" t="s">
        <v>3611</v>
      </c>
      <c r="I48" s="59" t="n">
        <v>0.78</v>
      </c>
    </row>
    <row r="49" customFormat="false" ht="15.75" hidden="false" customHeight="true" outlineLevel="0" collapsed="false">
      <c r="A49" s="7" t="s">
        <v>3654</v>
      </c>
      <c r="B49" s="7" t="s">
        <v>3570</v>
      </c>
      <c r="C49" s="57" t="n">
        <v>46160</v>
      </c>
      <c r="D49" s="57" t="n">
        <v>46163</v>
      </c>
      <c r="E49" s="16" t="n">
        <f aca="false">IF(D49="","",D49-C49)</f>
        <v>3</v>
      </c>
      <c r="F49" s="7" t="s">
        <v>3606</v>
      </c>
      <c r="G49" s="7" t="s">
        <v>99</v>
      </c>
      <c r="H49" s="7" t="s">
        <v>3613</v>
      </c>
      <c r="I49" s="60" t="n">
        <v>0.95</v>
      </c>
    </row>
    <row r="50" customFormat="false" ht="15.75" hidden="false" customHeight="true" outlineLevel="0" collapsed="false">
      <c r="A50" s="5" t="s">
        <v>3655</v>
      </c>
      <c r="B50" s="5" t="s">
        <v>3573</v>
      </c>
      <c r="C50" s="55" t="n">
        <v>46168</v>
      </c>
      <c r="D50" s="55" t="n">
        <v>46172</v>
      </c>
      <c r="E50" s="15" t="n">
        <f aca="false">IF(D50="","",D50-C50)</f>
        <v>4</v>
      </c>
      <c r="F50" s="5" t="s">
        <v>3619</v>
      </c>
      <c r="G50" s="5" t="s">
        <v>99</v>
      </c>
      <c r="H50" s="5" t="s">
        <v>3607</v>
      </c>
      <c r="I50" s="59" t="n">
        <v>0.87</v>
      </c>
    </row>
    <row r="51" customFormat="false" ht="15.75" hidden="false" customHeight="true" outlineLevel="0" collapsed="false">
      <c r="A51" s="7" t="s">
        <v>3656</v>
      </c>
      <c r="B51" s="7" t="s">
        <v>3576</v>
      </c>
      <c r="C51" s="57" t="n">
        <v>46181</v>
      </c>
      <c r="D51" s="57" t="n">
        <v>46186</v>
      </c>
      <c r="E51" s="16" t="n">
        <f aca="false">IF(D51="","",D51-C51)</f>
        <v>5</v>
      </c>
      <c r="F51" s="7" t="s">
        <v>3606</v>
      </c>
      <c r="G51" s="7" t="s">
        <v>99</v>
      </c>
      <c r="H51" s="7" t="s">
        <v>3609</v>
      </c>
      <c r="I51" s="60" t="n">
        <v>0.79</v>
      </c>
    </row>
    <row r="52" customFormat="false" ht="15.75" hidden="false" customHeight="true" outlineLevel="0" collapsed="false">
      <c r="A52" s="5" t="s">
        <v>3657</v>
      </c>
      <c r="B52" s="5" t="s">
        <v>3579</v>
      </c>
      <c r="C52" s="55" t="n">
        <v>46194</v>
      </c>
      <c r="D52" s="55" t="n">
        <v>46200</v>
      </c>
      <c r="E52" s="15" t="n">
        <f aca="false">IF(D52="","",D52-C52)</f>
        <v>6</v>
      </c>
      <c r="F52" s="5" t="s">
        <v>3606</v>
      </c>
      <c r="G52" s="5" t="s">
        <v>99</v>
      </c>
      <c r="H52" s="5" t="s">
        <v>3611</v>
      </c>
      <c r="I52" s="59" t="n">
        <v>0.96</v>
      </c>
    </row>
    <row r="53" customFormat="false" ht="15.75" hidden="false" customHeight="true" outlineLevel="0" collapsed="false">
      <c r="A53" s="7" t="s">
        <v>3658</v>
      </c>
      <c r="B53" s="7" t="s">
        <v>3582</v>
      </c>
      <c r="C53" s="57" t="n">
        <v>46207</v>
      </c>
      <c r="D53" s="57" t="n">
        <v>46208</v>
      </c>
      <c r="E53" s="16" t="n">
        <f aca="false">IF(D53="","",D53-C53)</f>
        <v>1</v>
      </c>
      <c r="F53" s="7" t="s">
        <v>3606</v>
      </c>
      <c r="G53" s="7" t="s">
        <v>99</v>
      </c>
      <c r="H53" s="7" t="s">
        <v>3613</v>
      </c>
      <c r="I53" s="60" t="n">
        <v>0.88</v>
      </c>
    </row>
    <row r="54" customFormat="false" ht="15.75" hidden="false" customHeight="true" outlineLevel="0" collapsed="false">
      <c r="A54" s="5" t="s">
        <v>3659</v>
      </c>
      <c r="B54" s="5" t="s">
        <v>3585</v>
      </c>
      <c r="C54" s="55" t="n">
        <v>46220</v>
      </c>
      <c r="D54" s="55" t="n">
        <v>46222</v>
      </c>
      <c r="E54" s="15" t="n">
        <f aca="false">IF(D54="","",D54-C54)</f>
        <v>2</v>
      </c>
      <c r="F54" s="5" t="s">
        <v>3606</v>
      </c>
      <c r="G54" s="5" t="s">
        <v>99</v>
      </c>
      <c r="H54" s="5" t="s">
        <v>3607</v>
      </c>
      <c r="I54" s="59" t="n">
        <v>0.8</v>
      </c>
    </row>
    <row r="55" customFormat="false" ht="15.75" hidden="false" customHeight="true" outlineLevel="0" collapsed="false">
      <c r="A55" s="7" t="s">
        <v>3660</v>
      </c>
      <c r="B55" s="7" t="s">
        <v>3588</v>
      </c>
      <c r="C55" s="57" t="n">
        <v>46088</v>
      </c>
      <c r="D55" s="57" t="n">
        <v>46091</v>
      </c>
      <c r="E55" s="16" t="n">
        <f aca="false">IF(D55="","",D55-C55)</f>
        <v>3</v>
      </c>
      <c r="F55" s="7" t="s">
        <v>3606</v>
      </c>
      <c r="G55" s="7" t="s">
        <v>99</v>
      </c>
      <c r="H55" s="7" t="s">
        <v>3609</v>
      </c>
      <c r="I55" s="60" t="n">
        <v>0.72</v>
      </c>
    </row>
  </sheetData>
  <autoFilter ref="A5:I55"/>
  <mergeCells count="3">
    <mergeCell ref="A1:I1"/>
    <mergeCell ref="A2:I2"/>
    <mergeCell ref="A3:I3"/>
  </mergeCells>
  <conditionalFormatting sqref="E6:E55">
    <cfRule type="cellIs" priority="2" operator="greaterThan" aboveAverage="0" equalAverage="0" bottom="0" percent="0" rank="0" text="" dxfId="32">
      <formula>4</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A8"/>
    <pageSetUpPr fitToPage="true"/>
  </sheetPr>
  <dimension ref="A1:J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4" min="4" style="0" width="12"/>
    <col collapsed="false" customWidth="true" hidden="false" outlineLevel="0" max="6" min="5" style="0" width="14"/>
    <col collapsed="false" customWidth="true" hidden="false" outlineLevel="0" max="7" min="7" style="0" width="17"/>
    <col collapsed="false" customWidth="true" hidden="false" outlineLevel="0" max="8" min="8" style="0" width="10"/>
    <col collapsed="false" customWidth="true" hidden="false" outlineLevel="0" max="9" min="9" style="0" width="16"/>
    <col collapsed="false" customWidth="true" hidden="false" outlineLevel="0" max="10" min="10" style="0" width="13"/>
  </cols>
  <sheetData>
    <row r="1" customFormat="false" ht="19.5" hidden="false" customHeight="true" outlineLevel="0" collapsed="false">
      <c r="A1" s="51" t="s">
        <v>3488</v>
      </c>
      <c r="B1" s="51"/>
      <c r="C1" s="51"/>
      <c r="D1" s="51"/>
      <c r="E1" s="51"/>
      <c r="F1" s="51"/>
      <c r="G1" s="51"/>
      <c r="H1" s="51"/>
      <c r="I1" s="51"/>
      <c r="J1" s="51"/>
    </row>
    <row r="2" customFormat="false" ht="27.75" hidden="false" customHeight="true" outlineLevel="0" collapsed="false">
      <c r="A2" s="52" t="s">
        <v>3661</v>
      </c>
      <c r="B2" s="52"/>
      <c r="C2" s="52"/>
      <c r="D2" s="52"/>
      <c r="E2" s="52"/>
      <c r="F2" s="52"/>
      <c r="G2" s="52"/>
      <c r="H2" s="52"/>
      <c r="I2" s="52"/>
      <c r="J2" s="52"/>
    </row>
    <row r="3" customFormat="false" ht="30" hidden="false" customHeight="true" outlineLevel="0" collapsed="false">
      <c r="A3" s="53" t="s">
        <v>3662</v>
      </c>
      <c r="B3" s="53"/>
      <c r="C3" s="53"/>
      <c r="D3" s="53"/>
      <c r="E3" s="53"/>
      <c r="F3" s="53"/>
      <c r="G3" s="53"/>
      <c r="H3" s="53"/>
      <c r="I3" s="53"/>
      <c r="J3" s="53"/>
    </row>
    <row r="4" customFormat="false" ht="6" hidden="false" customHeight="true" outlineLevel="0" collapsed="false"/>
    <row r="5" customFormat="false" ht="30" hidden="false" customHeight="true" outlineLevel="0" collapsed="false">
      <c r="A5" s="54" t="s">
        <v>3663</v>
      </c>
      <c r="B5" s="54" t="s">
        <v>3491</v>
      </c>
      <c r="C5" s="54" t="s">
        <v>603</v>
      </c>
      <c r="D5" s="54" t="s">
        <v>3664</v>
      </c>
      <c r="E5" s="54" t="s">
        <v>3329</v>
      </c>
      <c r="F5" s="54" t="s">
        <v>3665</v>
      </c>
      <c r="G5" s="54" t="s">
        <v>3666</v>
      </c>
      <c r="H5" s="54" t="s">
        <v>3667</v>
      </c>
      <c r="I5" s="54" t="s">
        <v>3668</v>
      </c>
      <c r="J5" s="54" t="s">
        <v>3669</v>
      </c>
    </row>
    <row r="6" customFormat="false" ht="15.75" hidden="false" customHeight="true" outlineLevel="0" collapsed="false">
      <c r="A6" s="5" t="s">
        <v>3670</v>
      </c>
      <c r="B6" s="5" t="s">
        <v>3516</v>
      </c>
      <c r="C6" s="5" t="s">
        <v>701</v>
      </c>
      <c r="D6" s="5" t="s">
        <v>3671</v>
      </c>
      <c r="E6" s="55" t="n">
        <v>46113</v>
      </c>
      <c r="F6" s="55" t="n">
        <v>46115</v>
      </c>
      <c r="G6" s="15" t="n">
        <f aca="false">F6-E6</f>
        <v>2</v>
      </c>
      <c r="H6" s="15" t="n">
        <v>68</v>
      </c>
      <c r="I6" s="5" t="s">
        <v>104</v>
      </c>
      <c r="J6" s="5" t="s">
        <v>422</v>
      </c>
    </row>
    <row r="7" customFormat="false" ht="15.75" hidden="false" customHeight="true" outlineLevel="0" collapsed="false">
      <c r="A7" s="7" t="s">
        <v>3672</v>
      </c>
      <c r="B7" s="7" t="s">
        <v>3524</v>
      </c>
      <c r="C7" s="7" t="s">
        <v>732</v>
      </c>
      <c r="D7" s="7" t="s">
        <v>3673</v>
      </c>
      <c r="E7" s="57" t="n">
        <v>46134</v>
      </c>
      <c r="F7" s="57" t="n">
        <v>46137</v>
      </c>
      <c r="G7" s="16" t="n">
        <f aca="false">F7-E7</f>
        <v>3</v>
      </c>
      <c r="H7" s="16" t="n">
        <v>91</v>
      </c>
      <c r="I7" s="7" t="s">
        <v>104</v>
      </c>
      <c r="J7" s="7" t="s">
        <v>422</v>
      </c>
    </row>
    <row r="8" customFormat="false" ht="15.75" hidden="false" customHeight="true" outlineLevel="0" collapsed="false">
      <c r="A8" s="5" t="s">
        <v>3674</v>
      </c>
      <c r="B8" s="5" t="s">
        <v>3530</v>
      </c>
      <c r="C8" s="5" t="s">
        <v>614</v>
      </c>
      <c r="D8" s="5" t="s">
        <v>3675</v>
      </c>
      <c r="E8" s="55" t="n">
        <v>46155</v>
      </c>
      <c r="F8" s="55" t="n">
        <v>46159</v>
      </c>
      <c r="G8" s="15" t="n">
        <f aca="false">F8-E8</f>
        <v>4</v>
      </c>
      <c r="H8" s="15" t="n">
        <v>62</v>
      </c>
      <c r="I8" s="5" t="s">
        <v>104</v>
      </c>
      <c r="J8" s="5" t="s">
        <v>422</v>
      </c>
    </row>
    <row r="9" customFormat="false" ht="15.75" hidden="false" customHeight="true" outlineLevel="0" collapsed="false">
      <c r="A9" s="7" t="s">
        <v>3676</v>
      </c>
      <c r="B9" s="7" t="s">
        <v>3537</v>
      </c>
      <c r="C9" s="7" t="s">
        <v>662</v>
      </c>
      <c r="D9" s="7" t="s">
        <v>3671</v>
      </c>
      <c r="E9" s="57" t="n">
        <v>46176</v>
      </c>
      <c r="F9" s="57" t="n">
        <v>46177</v>
      </c>
      <c r="G9" s="16" t="n">
        <f aca="false">F9-E9</f>
        <v>1</v>
      </c>
      <c r="H9" s="16" t="n">
        <v>85</v>
      </c>
      <c r="I9" s="7" t="s">
        <v>104</v>
      </c>
      <c r="J9" s="7" t="s">
        <v>422</v>
      </c>
    </row>
    <row r="10" customFormat="false" ht="15.75" hidden="false" customHeight="true" outlineLevel="0" collapsed="false">
      <c r="A10" s="5" t="s">
        <v>3677</v>
      </c>
      <c r="B10" s="5" t="s">
        <v>3542</v>
      </c>
      <c r="C10" s="5" t="s">
        <v>705</v>
      </c>
      <c r="D10" s="5" t="s">
        <v>3673</v>
      </c>
      <c r="E10" s="55" t="n">
        <v>46197</v>
      </c>
      <c r="F10" s="55" t="n">
        <v>46199</v>
      </c>
      <c r="G10" s="15" t="n">
        <f aca="false">F10-E10</f>
        <v>2</v>
      </c>
      <c r="H10" s="15" t="n">
        <v>56</v>
      </c>
      <c r="I10" s="5" t="s">
        <v>104</v>
      </c>
      <c r="J10" s="5" t="s">
        <v>420</v>
      </c>
    </row>
    <row r="11" customFormat="false" ht="15.75" hidden="false" customHeight="true" outlineLevel="0" collapsed="false">
      <c r="A11" s="7" t="s">
        <v>3678</v>
      </c>
      <c r="B11" s="7" t="s">
        <v>3547</v>
      </c>
      <c r="C11" s="7" t="s">
        <v>732</v>
      </c>
      <c r="D11" s="7" t="s">
        <v>3675</v>
      </c>
      <c r="E11" s="57" t="n">
        <v>46218</v>
      </c>
      <c r="F11" s="57" t="n">
        <v>46221</v>
      </c>
      <c r="G11" s="16" t="n">
        <f aca="false">F11-E11</f>
        <v>3</v>
      </c>
      <c r="H11" s="16" t="n">
        <v>79</v>
      </c>
      <c r="I11" s="7" t="s">
        <v>104</v>
      </c>
      <c r="J11" s="7" t="s">
        <v>422</v>
      </c>
    </row>
    <row r="12" customFormat="false" ht="15.75" hidden="false" customHeight="true" outlineLevel="0" collapsed="false">
      <c r="A12" s="5" t="s">
        <v>3679</v>
      </c>
      <c r="B12" s="5" t="s">
        <v>3552</v>
      </c>
      <c r="C12" s="5" t="s">
        <v>607</v>
      </c>
      <c r="D12" s="5" t="s">
        <v>3671</v>
      </c>
      <c r="E12" s="55" t="n">
        <v>46099</v>
      </c>
      <c r="F12" s="55" t="n">
        <v>46103</v>
      </c>
      <c r="G12" s="15" t="n">
        <f aca="false">F12-E12</f>
        <v>4</v>
      </c>
      <c r="H12" s="15" t="n">
        <v>50</v>
      </c>
      <c r="I12" s="5" t="s">
        <v>104</v>
      </c>
      <c r="J12" s="5" t="s">
        <v>420</v>
      </c>
    </row>
    <row r="13" customFormat="false" ht="15.75" hidden="false" customHeight="true" outlineLevel="0" collapsed="false">
      <c r="A13" s="7" t="s">
        <v>3680</v>
      </c>
      <c r="B13" s="7" t="s">
        <v>3558</v>
      </c>
      <c r="C13" s="7" t="s">
        <v>666</v>
      </c>
      <c r="D13" s="7" t="s">
        <v>3673</v>
      </c>
      <c r="E13" s="57" t="n">
        <v>46120</v>
      </c>
      <c r="F13" s="57" t="n">
        <v>46121</v>
      </c>
      <c r="G13" s="16" t="n">
        <f aca="false">F13-E13</f>
        <v>1</v>
      </c>
      <c r="H13" s="16" t="n">
        <v>73</v>
      </c>
      <c r="I13" s="7" t="s">
        <v>104</v>
      </c>
      <c r="J13" s="7" t="s">
        <v>422</v>
      </c>
    </row>
    <row r="14" customFormat="false" ht="15.75" hidden="false" customHeight="true" outlineLevel="0" collapsed="false">
      <c r="A14" s="5" t="s">
        <v>3681</v>
      </c>
      <c r="B14" s="5" t="s">
        <v>3563</v>
      </c>
      <c r="C14" s="5" t="s">
        <v>709</v>
      </c>
      <c r="D14" s="5" t="s">
        <v>3675</v>
      </c>
      <c r="E14" s="55" t="n">
        <v>46132</v>
      </c>
      <c r="F14" s="55" t="n">
        <v>46134</v>
      </c>
      <c r="G14" s="15" t="n">
        <f aca="false">F14-E14</f>
        <v>2</v>
      </c>
      <c r="H14" s="15" t="n">
        <v>96</v>
      </c>
      <c r="I14" s="5" t="s">
        <v>104</v>
      </c>
      <c r="J14" s="5" t="s">
        <v>422</v>
      </c>
    </row>
    <row r="15" customFormat="false" ht="15.75" hidden="false" customHeight="true" outlineLevel="0" collapsed="false">
      <c r="A15" s="7" t="s">
        <v>3682</v>
      </c>
      <c r="B15" s="7" t="s">
        <v>3568</v>
      </c>
      <c r="C15" s="7" t="s">
        <v>732</v>
      </c>
      <c r="D15" s="7" t="s">
        <v>3671</v>
      </c>
      <c r="E15" s="57" t="n">
        <v>46153</v>
      </c>
      <c r="F15" s="57" t="n">
        <v>46156</v>
      </c>
      <c r="G15" s="16" t="n">
        <f aca="false">F15-E15</f>
        <v>3</v>
      </c>
      <c r="H15" s="16" t="n">
        <v>67</v>
      </c>
      <c r="I15" s="7" t="s">
        <v>104</v>
      </c>
      <c r="J15" s="7" t="s">
        <v>420</v>
      </c>
    </row>
    <row r="16" customFormat="false" ht="15.75" hidden="false" customHeight="true" outlineLevel="0" collapsed="false">
      <c r="A16" s="5" t="s">
        <v>3683</v>
      </c>
      <c r="B16" s="5" t="s">
        <v>3573</v>
      </c>
      <c r="C16" s="5" t="s">
        <v>620</v>
      </c>
      <c r="D16" s="5" t="s">
        <v>3673</v>
      </c>
      <c r="E16" s="55" t="n">
        <v>46174</v>
      </c>
      <c r="F16" s="55" t="n">
        <v>46178</v>
      </c>
      <c r="G16" s="15" t="n">
        <f aca="false">F16-E16</f>
        <v>4</v>
      </c>
      <c r="H16" s="15" t="n">
        <v>90</v>
      </c>
      <c r="I16" s="5" t="s">
        <v>104</v>
      </c>
      <c r="J16" s="5" t="s">
        <v>422</v>
      </c>
    </row>
    <row r="17" customFormat="false" ht="15.75" hidden="false" customHeight="true" outlineLevel="0" collapsed="false">
      <c r="A17" s="7" t="s">
        <v>3684</v>
      </c>
      <c r="B17" s="7" t="s">
        <v>3578</v>
      </c>
      <c r="C17" s="7" t="s">
        <v>670</v>
      </c>
      <c r="D17" s="7" t="s">
        <v>3675</v>
      </c>
      <c r="E17" s="57" t="n">
        <v>46195</v>
      </c>
      <c r="F17" s="57" t="n">
        <v>46196</v>
      </c>
      <c r="G17" s="16" t="n">
        <f aca="false">F17-E17</f>
        <v>1</v>
      </c>
      <c r="H17" s="16" t="n">
        <v>61</v>
      </c>
      <c r="I17" s="7" t="s">
        <v>104</v>
      </c>
      <c r="J17" s="7" t="s">
        <v>422</v>
      </c>
    </row>
    <row r="18" customFormat="false" ht="15.75" hidden="false" customHeight="true" outlineLevel="0" collapsed="false">
      <c r="A18" s="5" t="s">
        <v>3685</v>
      </c>
      <c r="B18" s="5" t="s">
        <v>3583</v>
      </c>
      <c r="C18" s="5" t="s">
        <v>701</v>
      </c>
      <c r="D18" s="5" t="s">
        <v>3671</v>
      </c>
      <c r="E18" s="55" t="n">
        <v>46216</v>
      </c>
      <c r="F18" s="55" t="n">
        <v>46218</v>
      </c>
      <c r="G18" s="15" t="n">
        <f aca="false">F18-E18</f>
        <v>2</v>
      </c>
      <c r="H18" s="15" t="n">
        <v>84</v>
      </c>
      <c r="I18" s="5" t="s">
        <v>104</v>
      </c>
      <c r="J18" s="5" t="s">
        <v>422</v>
      </c>
    </row>
    <row r="19" customFormat="false" ht="15.75" hidden="false" customHeight="true" outlineLevel="0" collapsed="false">
      <c r="A19" s="7" t="s">
        <v>3686</v>
      </c>
      <c r="B19" s="7" t="s">
        <v>3588</v>
      </c>
      <c r="C19" s="7" t="s">
        <v>732</v>
      </c>
      <c r="D19" s="7" t="s">
        <v>3673</v>
      </c>
      <c r="E19" s="57" t="n">
        <v>46097</v>
      </c>
      <c r="F19" s="57" t="n">
        <v>46100</v>
      </c>
      <c r="G19" s="16" t="n">
        <f aca="false">F19-E19</f>
        <v>3</v>
      </c>
      <c r="H19" s="16" t="n">
        <v>55</v>
      </c>
      <c r="I19" s="7" t="s">
        <v>104</v>
      </c>
      <c r="J19" s="7" t="s">
        <v>420</v>
      </c>
    </row>
    <row r="20" customFormat="false" ht="15.75" hidden="false" customHeight="true" outlineLevel="0" collapsed="false">
      <c r="A20" s="5" t="s">
        <v>3687</v>
      </c>
      <c r="B20" s="5" t="s">
        <v>3593</v>
      </c>
      <c r="C20" s="5" t="s">
        <v>614</v>
      </c>
      <c r="D20" s="5" t="s">
        <v>3675</v>
      </c>
      <c r="E20" s="55" t="n">
        <v>46118</v>
      </c>
      <c r="F20" s="55" t="n">
        <v>46122</v>
      </c>
      <c r="G20" s="15" t="n">
        <f aca="false">F20-E20</f>
        <v>4</v>
      </c>
      <c r="H20" s="15" t="n">
        <v>78</v>
      </c>
      <c r="I20" s="5" t="s">
        <v>104</v>
      </c>
      <c r="J20" s="5" t="s">
        <v>420</v>
      </c>
    </row>
    <row r="21" customFormat="false" ht="15.75" hidden="false" customHeight="true" outlineLevel="0" collapsed="false">
      <c r="A21" s="7" t="s">
        <v>3688</v>
      </c>
      <c r="B21" s="7" t="s">
        <v>3499</v>
      </c>
      <c r="C21" s="7" t="s">
        <v>670</v>
      </c>
      <c r="D21" s="7" t="s">
        <v>3671</v>
      </c>
      <c r="E21" s="57" t="n">
        <v>46099</v>
      </c>
      <c r="F21" s="57" t="n">
        <v>46100</v>
      </c>
      <c r="G21" s="16" t="n">
        <f aca="false">F21-E21</f>
        <v>1</v>
      </c>
      <c r="H21" s="16" t="n">
        <v>49</v>
      </c>
      <c r="I21" s="7" t="s">
        <v>104</v>
      </c>
      <c r="J21" s="7" t="s">
        <v>420</v>
      </c>
    </row>
    <row r="22" customFormat="false" ht="15.75" hidden="false" customHeight="true" outlineLevel="0" collapsed="false">
      <c r="A22" s="5" t="s">
        <v>3689</v>
      </c>
      <c r="B22" s="5" t="s">
        <v>3516</v>
      </c>
      <c r="C22" s="5" t="s">
        <v>701</v>
      </c>
      <c r="D22" s="5" t="s">
        <v>3673</v>
      </c>
      <c r="E22" s="55" t="n">
        <v>46120</v>
      </c>
      <c r="F22" s="55" t="n">
        <v>46122</v>
      </c>
      <c r="G22" s="15" t="n">
        <f aca="false">F22-E22</f>
        <v>2</v>
      </c>
      <c r="H22" s="15" t="n">
        <v>72</v>
      </c>
      <c r="I22" s="5" t="s">
        <v>104</v>
      </c>
      <c r="J22" s="5" t="s">
        <v>422</v>
      </c>
    </row>
    <row r="23" customFormat="false" ht="15.75" hidden="false" customHeight="true" outlineLevel="0" collapsed="false">
      <c r="A23" s="7" t="s">
        <v>3690</v>
      </c>
      <c r="B23" s="7" t="s">
        <v>3524</v>
      </c>
      <c r="C23" s="7" t="s">
        <v>732</v>
      </c>
      <c r="D23" s="7" t="s">
        <v>3675</v>
      </c>
      <c r="E23" s="57" t="n">
        <v>46132</v>
      </c>
      <c r="F23" s="57" t="n">
        <v>46135</v>
      </c>
      <c r="G23" s="16" t="n">
        <f aca="false">F23-E23</f>
        <v>3</v>
      </c>
      <c r="H23" s="16" t="n">
        <v>95</v>
      </c>
      <c r="I23" s="7" t="s">
        <v>104</v>
      </c>
      <c r="J23" s="7" t="s">
        <v>422</v>
      </c>
    </row>
    <row r="24" customFormat="false" ht="15.75" hidden="false" customHeight="true" outlineLevel="0" collapsed="false">
      <c r="A24" s="5" t="s">
        <v>3691</v>
      </c>
      <c r="B24" s="5" t="s">
        <v>3530</v>
      </c>
      <c r="C24" s="5" t="s">
        <v>614</v>
      </c>
      <c r="D24" s="5" t="s">
        <v>3671</v>
      </c>
      <c r="E24" s="55" t="n">
        <v>46153</v>
      </c>
      <c r="F24" s="55" t="n">
        <v>46157</v>
      </c>
      <c r="G24" s="15" t="n">
        <f aca="false">F24-E24</f>
        <v>4</v>
      </c>
      <c r="H24" s="15" t="n">
        <v>66</v>
      </c>
      <c r="I24" s="5" t="s">
        <v>104</v>
      </c>
      <c r="J24" s="5" t="s">
        <v>422</v>
      </c>
    </row>
    <row r="25" customFormat="false" ht="15.75" hidden="false" customHeight="true" outlineLevel="0" collapsed="false">
      <c r="A25" s="7" t="s">
        <v>3692</v>
      </c>
      <c r="B25" s="7" t="s">
        <v>3537</v>
      </c>
      <c r="C25" s="7" t="s">
        <v>662</v>
      </c>
      <c r="D25" s="7" t="s">
        <v>3673</v>
      </c>
      <c r="E25" s="57" t="n">
        <v>46174</v>
      </c>
      <c r="F25" s="57" t="n">
        <v>46175</v>
      </c>
      <c r="G25" s="16" t="n">
        <f aca="false">F25-E25</f>
        <v>1</v>
      </c>
      <c r="H25" s="16" t="n">
        <v>89</v>
      </c>
      <c r="I25" s="7" t="s">
        <v>104</v>
      </c>
      <c r="J25" s="7" t="s">
        <v>420</v>
      </c>
    </row>
    <row r="26" customFormat="false" ht="15.75" hidden="false" customHeight="true" outlineLevel="0" collapsed="false">
      <c r="A26" s="5" t="s">
        <v>3693</v>
      </c>
      <c r="B26" s="5" t="s">
        <v>3542</v>
      </c>
      <c r="C26" s="5" t="s">
        <v>705</v>
      </c>
      <c r="D26" s="5" t="s">
        <v>3675</v>
      </c>
      <c r="E26" s="55" t="n">
        <v>46195</v>
      </c>
      <c r="F26" s="55" t="n">
        <v>46197</v>
      </c>
      <c r="G26" s="15" t="n">
        <f aca="false">F26-E26</f>
        <v>2</v>
      </c>
      <c r="H26" s="15" t="n">
        <v>60</v>
      </c>
      <c r="I26" s="5" t="s">
        <v>104</v>
      </c>
      <c r="J26" s="5" t="s">
        <v>422</v>
      </c>
    </row>
    <row r="27" customFormat="false" ht="15.75" hidden="false" customHeight="true" outlineLevel="0" collapsed="false">
      <c r="A27" s="7" t="s">
        <v>3694</v>
      </c>
      <c r="B27" s="7" t="s">
        <v>3547</v>
      </c>
      <c r="C27" s="7" t="s">
        <v>732</v>
      </c>
      <c r="D27" s="7" t="s">
        <v>3671</v>
      </c>
      <c r="E27" s="57" t="n">
        <v>46216</v>
      </c>
      <c r="F27" s="57" t="n">
        <v>46219</v>
      </c>
      <c r="G27" s="16" t="n">
        <f aca="false">F27-E27</f>
        <v>3</v>
      </c>
      <c r="H27" s="16" t="n">
        <v>83</v>
      </c>
      <c r="I27" s="7" t="s">
        <v>104</v>
      </c>
      <c r="J27" s="7" t="s">
        <v>422</v>
      </c>
    </row>
    <row r="28" customFormat="false" ht="15.75" hidden="false" customHeight="true" outlineLevel="0" collapsed="false">
      <c r="A28" s="5" t="s">
        <v>3695</v>
      </c>
      <c r="B28" s="5" t="s">
        <v>3552</v>
      </c>
      <c r="C28" s="5" t="s">
        <v>607</v>
      </c>
      <c r="D28" s="5" t="s">
        <v>3673</v>
      </c>
      <c r="E28" s="55" t="n">
        <v>46097</v>
      </c>
      <c r="F28" s="55" t="n">
        <v>46101</v>
      </c>
      <c r="G28" s="15" t="n">
        <f aca="false">F28-E28</f>
        <v>4</v>
      </c>
      <c r="H28" s="15" t="n">
        <v>54</v>
      </c>
      <c r="I28" s="5" t="s">
        <v>104</v>
      </c>
      <c r="J28" s="5" t="s">
        <v>420</v>
      </c>
    </row>
    <row r="29" customFormat="false" ht="15.75" hidden="false" customHeight="true" outlineLevel="0" collapsed="false">
      <c r="A29" s="7" t="s">
        <v>3696</v>
      </c>
      <c r="B29" s="7" t="s">
        <v>3558</v>
      </c>
      <c r="C29" s="7" t="s">
        <v>666</v>
      </c>
      <c r="D29" s="7" t="s">
        <v>3675</v>
      </c>
      <c r="E29" s="57" t="n">
        <v>46118</v>
      </c>
      <c r="F29" s="57" t="n">
        <v>46119</v>
      </c>
      <c r="G29" s="16" t="n">
        <f aca="false">F29-E29</f>
        <v>1</v>
      </c>
      <c r="H29" s="16" t="n">
        <v>77</v>
      </c>
      <c r="I29" s="7" t="s">
        <v>104</v>
      </c>
      <c r="J29" s="7" t="s">
        <v>422</v>
      </c>
    </row>
    <row r="30" customFormat="false" ht="15.75" hidden="false" customHeight="true" outlineLevel="0" collapsed="false">
      <c r="A30" s="5" t="s">
        <v>3697</v>
      </c>
      <c r="B30" s="5" t="s">
        <v>3563</v>
      </c>
      <c r="C30" s="5" t="s">
        <v>709</v>
      </c>
      <c r="D30" s="5" t="s">
        <v>3671</v>
      </c>
      <c r="E30" s="55" t="n">
        <v>46139</v>
      </c>
      <c r="F30" s="55" t="n">
        <v>46141</v>
      </c>
      <c r="G30" s="15" t="n">
        <f aca="false">F30-E30</f>
        <v>2</v>
      </c>
      <c r="H30" s="15" t="n">
        <v>48</v>
      </c>
      <c r="I30" s="5" t="s">
        <v>104</v>
      </c>
      <c r="J30" s="5" t="s">
        <v>420</v>
      </c>
    </row>
    <row r="31" customFormat="false" ht="15.75" hidden="false" customHeight="true" outlineLevel="0" collapsed="false">
      <c r="A31" s="7" t="s">
        <v>3698</v>
      </c>
      <c r="B31" s="7" t="s">
        <v>3568</v>
      </c>
      <c r="C31" s="7" t="s">
        <v>732</v>
      </c>
      <c r="D31" s="7" t="s">
        <v>3673</v>
      </c>
      <c r="E31" s="57" t="n">
        <v>46160</v>
      </c>
      <c r="F31" s="57" t="n">
        <v>46163</v>
      </c>
      <c r="G31" s="16" t="n">
        <f aca="false">F31-E31</f>
        <v>3</v>
      </c>
      <c r="H31" s="16" t="n">
        <v>71</v>
      </c>
      <c r="I31" s="7" t="s">
        <v>104</v>
      </c>
      <c r="J31" s="7" t="s">
        <v>422</v>
      </c>
    </row>
    <row r="32" customFormat="false" ht="15.75" hidden="false" customHeight="true" outlineLevel="0" collapsed="false">
      <c r="A32" s="5" t="s">
        <v>3699</v>
      </c>
      <c r="B32" s="5" t="s">
        <v>3573</v>
      </c>
      <c r="C32" s="5" t="s">
        <v>620</v>
      </c>
      <c r="D32" s="5" t="s">
        <v>3675</v>
      </c>
      <c r="E32" s="55" t="n">
        <v>46172</v>
      </c>
      <c r="F32" s="55" t="n">
        <v>46176</v>
      </c>
      <c r="G32" s="15" t="n">
        <f aca="false">F32-E32</f>
        <v>4</v>
      </c>
      <c r="H32" s="15" t="n">
        <v>94</v>
      </c>
      <c r="I32" s="5" t="s">
        <v>104</v>
      </c>
      <c r="J32" s="5" t="s">
        <v>422</v>
      </c>
    </row>
    <row r="33" customFormat="false" ht="15.75" hidden="false" customHeight="true" outlineLevel="0" collapsed="false">
      <c r="A33" s="7" t="s">
        <v>3700</v>
      </c>
      <c r="B33" s="7" t="s">
        <v>3578</v>
      </c>
      <c r="C33" s="7" t="s">
        <v>670</v>
      </c>
      <c r="D33" s="7" t="s">
        <v>3671</v>
      </c>
      <c r="E33" s="57" t="n">
        <v>46193</v>
      </c>
      <c r="F33" s="57" t="n">
        <v>46194</v>
      </c>
      <c r="G33" s="16" t="n">
        <f aca="false">F33-E33</f>
        <v>1</v>
      </c>
      <c r="H33" s="16" t="n">
        <v>65</v>
      </c>
      <c r="I33" s="7" t="s">
        <v>104</v>
      </c>
      <c r="J33" s="7" t="s">
        <v>422</v>
      </c>
    </row>
    <row r="34" customFormat="false" ht="15.75" hidden="false" customHeight="true" outlineLevel="0" collapsed="false">
      <c r="A34" s="5" t="s">
        <v>3701</v>
      </c>
      <c r="B34" s="5" t="s">
        <v>3583</v>
      </c>
      <c r="C34" s="5" t="s">
        <v>701</v>
      </c>
      <c r="D34" s="5" t="s">
        <v>3673</v>
      </c>
      <c r="E34" s="55" t="n">
        <v>46214</v>
      </c>
      <c r="F34" s="55" t="n">
        <v>46216</v>
      </c>
      <c r="G34" s="15" t="n">
        <f aca="false">F34-E34</f>
        <v>2</v>
      </c>
      <c r="H34" s="15" t="n">
        <v>88</v>
      </c>
      <c r="I34" s="5" t="s">
        <v>104</v>
      </c>
      <c r="J34" s="5" t="s">
        <v>422</v>
      </c>
    </row>
    <row r="35" customFormat="false" ht="15.75" hidden="false" customHeight="true" outlineLevel="0" collapsed="false">
      <c r="A35" s="7" t="s">
        <v>3702</v>
      </c>
      <c r="B35" s="7" t="s">
        <v>3588</v>
      </c>
      <c r="C35" s="7" t="s">
        <v>732</v>
      </c>
      <c r="D35" s="7" t="s">
        <v>3675</v>
      </c>
      <c r="E35" s="57" t="n">
        <v>46095</v>
      </c>
      <c r="F35" s="57" t="n">
        <v>46098</v>
      </c>
      <c r="G35" s="16" t="n">
        <f aca="false">F35-E35</f>
        <v>3</v>
      </c>
      <c r="H35" s="16" t="n">
        <v>59</v>
      </c>
      <c r="I35" s="7" t="s">
        <v>104</v>
      </c>
      <c r="J35" s="7" t="s">
        <v>420</v>
      </c>
    </row>
    <row r="36" customFormat="false" ht="15.75" hidden="false" customHeight="true" outlineLevel="0" collapsed="false">
      <c r="A36" s="5" t="s">
        <v>3703</v>
      </c>
      <c r="B36" s="5" t="s">
        <v>3593</v>
      </c>
      <c r="C36" s="5" t="s">
        <v>614</v>
      </c>
      <c r="D36" s="5" t="s">
        <v>3671</v>
      </c>
      <c r="E36" s="55" t="n">
        <v>46116</v>
      </c>
      <c r="F36" s="55" t="n">
        <v>46120</v>
      </c>
      <c r="G36" s="15" t="n">
        <f aca="false">F36-E36</f>
        <v>4</v>
      </c>
      <c r="H36" s="15" t="n">
        <v>82</v>
      </c>
      <c r="I36" s="5" t="s">
        <v>104</v>
      </c>
      <c r="J36" s="5" t="s">
        <v>422</v>
      </c>
    </row>
    <row r="37" customFormat="false" ht="15.75" hidden="false" customHeight="true" outlineLevel="0" collapsed="false">
      <c r="A37" s="7" t="s">
        <v>3704</v>
      </c>
      <c r="B37" s="7" t="s">
        <v>3499</v>
      </c>
      <c r="C37" s="7" t="s">
        <v>670</v>
      </c>
      <c r="D37" s="7" t="s">
        <v>3673</v>
      </c>
      <c r="E37" s="57" t="n">
        <v>46097</v>
      </c>
      <c r="F37" s="57" t="n">
        <v>46098</v>
      </c>
      <c r="G37" s="16" t="n">
        <f aca="false">F37-E37</f>
        <v>1</v>
      </c>
      <c r="H37" s="16" t="n">
        <v>53</v>
      </c>
      <c r="I37" s="7" t="s">
        <v>104</v>
      </c>
      <c r="J37" s="7" t="s">
        <v>420</v>
      </c>
    </row>
    <row r="38" customFormat="false" ht="15.75" hidden="false" customHeight="true" outlineLevel="0" collapsed="false">
      <c r="A38" s="5" t="s">
        <v>3705</v>
      </c>
      <c r="B38" s="5" t="s">
        <v>3516</v>
      </c>
      <c r="C38" s="5" t="s">
        <v>701</v>
      </c>
      <c r="D38" s="5" t="s">
        <v>3675</v>
      </c>
      <c r="E38" s="55" t="n">
        <v>46118</v>
      </c>
      <c r="F38" s="55" t="n">
        <v>46120</v>
      </c>
      <c r="G38" s="15" t="n">
        <f aca="false">F38-E38</f>
        <v>2</v>
      </c>
      <c r="H38" s="15" t="n">
        <v>76</v>
      </c>
      <c r="I38" s="5" t="s">
        <v>104</v>
      </c>
      <c r="J38" s="5" t="s">
        <v>422</v>
      </c>
    </row>
    <row r="39" customFormat="false" ht="15.75" hidden="false" customHeight="true" outlineLevel="0" collapsed="false">
      <c r="A39" s="7" t="s">
        <v>3706</v>
      </c>
      <c r="B39" s="7" t="s">
        <v>3524</v>
      </c>
      <c r="C39" s="7" t="s">
        <v>732</v>
      </c>
      <c r="D39" s="7" t="s">
        <v>3671</v>
      </c>
      <c r="E39" s="57" t="n">
        <v>46139</v>
      </c>
      <c r="F39" s="57" t="n">
        <v>46142</v>
      </c>
      <c r="G39" s="16" t="n">
        <f aca="false">F39-E39</f>
        <v>3</v>
      </c>
      <c r="H39" s="16" t="n">
        <v>47</v>
      </c>
      <c r="I39" s="7" t="s">
        <v>104</v>
      </c>
      <c r="J39" s="7" t="s">
        <v>420</v>
      </c>
    </row>
    <row r="40" customFormat="false" ht="15.75" hidden="false" customHeight="true" outlineLevel="0" collapsed="false">
      <c r="A40" s="5" t="s">
        <v>3707</v>
      </c>
      <c r="B40" s="5" t="s">
        <v>3530</v>
      </c>
      <c r="C40" s="5" t="s">
        <v>614</v>
      </c>
      <c r="D40" s="5" t="s">
        <v>3673</v>
      </c>
      <c r="E40" s="55" t="n">
        <v>46160</v>
      </c>
      <c r="F40" s="55" t="n">
        <v>46164</v>
      </c>
      <c r="G40" s="15" t="n">
        <f aca="false">F40-E40</f>
        <v>4</v>
      </c>
      <c r="H40" s="15" t="n">
        <v>70</v>
      </c>
      <c r="I40" s="5" t="s">
        <v>104</v>
      </c>
      <c r="J40" s="5" t="s">
        <v>420</v>
      </c>
    </row>
    <row r="41" customFormat="false" ht="15.75" hidden="false" customHeight="true" outlineLevel="0" collapsed="false">
      <c r="A41" s="7" t="s">
        <v>3708</v>
      </c>
      <c r="B41" s="7" t="s">
        <v>3537</v>
      </c>
      <c r="C41" s="7" t="s">
        <v>662</v>
      </c>
      <c r="D41" s="7" t="s">
        <v>3675</v>
      </c>
      <c r="E41" s="57" t="n">
        <v>46172</v>
      </c>
      <c r="F41" s="57" t="n">
        <v>46173</v>
      </c>
      <c r="G41" s="16" t="n">
        <f aca="false">F41-E41</f>
        <v>1</v>
      </c>
      <c r="H41" s="16" t="n">
        <v>93</v>
      </c>
      <c r="I41" s="7" t="s">
        <v>104</v>
      </c>
      <c r="J41" s="7" t="s">
        <v>422</v>
      </c>
    </row>
    <row r="42" customFormat="false" ht="15.75" hidden="false" customHeight="true" outlineLevel="0" collapsed="false">
      <c r="A42" s="5" t="s">
        <v>3709</v>
      </c>
      <c r="B42" s="5" t="s">
        <v>3542</v>
      </c>
      <c r="C42" s="5" t="s">
        <v>705</v>
      </c>
      <c r="D42" s="5" t="s">
        <v>3671</v>
      </c>
      <c r="E42" s="55" t="n">
        <v>46193</v>
      </c>
      <c r="F42" s="55" t="n">
        <v>46195</v>
      </c>
      <c r="G42" s="15" t="n">
        <f aca="false">F42-E42</f>
        <v>2</v>
      </c>
      <c r="H42" s="15" t="n">
        <v>64</v>
      </c>
      <c r="I42" s="5" t="s">
        <v>104</v>
      </c>
      <c r="J42" s="5" t="s">
        <v>422</v>
      </c>
    </row>
    <row r="43" customFormat="false" ht="15.75" hidden="false" customHeight="true" outlineLevel="0" collapsed="false">
      <c r="A43" s="7" t="s">
        <v>3710</v>
      </c>
      <c r="B43" s="7" t="s">
        <v>3547</v>
      </c>
      <c r="C43" s="7" t="s">
        <v>732</v>
      </c>
      <c r="D43" s="7" t="s">
        <v>3673</v>
      </c>
      <c r="E43" s="57" t="n">
        <v>46214</v>
      </c>
      <c r="F43" s="57" t="n">
        <v>46217</v>
      </c>
      <c r="G43" s="16" t="n">
        <f aca="false">F43-E43</f>
        <v>3</v>
      </c>
      <c r="H43" s="16" t="n">
        <v>87</v>
      </c>
      <c r="I43" s="7" t="s">
        <v>104</v>
      </c>
      <c r="J43" s="7" t="s">
        <v>422</v>
      </c>
    </row>
    <row r="44" customFormat="false" ht="15.75" hidden="false" customHeight="true" outlineLevel="0" collapsed="false">
      <c r="A44" s="5" t="s">
        <v>3711</v>
      </c>
      <c r="B44" s="5" t="s">
        <v>3552</v>
      </c>
      <c r="C44" s="5" t="s">
        <v>607</v>
      </c>
      <c r="D44" s="5" t="s">
        <v>3675</v>
      </c>
      <c r="E44" s="55" t="n">
        <v>46095</v>
      </c>
      <c r="F44" s="55" t="n">
        <v>46099</v>
      </c>
      <c r="G44" s="15" t="n">
        <f aca="false">F44-E44</f>
        <v>4</v>
      </c>
      <c r="H44" s="15" t="n">
        <v>58</v>
      </c>
      <c r="I44" s="5" t="s">
        <v>104</v>
      </c>
      <c r="J44" s="5" t="s">
        <v>420</v>
      </c>
    </row>
    <row r="45" customFormat="false" ht="15.75" hidden="false" customHeight="true" outlineLevel="0" collapsed="false">
      <c r="A45" s="7" t="s">
        <v>3712</v>
      </c>
      <c r="B45" s="7" t="s">
        <v>3558</v>
      </c>
      <c r="C45" s="7" t="s">
        <v>666</v>
      </c>
      <c r="D45" s="7" t="s">
        <v>3671</v>
      </c>
      <c r="E45" s="57" t="n">
        <v>46116</v>
      </c>
      <c r="F45" s="57" t="n">
        <v>46117</v>
      </c>
      <c r="G45" s="16" t="n">
        <f aca="false">F45-E45</f>
        <v>1</v>
      </c>
      <c r="H45" s="16" t="n">
        <v>81</v>
      </c>
      <c r="I45" s="7" t="s">
        <v>104</v>
      </c>
      <c r="J45" s="7" t="s">
        <v>420</v>
      </c>
    </row>
    <row r="46" customFormat="false" ht="15.75" hidden="false" customHeight="true" outlineLevel="0" collapsed="false">
      <c r="A46" s="5" t="s">
        <v>3713</v>
      </c>
      <c r="B46" s="5" t="s">
        <v>3563</v>
      </c>
      <c r="C46" s="5" t="s">
        <v>709</v>
      </c>
      <c r="D46" s="5" t="s">
        <v>3673</v>
      </c>
      <c r="E46" s="55" t="n">
        <v>46137</v>
      </c>
      <c r="F46" s="55" t="n">
        <v>46139</v>
      </c>
      <c r="G46" s="15" t="n">
        <f aca="false">F46-E46</f>
        <v>2</v>
      </c>
      <c r="H46" s="15" t="n">
        <v>52</v>
      </c>
      <c r="I46" s="5" t="s">
        <v>104</v>
      </c>
      <c r="J46" s="5" t="s">
        <v>420</v>
      </c>
    </row>
    <row r="47" customFormat="false" ht="15.75" hidden="false" customHeight="true" outlineLevel="0" collapsed="false">
      <c r="A47" s="7" t="s">
        <v>3714</v>
      </c>
      <c r="B47" s="7" t="s">
        <v>3568</v>
      </c>
      <c r="C47" s="7" t="s">
        <v>732</v>
      </c>
      <c r="D47" s="7" t="s">
        <v>3675</v>
      </c>
      <c r="E47" s="57" t="n">
        <v>46158</v>
      </c>
      <c r="F47" s="57" t="n">
        <v>46161</v>
      </c>
      <c r="G47" s="16" t="n">
        <f aca="false">F47-E47</f>
        <v>3</v>
      </c>
      <c r="H47" s="16" t="n">
        <v>75</v>
      </c>
      <c r="I47" s="7" t="s">
        <v>104</v>
      </c>
      <c r="J47" s="7" t="s">
        <v>422</v>
      </c>
    </row>
    <row r="48" customFormat="false" ht="15.75" hidden="false" customHeight="true" outlineLevel="0" collapsed="false">
      <c r="A48" s="5" t="s">
        <v>3715</v>
      </c>
      <c r="B48" s="5" t="s">
        <v>3573</v>
      </c>
      <c r="C48" s="5" t="s">
        <v>620</v>
      </c>
      <c r="D48" s="5" t="s">
        <v>3671</v>
      </c>
      <c r="E48" s="55" t="n">
        <v>46179</v>
      </c>
      <c r="F48" s="55" t="n">
        <v>46183</v>
      </c>
      <c r="G48" s="15" t="n">
        <f aca="false">F48-E48</f>
        <v>4</v>
      </c>
      <c r="H48" s="15" t="n">
        <v>46</v>
      </c>
      <c r="I48" s="5" t="s">
        <v>104</v>
      </c>
      <c r="J48" s="5" t="s">
        <v>420</v>
      </c>
    </row>
    <row r="49" customFormat="false" ht="15.75" hidden="false" customHeight="true" outlineLevel="0" collapsed="false">
      <c r="A49" s="7" t="s">
        <v>3716</v>
      </c>
      <c r="B49" s="7" t="s">
        <v>3578</v>
      </c>
      <c r="C49" s="7" t="s">
        <v>670</v>
      </c>
      <c r="D49" s="7" t="s">
        <v>3673</v>
      </c>
      <c r="E49" s="57" t="n">
        <v>46200</v>
      </c>
      <c r="F49" s="57" t="n">
        <v>46201</v>
      </c>
      <c r="G49" s="16" t="n">
        <f aca="false">F49-E49</f>
        <v>1</v>
      </c>
      <c r="H49" s="16" t="n">
        <v>69</v>
      </c>
      <c r="I49" s="7" t="s">
        <v>104</v>
      </c>
      <c r="J49" s="7" t="s">
        <v>422</v>
      </c>
    </row>
    <row r="50" customFormat="false" ht="15.75" hidden="false" customHeight="true" outlineLevel="0" collapsed="false">
      <c r="A50" s="5" t="s">
        <v>3717</v>
      </c>
      <c r="B50" s="5" t="s">
        <v>3583</v>
      </c>
      <c r="C50" s="5" t="s">
        <v>701</v>
      </c>
      <c r="D50" s="5" t="s">
        <v>3675</v>
      </c>
      <c r="E50" s="55" t="n">
        <v>46212</v>
      </c>
      <c r="F50" s="55" t="n">
        <v>46214</v>
      </c>
      <c r="G50" s="15" t="n">
        <f aca="false">F50-E50</f>
        <v>2</v>
      </c>
      <c r="H50" s="15" t="n">
        <v>92</v>
      </c>
      <c r="I50" s="5" t="s">
        <v>104</v>
      </c>
      <c r="J50" s="5" t="s">
        <v>420</v>
      </c>
    </row>
    <row r="51" customFormat="false" ht="15.75" hidden="false" customHeight="true" outlineLevel="0" collapsed="false">
      <c r="A51" s="7" t="s">
        <v>3718</v>
      </c>
      <c r="B51" s="7" t="s">
        <v>3588</v>
      </c>
      <c r="C51" s="7" t="s">
        <v>732</v>
      </c>
      <c r="D51" s="7" t="s">
        <v>3671</v>
      </c>
      <c r="E51" s="57" t="n">
        <v>46093</v>
      </c>
      <c r="F51" s="57" t="n">
        <v>46096</v>
      </c>
      <c r="G51" s="16" t="n">
        <f aca="false">F51-E51</f>
        <v>3</v>
      </c>
      <c r="H51" s="16" t="n">
        <v>63</v>
      </c>
      <c r="I51" s="7" t="s">
        <v>104</v>
      </c>
      <c r="J51" s="7" t="s">
        <v>422</v>
      </c>
    </row>
    <row r="52" customFormat="false" ht="15.75" hidden="false" customHeight="true" outlineLevel="0" collapsed="false">
      <c r="A52" s="5" t="s">
        <v>3719</v>
      </c>
      <c r="B52" s="5" t="s">
        <v>3593</v>
      </c>
      <c r="C52" s="5" t="s">
        <v>614</v>
      </c>
      <c r="D52" s="5" t="s">
        <v>3673</v>
      </c>
      <c r="E52" s="55" t="n">
        <v>46114</v>
      </c>
      <c r="F52" s="55" t="n">
        <v>46118</v>
      </c>
      <c r="G52" s="15" t="n">
        <f aca="false">F52-E52</f>
        <v>4</v>
      </c>
      <c r="H52" s="15" t="n">
        <v>86</v>
      </c>
      <c r="I52" s="5" t="s">
        <v>104</v>
      </c>
      <c r="J52" s="5" t="s">
        <v>422</v>
      </c>
    </row>
    <row r="53" customFormat="false" ht="15.75" hidden="false" customHeight="true" outlineLevel="0" collapsed="false">
      <c r="A53" s="7" t="s">
        <v>3720</v>
      </c>
      <c r="B53" s="7" t="s">
        <v>3499</v>
      </c>
      <c r="C53" s="7" t="s">
        <v>670</v>
      </c>
      <c r="D53" s="7" t="s">
        <v>3675</v>
      </c>
      <c r="E53" s="57" t="n">
        <v>46095</v>
      </c>
      <c r="F53" s="57" t="n">
        <v>46096</v>
      </c>
      <c r="G53" s="16" t="n">
        <f aca="false">F53-E53</f>
        <v>1</v>
      </c>
      <c r="H53" s="16" t="n">
        <v>57</v>
      </c>
      <c r="I53" s="7" t="s">
        <v>104</v>
      </c>
      <c r="J53" s="7" t="s">
        <v>420</v>
      </c>
    </row>
    <row r="54" customFormat="false" ht="15.75" hidden="false" customHeight="true" outlineLevel="0" collapsed="false">
      <c r="A54" s="5" t="s">
        <v>3721</v>
      </c>
      <c r="B54" s="5" t="s">
        <v>3516</v>
      </c>
      <c r="C54" s="5" t="s">
        <v>701</v>
      </c>
      <c r="D54" s="5" t="s">
        <v>3671</v>
      </c>
      <c r="E54" s="55" t="n">
        <v>46116</v>
      </c>
      <c r="F54" s="55" t="n">
        <v>46118</v>
      </c>
      <c r="G54" s="15" t="n">
        <f aca="false">F54-E54</f>
        <v>2</v>
      </c>
      <c r="H54" s="15" t="n">
        <v>80</v>
      </c>
      <c r="I54" s="5" t="s">
        <v>104</v>
      </c>
      <c r="J54" s="5" t="s">
        <v>422</v>
      </c>
    </row>
    <row r="55" customFormat="false" ht="15.75" hidden="false" customHeight="true" outlineLevel="0" collapsed="false">
      <c r="A55" s="7" t="s">
        <v>3722</v>
      </c>
      <c r="B55" s="7" t="s">
        <v>3524</v>
      </c>
      <c r="C55" s="7" t="s">
        <v>732</v>
      </c>
      <c r="D55" s="7" t="s">
        <v>3673</v>
      </c>
      <c r="E55" s="57" t="n">
        <v>46137</v>
      </c>
      <c r="F55" s="57" t="n">
        <v>46140</v>
      </c>
      <c r="G55" s="16" t="n">
        <f aca="false">F55-E55</f>
        <v>3</v>
      </c>
      <c r="H55" s="16" t="n">
        <v>51</v>
      </c>
      <c r="I55" s="7" t="s">
        <v>104</v>
      </c>
      <c r="J55" s="7" t="s">
        <v>420</v>
      </c>
    </row>
    <row r="56" customFormat="false" ht="15.75" hidden="false" customHeight="true" outlineLevel="0" collapsed="false">
      <c r="A56" s="5" t="s">
        <v>3723</v>
      </c>
      <c r="B56" s="5" t="s">
        <v>3530</v>
      </c>
      <c r="C56" s="5" t="s">
        <v>614</v>
      </c>
      <c r="D56" s="5" t="s">
        <v>3675</v>
      </c>
      <c r="E56" s="55" t="n">
        <v>46158</v>
      </c>
      <c r="F56" s="55" t="n">
        <v>46162</v>
      </c>
      <c r="G56" s="15" t="n">
        <f aca="false">F56-E56</f>
        <v>4</v>
      </c>
      <c r="H56" s="15" t="n">
        <v>74</v>
      </c>
      <c r="I56" s="5" t="s">
        <v>104</v>
      </c>
      <c r="J56" s="5" t="s">
        <v>422</v>
      </c>
    </row>
    <row r="57" customFormat="false" ht="15.75" hidden="false" customHeight="true" outlineLevel="0" collapsed="false">
      <c r="A57" s="7" t="s">
        <v>3724</v>
      </c>
      <c r="B57" s="7" t="s">
        <v>3537</v>
      </c>
      <c r="C57" s="7" t="s">
        <v>662</v>
      </c>
      <c r="D57" s="7" t="s">
        <v>3671</v>
      </c>
      <c r="E57" s="57" t="n">
        <v>46179</v>
      </c>
      <c r="F57" s="57" t="n">
        <v>46180</v>
      </c>
      <c r="G57" s="16" t="n">
        <f aca="false">F57-E57</f>
        <v>1</v>
      </c>
      <c r="H57" s="16" t="n">
        <v>45</v>
      </c>
      <c r="I57" s="7" t="s">
        <v>104</v>
      </c>
      <c r="J57" s="7" t="s">
        <v>420</v>
      </c>
    </row>
    <row r="58" customFormat="false" ht="15.75" hidden="false" customHeight="true" outlineLevel="0" collapsed="false">
      <c r="A58" s="5" t="s">
        <v>3725</v>
      </c>
      <c r="B58" s="5" t="s">
        <v>3542</v>
      </c>
      <c r="C58" s="5" t="s">
        <v>705</v>
      </c>
      <c r="D58" s="5" t="s">
        <v>3673</v>
      </c>
      <c r="E58" s="55" t="n">
        <v>46200</v>
      </c>
      <c r="F58" s="55" t="n">
        <v>46202</v>
      </c>
      <c r="G58" s="15" t="n">
        <f aca="false">F58-E58</f>
        <v>2</v>
      </c>
      <c r="H58" s="15" t="n">
        <v>68</v>
      </c>
      <c r="I58" s="5" t="s">
        <v>104</v>
      </c>
      <c r="J58" s="5" t="s">
        <v>422</v>
      </c>
    </row>
    <row r="59" customFormat="false" ht="15.75" hidden="false" customHeight="true" outlineLevel="0" collapsed="false">
      <c r="A59" s="7" t="s">
        <v>3726</v>
      </c>
      <c r="B59" s="7" t="s">
        <v>3547</v>
      </c>
      <c r="C59" s="7" t="s">
        <v>732</v>
      </c>
      <c r="D59" s="7" t="s">
        <v>3675</v>
      </c>
      <c r="E59" s="57" t="n">
        <v>46212</v>
      </c>
      <c r="F59" s="57" t="n">
        <v>46215</v>
      </c>
      <c r="G59" s="16" t="n">
        <f aca="false">F59-E59</f>
        <v>3</v>
      </c>
      <c r="H59" s="16" t="n">
        <v>91</v>
      </c>
      <c r="I59" s="7" t="s">
        <v>104</v>
      </c>
      <c r="J59" s="7" t="s">
        <v>422</v>
      </c>
    </row>
    <row r="60" customFormat="false" ht="15.75" hidden="false" customHeight="true" outlineLevel="0" collapsed="false">
      <c r="A60" s="5" t="s">
        <v>3727</v>
      </c>
      <c r="B60" s="5" t="s">
        <v>3552</v>
      </c>
      <c r="C60" s="5" t="s">
        <v>607</v>
      </c>
      <c r="D60" s="5" t="s">
        <v>3671</v>
      </c>
      <c r="E60" s="55" t="n">
        <v>46093</v>
      </c>
      <c r="F60" s="55" t="n">
        <v>46097</v>
      </c>
      <c r="G60" s="15" t="n">
        <f aca="false">F60-E60</f>
        <v>4</v>
      </c>
      <c r="H60" s="15" t="n">
        <v>62</v>
      </c>
      <c r="I60" s="5" t="s">
        <v>104</v>
      </c>
      <c r="J60" s="5" t="s">
        <v>420</v>
      </c>
    </row>
    <row r="61" customFormat="false" ht="15.75" hidden="false" customHeight="true" outlineLevel="0" collapsed="false">
      <c r="A61" s="7" t="s">
        <v>3728</v>
      </c>
      <c r="B61" s="7" t="s">
        <v>3558</v>
      </c>
      <c r="C61" s="7" t="s">
        <v>666</v>
      </c>
      <c r="D61" s="7" t="s">
        <v>3673</v>
      </c>
      <c r="E61" s="57" t="n">
        <v>46114</v>
      </c>
      <c r="F61" s="57" t="n">
        <v>46115</v>
      </c>
      <c r="G61" s="16" t="n">
        <f aca="false">F61-E61</f>
        <v>1</v>
      </c>
      <c r="H61" s="16" t="n">
        <v>85</v>
      </c>
      <c r="I61" s="7" t="s">
        <v>104</v>
      </c>
      <c r="J61" s="7" t="s">
        <v>422</v>
      </c>
    </row>
    <row r="62" customFormat="false" ht="15.75" hidden="false" customHeight="true" outlineLevel="0" collapsed="false">
      <c r="A62" s="5" t="s">
        <v>3729</v>
      </c>
      <c r="B62" s="5" t="s">
        <v>3563</v>
      </c>
      <c r="C62" s="5" t="s">
        <v>709</v>
      </c>
      <c r="D62" s="5" t="s">
        <v>3675</v>
      </c>
      <c r="E62" s="55" t="n">
        <v>46135</v>
      </c>
      <c r="F62" s="55" t="n">
        <v>46137</v>
      </c>
      <c r="G62" s="15" t="n">
        <f aca="false">F62-E62</f>
        <v>2</v>
      </c>
      <c r="H62" s="15" t="n">
        <v>56</v>
      </c>
      <c r="I62" s="5" t="s">
        <v>104</v>
      </c>
      <c r="J62" s="5" t="s">
        <v>420</v>
      </c>
    </row>
    <row r="63" customFormat="false" ht="15.75" hidden="false" customHeight="true" outlineLevel="0" collapsed="false">
      <c r="A63" s="7" t="s">
        <v>3730</v>
      </c>
      <c r="B63" s="7" t="s">
        <v>3568</v>
      </c>
      <c r="C63" s="7" t="s">
        <v>732</v>
      </c>
      <c r="D63" s="7" t="s">
        <v>3671</v>
      </c>
      <c r="E63" s="57" t="n">
        <v>46156</v>
      </c>
      <c r="F63" s="57" t="n">
        <v>46159</v>
      </c>
      <c r="G63" s="16" t="n">
        <f aca="false">F63-E63</f>
        <v>3</v>
      </c>
      <c r="H63" s="16" t="n">
        <v>79</v>
      </c>
      <c r="I63" s="7" t="s">
        <v>104</v>
      </c>
      <c r="J63" s="7" t="s">
        <v>422</v>
      </c>
    </row>
    <row r="64" customFormat="false" ht="15.75" hidden="false" customHeight="true" outlineLevel="0" collapsed="false">
      <c r="A64" s="5" t="s">
        <v>3731</v>
      </c>
      <c r="B64" s="5" t="s">
        <v>3573</v>
      </c>
      <c r="C64" s="5" t="s">
        <v>620</v>
      </c>
      <c r="D64" s="5" t="s">
        <v>3673</v>
      </c>
      <c r="E64" s="55" t="n">
        <v>46177</v>
      </c>
      <c r="F64" s="55" t="n">
        <v>46181</v>
      </c>
      <c r="G64" s="15" t="n">
        <f aca="false">F64-E64</f>
        <v>4</v>
      </c>
      <c r="H64" s="15" t="n">
        <v>50</v>
      </c>
      <c r="I64" s="5" t="s">
        <v>104</v>
      </c>
      <c r="J64" s="5" t="s">
        <v>420</v>
      </c>
    </row>
    <row r="65" customFormat="false" ht="15.75" hidden="false" customHeight="true" outlineLevel="0" collapsed="false">
      <c r="A65" s="7" t="s">
        <v>3732</v>
      </c>
      <c r="B65" s="7" t="s">
        <v>3578</v>
      </c>
      <c r="C65" s="7" t="s">
        <v>670</v>
      </c>
      <c r="D65" s="7" t="s">
        <v>3675</v>
      </c>
      <c r="E65" s="57" t="n">
        <v>46198</v>
      </c>
      <c r="F65" s="57" t="n">
        <v>46199</v>
      </c>
      <c r="G65" s="16" t="n">
        <f aca="false">F65-E65</f>
        <v>1</v>
      </c>
      <c r="H65" s="16" t="n">
        <v>73</v>
      </c>
      <c r="I65" s="7" t="s">
        <v>104</v>
      </c>
      <c r="J65" s="7" t="s">
        <v>420</v>
      </c>
    </row>
  </sheetData>
  <autoFilter ref="A5:J65"/>
  <mergeCells count="3">
    <mergeCell ref="A1:J1"/>
    <mergeCell ref="A2:J2"/>
    <mergeCell ref="A3:J3"/>
  </mergeCells>
  <conditionalFormatting sqref="H6:H65">
    <cfRule type="colorScale" priority="2">
      <colorScale>
        <cfvo type="num" val="40"/>
        <cfvo type="num" val="65"/>
        <cfvo type="num" val="95"/>
        <color rgb="FFF5DDE4"/>
        <color rgb="FFFDF3D8"/>
        <color rgb="FFDCEEE3"/>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A8"/>
    <pageSetUpPr fitToPage="tru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8" min="7" style="0" width="15"/>
    <col collapsed="false" customWidth="true" hidden="false" outlineLevel="0" max="9" min="9" style="0" width="11"/>
    <col collapsed="false" customWidth="true" hidden="false" outlineLevel="0" max="10" min="10" style="0" width="17"/>
    <col collapsed="false" customWidth="true" hidden="false" outlineLevel="0" max="11" min="11" style="0" width="22"/>
  </cols>
  <sheetData>
    <row r="1" customFormat="false" ht="19.5" hidden="false" customHeight="true" outlineLevel="0" collapsed="false">
      <c r="A1" s="51" t="s">
        <v>3488</v>
      </c>
      <c r="B1" s="51"/>
      <c r="C1" s="51"/>
      <c r="D1" s="51"/>
      <c r="E1" s="51"/>
      <c r="F1" s="51"/>
      <c r="G1" s="51"/>
      <c r="H1" s="51"/>
      <c r="I1" s="51"/>
      <c r="J1" s="51"/>
      <c r="K1" s="51"/>
    </row>
    <row r="2" customFormat="false" ht="27.75" hidden="false" customHeight="true" outlineLevel="0" collapsed="false">
      <c r="A2" s="52" t="s">
        <v>2740</v>
      </c>
      <c r="B2" s="52"/>
      <c r="C2" s="52"/>
      <c r="D2" s="52"/>
      <c r="E2" s="52"/>
      <c r="F2" s="52"/>
      <c r="G2" s="52"/>
      <c r="H2" s="52"/>
      <c r="I2" s="52"/>
      <c r="J2" s="52"/>
      <c r="K2" s="52"/>
    </row>
    <row r="3" customFormat="false" ht="30" hidden="false" customHeight="true" outlineLevel="0" collapsed="false">
      <c r="A3" s="53" t="s">
        <v>3733</v>
      </c>
      <c r="B3" s="53"/>
      <c r="C3" s="53"/>
      <c r="D3" s="53"/>
      <c r="E3" s="53"/>
      <c r="F3" s="53"/>
      <c r="G3" s="53"/>
      <c r="H3" s="53"/>
      <c r="I3" s="53"/>
      <c r="J3" s="53"/>
      <c r="K3" s="53"/>
    </row>
    <row r="4" customFormat="false" ht="6" hidden="false" customHeight="true" outlineLevel="0" collapsed="false"/>
    <row r="5" customFormat="false" ht="30" hidden="false" customHeight="true" outlineLevel="0" collapsed="false">
      <c r="A5" s="54" t="s">
        <v>303</v>
      </c>
      <c r="B5" s="54" t="s">
        <v>3734</v>
      </c>
      <c r="C5" s="54" t="s">
        <v>3735</v>
      </c>
      <c r="D5" s="54" t="s">
        <v>2918</v>
      </c>
      <c r="E5" s="54" t="s">
        <v>3736</v>
      </c>
      <c r="F5" s="54" t="s">
        <v>3737</v>
      </c>
      <c r="G5" s="54" t="s">
        <v>3738</v>
      </c>
      <c r="H5" s="54" t="s">
        <v>3739</v>
      </c>
      <c r="I5" s="54" t="s">
        <v>2493</v>
      </c>
      <c r="J5" s="54" t="s">
        <v>3740</v>
      </c>
      <c r="K5" s="54" t="s">
        <v>3741</v>
      </c>
    </row>
    <row r="6" customFormat="false" ht="15.75" hidden="false" customHeight="true" outlineLevel="0" collapsed="false">
      <c r="A6" s="5" t="s">
        <v>3742</v>
      </c>
      <c r="B6" s="5" t="s">
        <v>3743</v>
      </c>
      <c r="C6" s="55" t="n">
        <v>46119</v>
      </c>
      <c r="D6" s="5" t="s">
        <v>558</v>
      </c>
      <c r="E6" s="15" t="n">
        <v>3</v>
      </c>
      <c r="F6" s="5" t="s">
        <v>360</v>
      </c>
      <c r="G6" s="15" t="s">
        <v>420</v>
      </c>
      <c r="H6" s="15" t="s">
        <v>420</v>
      </c>
      <c r="I6" s="15" t="s">
        <v>420</v>
      </c>
      <c r="J6" s="15" t="s">
        <v>420</v>
      </c>
      <c r="K6" s="15" t="str">
        <f aca="false">IF(AND(E6&gt;=2,E6&lt;=7,OR(F6="T3",F6="T4"),G6="Yes"),"Compliant","Review")</f>
        <v>Review</v>
      </c>
    </row>
    <row r="7" customFormat="false" ht="15.75" hidden="false" customHeight="true" outlineLevel="0" collapsed="false">
      <c r="A7" s="7" t="s">
        <v>3744</v>
      </c>
      <c r="B7" s="7" t="s">
        <v>3745</v>
      </c>
      <c r="C7" s="57" t="n">
        <v>46125</v>
      </c>
      <c r="D7" s="7" t="s">
        <v>558</v>
      </c>
      <c r="E7" s="16" t="n">
        <v>4</v>
      </c>
      <c r="F7" s="7" t="s">
        <v>367</v>
      </c>
      <c r="G7" s="16" t="s">
        <v>420</v>
      </c>
      <c r="H7" s="16" t="s">
        <v>420</v>
      </c>
      <c r="I7" s="16" t="s">
        <v>420</v>
      </c>
      <c r="J7" s="16" t="s">
        <v>420</v>
      </c>
      <c r="K7" s="16" t="str">
        <f aca="false">IF(AND(E7&gt;=2,E7&lt;=7,OR(F7="T3",F7="T4"),G7="Yes"),"Compliant","Review")</f>
        <v>Compliant</v>
      </c>
    </row>
    <row r="8" customFormat="false" ht="15.75" hidden="false" customHeight="true" outlineLevel="0" collapsed="false">
      <c r="A8" s="5" t="s">
        <v>3746</v>
      </c>
      <c r="B8" s="5" t="s">
        <v>3747</v>
      </c>
      <c r="C8" s="55" t="n">
        <v>46131</v>
      </c>
      <c r="D8" s="5" t="s">
        <v>3748</v>
      </c>
      <c r="E8" s="15" t="n">
        <v>5</v>
      </c>
      <c r="F8" s="5" t="s">
        <v>375</v>
      </c>
      <c r="G8" s="15" t="s">
        <v>420</v>
      </c>
      <c r="H8" s="15" t="s">
        <v>422</v>
      </c>
      <c r="I8" s="15" t="s">
        <v>420</v>
      </c>
      <c r="J8" s="15" t="s">
        <v>420</v>
      </c>
      <c r="K8" s="15" t="str">
        <f aca="false">IF(AND(E8&gt;=2,E8&lt;=7,OR(F8="T3",F8="T4"),G8="Yes"),"Compliant","Review")</f>
        <v>Compliant</v>
      </c>
    </row>
    <row r="9" customFormat="false" ht="15.75" hidden="false" customHeight="true" outlineLevel="0" collapsed="false">
      <c r="A9" s="7" t="s">
        <v>3749</v>
      </c>
      <c r="B9" s="7" t="s">
        <v>3750</v>
      </c>
      <c r="C9" s="57" t="n">
        <v>46137</v>
      </c>
      <c r="D9" s="7" t="s">
        <v>3748</v>
      </c>
      <c r="E9" s="16" t="n">
        <v>6</v>
      </c>
      <c r="F9" s="7" t="s">
        <v>367</v>
      </c>
      <c r="G9" s="16" t="s">
        <v>422</v>
      </c>
      <c r="H9" s="16" t="s">
        <v>420</v>
      </c>
      <c r="I9" s="16" t="s">
        <v>420</v>
      </c>
      <c r="J9" s="16" t="s">
        <v>420</v>
      </c>
      <c r="K9" s="16" t="str">
        <f aca="false">IF(AND(E9&gt;=2,E9&lt;=7,OR(F9="T3",F9="T4"),G9="Yes"),"Compliant","Review")</f>
        <v>Review</v>
      </c>
    </row>
    <row r="10" customFormat="false" ht="15.75" hidden="false" customHeight="true" outlineLevel="0" collapsed="false">
      <c r="A10" s="5" t="s">
        <v>3751</v>
      </c>
      <c r="B10" s="5" t="s">
        <v>3752</v>
      </c>
      <c r="C10" s="55" t="n">
        <v>46143</v>
      </c>
      <c r="D10" s="5" t="s">
        <v>3748</v>
      </c>
      <c r="E10" s="15" t="n">
        <v>7</v>
      </c>
      <c r="F10" s="5" t="s">
        <v>360</v>
      </c>
      <c r="G10" s="15" t="s">
        <v>420</v>
      </c>
      <c r="H10" s="15" t="s">
        <v>420</v>
      </c>
      <c r="I10" s="15" t="s">
        <v>420</v>
      </c>
      <c r="J10" s="15" t="s">
        <v>422</v>
      </c>
      <c r="K10" s="15" t="str">
        <f aca="false">IF(AND(E10&gt;=2,E10&lt;=7,OR(F10="T3",F10="T4"),G10="Yes"),"Compliant","Review")</f>
        <v>Review</v>
      </c>
    </row>
    <row r="11" customFormat="false" ht="15.75" hidden="false" customHeight="true" outlineLevel="0" collapsed="false">
      <c r="A11" s="7" t="s">
        <v>3753</v>
      </c>
      <c r="B11" s="7" t="s">
        <v>3754</v>
      </c>
      <c r="C11" s="57" t="n">
        <v>46149</v>
      </c>
      <c r="D11" s="7" t="s">
        <v>558</v>
      </c>
      <c r="E11" s="16" t="n">
        <v>2</v>
      </c>
      <c r="F11" s="7" t="s">
        <v>367</v>
      </c>
      <c r="G11" s="16" t="s">
        <v>420</v>
      </c>
      <c r="H11" s="16" t="s">
        <v>422</v>
      </c>
      <c r="I11" s="16" t="s">
        <v>422</v>
      </c>
      <c r="J11" s="16" t="s">
        <v>420</v>
      </c>
      <c r="K11" s="16" t="str">
        <f aca="false">IF(AND(E11&gt;=2,E11&lt;=7,OR(F11="T3",F11="T4"),G11="Yes"),"Compliant","Review")</f>
        <v>Compliant</v>
      </c>
    </row>
    <row r="12" customFormat="false" ht="15.75" hidden="false" customHeight="true" outlineLevel="0" collapsed="false">
      <c r="A12" s="5" t="s">
        <v>3755</v>
      </c>
      <c r="B12" s="5" t="s">
        <v>3756</v>
      </c>
      <c r="C12" s="55" t="n">
        <v>46155</v>
      </c>
      <c r="D12" s="5" t="s">
        <v>558</v>
      </c>
      <c r="E12" s="15" t="n">
        <v>3</v>
      </c>
      <c r="F12" s="5" t="s">
        <v>375</v>
      </c>
      <c r="G12" s="15" t="s">
        <v>420</v>
      </c>
      <c r="H12" s="15" t="s">
        <v>420</v>
      </c>
      <c r="I12" s="15" t="s">
        <v>420</v>
      </c>
      <c r="J12" s="15" t="s">
        <v>420</v>
      </c>
      <c r="K12" s="15" t="str">
        <f aca="false">IF(AND(E12&gt;=2,E12&lt;=7,OR(F12="T3",F12="T4"),G12="Yes"),"Compliant","Review")</f>
        <v>Compliant</v>
      </c>
    </row>
    <row r="13" customFormat="false" ht="15.75" hidden="false" customHeight="true" outlineLevel="0" collapsed="false">
      <c r="A13" s="7" t="s">
        <v>3757</v>
      </c>
      <c r="B13" s="7" t="s">
        <v>3758</v>
      </c>
      <c r="C13" s="57" t="n">
        <v>46161</v>
      </c>
      <c r="D13" s="7" t="s">
        <v>3748</v>
      </c>
      <c r="E13" s="16" t="n">
        <v>4</v>
      </c>
      <c r="F13" s="7" t="s">
        <v>367</v>
      </c>
      <c r="G13" s="16" t="s">
        <v>422</v>
      </c>
      <c r="H13" s="16" t="s">
        <v>420</v>
      </c>
      <c r="I13" s="16" t="s">
        <v>420</v>
      </c>
      <c r="J13" s="16" t="s">
        <v>420</v>
      </c>
      <c r="K13" s="16" t="str">
        <f aca="false">IF(AND(E13&gt;=2,E13&lt;=7,OR(F13="T3",F13="T4"),G13="Yes"),"Compliant","Review")</f>
        <v>Review</v>
      </c>
    </row>
    <row r="14" customFormat="false" ht="15.75" hidden="false" customHeight="true" outlineLevel="0" collapsed="false">
      <c r="A14" s="5" t="s">
        <v>3759</v>
      </c>
      <c r="B14" s="5" t="s">
        <v>3760</v>
      </c>
      <c r="C14" s="55" t="n">
        <v>46167</v>
      </c>
      <c r="D14" s="5" t="s">
        <v>3748</v>
      </c>
      <c r="E14" s="15" t="n">
        <v>5</v>
      </c>
      <c r="F14" s="5" t="s">
        <v>360</v>
      </c>
      <c r="G14" s="15" t="s">
        <v>420</v>
      </c>
      <c r="H14" s="15" t="s">
        <v>422</v>
      </c>
      <c r="I14" s="15" t="s">
        <v>420</v>
      </c>
      <c r="J14" s="15" t="s">
        <v>420</v>
      </c>
      <c r="K14" s="15" t="str">
        <f aca="false">IF(AND(E14&gt;=2,E14&lt;=7,OR(F14="T3",F14="T4"),G14="Yes"),"Compliant","Review")</f>
        <v>Review</v>
      </c>
    </row>
    <row r="15" customFormat="false" ht="15.75" hidden="false" customHeight="true" outlineLevel="0" collapsed="false">
      <c r="A15" s="7" t="s">
        <v>3761</v>
      </c>
      <c r="B15" s="7" t="s">
        <v>3762</v>
      </c>
      <c r="C15" s="57" t="n">
        <v>46173</v>
      </c>
      <c r="D15" s="7" t="s">
        <v>3748</v>
      </c>
      <c r="E15" s="16" t="n">
        <v>6</v>
      </c>
      <c r="F15" s="7" t="s">
        <v>367</v>
      </c>
      <c r="G15" s="16" t="s">
        <v>420</v>
      </c>
      <c r="H15" s="16" t="s">
        <v>420</v>
      </c>
      <c r="I15" s="16" t="s">
        <v>420</v>
      </c>
      <c r="J15" s="16" t="s">
        <v>422</v>
      </c>
      <c r="K15" s="16" t="str">
        <f aca="false">IF(AND(E15&gt;=2,E15&lt;=7,OR(F15="T3",F15="T4"),G15="Yes"),"Compliant","Review")</f>
        <v>Compliant</v>
      </c>
    </row>
    <row r="16" customFormat="false" ht="15.75" hidden="false" customHeight="true" outlineLevel="0" collapsed="false">
      <c r="A16" s="5" t="s">
        <v>3763</v>
      </c>
      <c r="B16" s="5" t="s">
        <v>3764</v>
      </c>
      <c r="C16" s="55" t="n">
        <v>46179</v>
      </c>
      <c r="D16" s="5" t="s">
        <v>558</v>
      </c>
      <c r="E16" s="15" t="n">
        <v>7</v>
      </c>
      <c r="F16" s="5" t="s">
        <v>375</v>
      </c>
      <c r="G16" s="15" t="s">
        <v>420</v>
      </c>
      <c r="H16" s="15" t="s">
        <v>420</v>
      </c>
      <c r="I16" s="15" t="s">
        <v>420</v>
      </c>
      <c r="J16" s="15" t="s">
        <v>420</v>
      </c>
      <c r="K16" s="15" t="str">
        <f aca="false">IF(AND(E16&gt;=2,E16&lt;=7,OR(F16="T3",F16="T4"),G16="Yes"),"Compliant","Review")</f>
        <v>Compliant</v>
      </c>
    </row>
    <row r="17" customFormat="false" ht="15.75" hidden="false" customHeight="true" outlineLevel="0" collapsed="false">
      <c r="A17" s="7" t="s">
        <v>3765</v>
      </c>
      <c r="B17" s="7" t="s">
        <v>3766</v>
      </c>
      <c r="C17" s="57" t="n">
        <v>46185</v>
      </c>
      <c r="D17" s="7" t="s">
        <v>558</v>
      </c>
      <c r="E17" s="16" t="n">
        <v>2</v>
      </c>
      <c r="F17" s="7" t="s">
        <v>367</v>
      </c>
      <c r="G17" s="16" t="s">
        <v>422</v>
      </c>
      <c r="H17" s="16" t="s">
        <v>422</v>
      </c>
      <c r="I17" s="16" t="s">
        <v>422</v>
      </c>
      <c r="J17" s="16" t="s">
        <v>420</v>
      </c>
      <c r="K17" s="16" t="str">
        <f aca="false">IF(AND(E17&gt;=2,E17&lt;=7,OR(F17="T3",F17="T4"),G17="Yes"),"Compliant","Review")</f>
        <v>Review</v>
      </c>
    </row>
    <row r="18" customFormat="false" ht="15.75" hidden="false" customHeight="true" outlineLevel="0" collapsed="false">
      <c r="A18" s="5" t="s">
        <v>3767</v>
      </c>
      <c r="B18" s="5" t="s">
        <v>3768</v>
      </c>
      <c r="C18" s="55" t="n">
        <v>46191</v>
      </c>
      <c r="D18" s="5" t="s">
        <v>3748</v>
      </c>
      <c r="E18" s="15" t="n">
        <v>3</v>
      </c>
      <c r="F18" s="5" t="s">
        <v>360</v>
      </c>
      <c r="G18" s="15" t="s">
        <v>420</v>
      </c>
      <c r="H18" s="15" t="s">
        <v>420</v>
      </c>
      <c r="I18" s="15" t="s">
        <v>420</v>
      </c>
      <c r="J18" s="15" t="s">
        <v>420</v>
      </c>
      <c r="K18" s="15" t="str">
        <f aca="false">IF(AND(E18&gt;=2,E18&lt;=7,OR(F18="T3",F18="T4"),G18="Yes"),"Compliant","Review")</f>
        <v>Review</v>
      </c>
    </row>
    <row r="19" customFormat="false" ht="15.75" hidden="false" customHeight="true" outlineLevel="0" collapsed="false">
      <c r="A19" s="7" t="s">
        <v>3769</v>
      </c>
      <c r="B19" s="7" t="s">
        <v>3770</v>
      </c>
      <c r="C19" s="57" t="n">
        <v>46197</v>
      </c>
      <c r="D19" s="7" t="s">
        <v>3748</v>
      </c>
      <c r="E19" s="16" t="n">
        <v>4</v>
      </c>
      <c r="F19" s="7" t="s">
        <v>367</v>
      </c>
      <c r="G19" s="16" t="s">
        <v>420</v>
      </c>
      <c r="H19" s="16" t="s">
        <v>420</v>
      </c>
      <c r="I19" s="16" t="s">
        <v>420</v>
      </c>
      <c r="J19" s="16" t="s">
        <v>420</v>
      </c>
      <c r="K19" s="16" t="str">
        <f aca="false">IF(AND(E19&gt;=2,E19&lt;=7,OR(F19="T3",F19="T4"),G19="Yes"),"Compliant","Review")</f>
        <v>Compliant</v>
      </c>
    </row>
    <row r="20" customFormat="false" ht="15.75" hidden="false" customHeight="true" outlineLevel="0" collapsed="false">
      <c r="A20" s="5" t="s">
        <v>3771</v>
      </c>
      <c r="B20" s="5" t="s">
        <v>3772</v>
      </c>
      <c r="C20" s="55" t="n">
        <v>46203</v>
      </c>
      <c r="D20" s="5" t="s">
        <v>3748</v>
      </c>
      <c r="E20" s="15" t="n">
        <v>5</v>
      </c>
      <c r="F20" s="5" t="s">
        <v>375</v>
      </c>
      <c r="G20" s="15" t="s">
        <v>420</v>
      </c>
      <c r="H20" s="15" t="s">
        <v>422</v>
      </c>
      <c r="I20" s="15" t="s">
        <v>420</v>
      </c>
      <c r="J20" s="15" t="s">
        <v>422</v>
      </c>
      <c r="K20" s="15" t="str">
        <f aca="false">IF(AND(E20&gt;=2,E20&lt;=7,OR(F20="T3",F20="T4"),G20="Yes"),"Compliant","Review")</f>
        <v>Compliant</v>
      </c>
    </row>
    <row r="21" customFormat="false" ht="15.75" hidden="false" customHeight="true" outlineLevel="0" collapsed="false">
      <c r="A21" s="7" t="s">
        <v>3773</v>
      </c>
      <c r="B21" s="7" t="s">
        <v>3774</v>
      </c>
      <c r="C21" s="57" t="n">
        <v>46209</v>
      </c>
      <c r="D21" s="7" t="s">
        <v>558</v>
      </c>
      <c r="E21" s="16" t="n">
        <v>6</v>
      </c>
      <c r="F21" s="7" t="s">
        <v>367</v>
      </c>
      <c r="G21" s="16" t="s">
        <v>422</v>
      </c>
      <c r="H21" s="16" t="s">
        <v>420</v>
      </c>
      <c r="I21" s="16" t="s">
        <v>420</v>
      </c>
      <c r="J21" s="16" t="s">
        <v>420</v>
      </c>
      <c r="K21" s="16" t="str">
        <f aca="false">IF(AND(E21&gt;=2,E21&lt;=7,OR(F21="T3",F21="T4"),G21="Yes"),"Compliant","Review")</f>
        <v>Review</v>
      </c>
    </row>
    <row r="22" customFormat="false" ht="15.75" hidden="false" customHeight="true" outlineLevel="0" collapsed="false">
      <c r="A22" s="5" t="s">
        <v>3775</v>
      </c>
      <c r="B22" s="5" t="s">
        <v>3776</v>
      </c>
      <c r="C22" s="55" t="n">
        <v>46215</v>
      </c>
      <c r="D22" s="5" t="s">
        <v>558</v>
      </c>
      <c r="E22" s="15" t="n">
        <v>7</v>
      </c>
      <c r="F22" s="5" t="s">
        <v>360</v>
      </c>
      <c r="G22" s="15" t="s">
        <v>420</v>
      </c>
      <c r="H22" s="15" t="s">
        <v>420</v>
      </c>
      <c r="I22" s="15" t="s">
        <v>420</v>
      </c>
      <c r="J22" s="15" t="s">
        <v>420</v>
      </c>
      <c r="K22" s="15" t="str">
        <f aca="false">IF(AND(E22&gt;=2,E22&lt;=7,OR(F22="T3",F22="T4"),G22="Yes"),"Compliant","Review")</f>
        <v>Review</v>
      </c>
    </row>
    <row r="23" customFormat="false" ht="15.75" hidden="false" customHeight="true" outlineLevel="0" collapsed="false">
      <c r="A23" s="7" t="s">
        <v>3777</v>
      </c>
      <c r="B23" s="7" t="s">
        <v>3778</v>
      </c>
      <c r="C23" s="57" t="n">
        <v>46221</v>
      </c>
      <c r="D23" s="7" t="s">
        <v>3748</v>
      </c>
      <c r="E23" s="16" t="n">
        <v>2</v>
      </c>
      <c r="F23" s="7" t="s">
        <v>367</v>
      </c>
      <c r="G23" s="16" t="s">
        <v>420</v>
      </c>
      <c r="H23" s="16" t="s">
        <v>422</v>
      </c>
      <c r="I23" s="16" t="s">
        <v>422</v>
      </c>
      <c r="J23" s="16" t="s">
        <v>420</v>
      </c>
      <c r="K23" s="16" t="str">
        <f aca="false">IF(AND(E23&gt;=2,E23&lt;=7,OR(F23="T3",F23="T4"),G23="Yes"),"Compliant","Review")</f>
        <v>Compliant</v>
      </c>
    </row>
    <row r="24" customFormat="false" ht="15.75" hidden="false" customHeight="true" outlineLevel="0" collapsed="false">
      <c r="A24" s="5" t="s">
        <v>3779</v>
      </c>
      <c r="B24" s="5" t="s">
        <v>3780</v>
      </c>
      <c r="C24" s="55" t="n">
        <v>46117</v>
      </c>
      <c r="D24" s="5" t="s">
        <v>3748</v>
      </c>
      <c r="E24" s="15" t="n">
        <v>3</v>
      </c>
      <c r="F24" s="5" t="s">
        <v>375</v>
      </c>
      <c r="G24" s="15" t="s">
        <v>420</v>
      </c>
      <c r="H24" s="15" t="s">
        <v>420</v>
      </c>
      <c r="I24" s="15" t="s">
        <v>420</v>
      </c>
      <c r="J24" s="15" t="s">
        <v>420</v>
      </c>
      <c r="K24" s="15" t="str">
        <f aca="false">IF(AND(E24&gt;=2,E24&lt;=7,OR(F24="T3",F24="T4"),G24="Yes"),"Compliant","Review")</f>
        <v>Compliant</v>
      </c>
    </row>
    <row r="25" customFormat="false" ht="15.75" hidden="false" customHeight="true" outlineLevel="0" collapsed="false">
      <c r="A25" s="7" t="s">
        <v>3781</v>
      </c>
      <c r="B25" s="7" t="s">
        <v>3782</v>
      </c>
      <c r="C25" s="57" t="n">
        <v>46123</v>
      </c>
      <c r="D25" s="7" t="s">
        <v>3748</v>
      </c>
      <c r="E25" s="16" t="n">
        <v>4</v>
      </c>
      <c r="F25" s="7" t="s">
        <v>367</v>
      </c>
      <c r="G25" s="16" t="s">
        <v>422</v>
      </c>
      <c r="H25" s="16" t="s">
        <v>420</v>
      </c>
      <c r="I25" s="16" t="s">
        <v>420</v>
      </c>
      <c r="J25" s="16" t="s">
        <v>422</v>
      </c>
      <c r="K25" s="16" t="str">
        <f aca="false">IF(AND(E25&gt;=2,E25&lt;=7,OR(F25="T3",F25="T4"),G25="Yes"),"Compliant","Review")</f>
        <v>Review</v>
      </c>
    </row>
    <row r="26" customFormat="false" ht="15.75" hidden="false" customHeight="true" outlineLevel="0" collapsed="false">
      <c r="A26" s="5" t="s">
        <v>3783</v>
      </c>
      <c r="B26" s="5" t="s">
        <v>3784</v>
      </c>
      <c r="C26" s="55" t="n">
        <v>46129</v>
      </c>
      <c r="D26" s="5" t="s">
        <v>558</v>
      </c>
      <c r="E26" s="15" t="n">
        <v>5</v>
      </c>
      <c r="F26" s="5" t="s">
        <v>360</v>
      </c>
      <c r="G26" s="15" t="s">
        <v>420</v>
      </c>
      <c r="H26" s="15" t="s">
        <v>422</v>
      </c>
      <c r="I26" s="15" t="s">
        <v>420</v>
      </c>
      <c r="J26" s="15" t="s">
        <v>420</v>
      </c>
      <c r="K26" s="15" t="str">
        <f aca="false">IF(AND(E26&gt;=2,E26&lt;=7,OR(F26="T3",F26="T4"),G26="Yes"),"Compliant","Review")</f>
        <v>Review</v>
      </c>
    </row>
    <row r="27" customFormat="false" ht="15.75" hidden="false" customHeight="true" outlineLevel="0" collapsed="false">
      <c r="A27" s="7" t="s">
        <v>3785</v>
      </c>
      <c r="B27" s="7" t="s">
        <v>3786</v>
      </c>
      <c r="C27" s="57" t="n">
        <v>46135</v>
      </c>
      <c r="D27" s="7" t="s">
        <v>558</v>
      </c>
      <c r="E27" s="16" t="n">
        <v>6</v>
      </c>
      <c r="F27" s="7" t="s">
        <v>367</v>
      </c>
      <c r="G27" s="16" t="s">
        <v>420</v>
      </c>
      <c r="H27" s="16" t="s">
        <v>420</v>
      </c>
      <c r="I27" s="16" t="s">
        <v>420</v>
      </c>
      <c r="J27" s="16" t="s">
        <v>420</v>
      </c>
      <c r="K27" s="16" t="str">
        <f aca="false">IF(AND(E27&gt;=2,E27&lt;=7,OR(F27="T3",F27="T4"),G27="Yes"),"Compliant","Review")</f>
        <v>Compliant</v>
      </c>
    </row>
    <row r="28" customFormat="false" ht="15.75" hidden="false" customHeight="true" outlineLevel="0" collapsed="false">
      <c r="A28" s="5" t="s">
        <v>3787</v>
      </c>
      <c r="B28" s="5" t="s">
        <v>3788</v>
      </c>
      <c r="C28" s="55" t="n">
        <v>46141</v>
      </c>
      <c r="D28" s="5" t="s">
        <v>3748</v>
      </c>
      <c r="E28" s="15" t="n">
        <v>7</v>
      </c>
      <c r="F28" s="5" t="s">
        <v>375</v>
      </c>
      <c r="G28" s="15" t="s">
        <v>420</v>
      </c>
      <c r="H28" s="15" t="s">
        <v>420</v>
      </c>
      <c r="I28" s="15" t="s">
        <v>420</v>
      </c>
      <c r="J28" s="15" t="s">
        <v>420</v>
      </c>
      <c r="K28" s="15" t="str">
        <f aca="false">IF(AND(E28&gt;=2,E28&lt;=7,OR(F28="T3",F28="T4"),G28="Yes"),"Compliant","Review")</f>
        <v>Compliant</v>
      </c>
    </row>
    <row r="29" customFormat="false" ht="15.75" hidden="false" customHeight="true" outlineLevel="0" collapsed="false">
      <c r="A29" s="7" t="s">
        <v>3789</v>
      </c>
      <c r="B29" s="7" t="s">
        <v>3790</v>
      </c>
      <c r="C29" s="57" t="n">
        <v>46147</v>
      </c>
      <c r="D29" s="7" t="s">
        <v>3748</v>
      </c>
      <c r="E29" s="16" t="n">
        <v>2</v>
      </c>
      <c r="F29" s="7" t="s">
        <v>367</v>
      </c>
      <c r="G29" s="16" t="s">
        <v>422</v>
      </c>
      <c r="H29" s="16" t="s">
        <v>422</v>
      </c>
      <c r="I29" s="16" t="s">
        <v>422</v>
      </c>
      <c r="J29" s="16" t="s">
        <v>420</v>
      </c>
      <c r="K29" s="16" t="str">
        <f aca="false">IF(AND(E29&gt;=2,E29&lt;=7,OR(F29="T3",F29="T4"),G29="Yes"),"Compliant","Review")</f>
        <v>Review</v>
      </c>
    </row>
    <row r="30" customFormat="false" ht="15.75" hidden="false" customHeight="true" outlineLevel="0" collapsed="false">
      <c r="A30" s="5" t="s">
        <v>3791</v>
      </c>
      <c r="B30" s="5" t="s">
        <v>3792</v>
      </c>
      <c r="C30" s="55" t="n">
        <v>46153</v>
      </c>
      <c r="D30" s="5" t="s">
        <v>3748</v>
      </c>
      <c r="E30" s="15" t="n">
        <v>3</v>
      </c>
      <c r="F30" s="5" t="s">
        <v>360</v>
      </c>
      <c r="G30" s="15" t="s">
        <v>420</v>
      </c>
      <c r="H30" s="15" t="s">
        <v>420</v>
      </c>
      <c r="I30" s="15" t="s">
        <v>420</v>
      </c>
      <c r="J30" s="15" t="s">
        <v>422</v>
      </c>
      <c r="K30" s="15" t="str">
        <f aca="false">IF(AND(E30&gt;=2,E30&lt;=7,OR(F30="T3",F30="T4"),G30="Yes"),"Compliant","Review")</f>
        <v>Review</v>
      </c>
    </row>
    <row r="31" customFormat="false" ht="15.75" hidden="false" customHeight="true" outlineLevel="0" collapsed="false">
      <c r="A31" s="7" t="s">
        <v>3793</v>
      </c>
      <c r="B31" s="7" t="s">
        <v>3794</v>
      </c>
      <c r="C31" s="57" t="n">
        <v>46159</v>
      </c>
      <c r="D31" s="7" t="s">
        <v>558</v>
      </c>
      <c r="E31" s="16" t="n">
        <v>4</v>
      </c>
      <c r="F31" s="7" t="s">
        <v>367</v>
      </c>
      <c r="G31" s="16" t="s">
        <v>420</v>
      </c>
      <c r="H31" s="16" t="s">
        <v>420</v>
      </c>
      <c r="I31" s="16" t="s">
        <v>420</v>
      </c>
      <c r="J31" s="16" t="s">
        <v>420</v>
      </c>
      <c r="K31" s="16" t="str">
        <f aca="false">IF(AND(E31&gt;=2,E31&lt;=7,OR(F31="T3",F31="T4"),G31="Yes"),"Compliant","Review")</f>
        <v>Compliant</v>
      </c>
    </row>
    <row r="32" customFormat="false" ht="15.75" hidden="false" customHeight="true" outlineLevel="0" collapsed="false">
      <c r="A32" s="5" t="s">
        <v>3795</v>
      </c>
      <c r="B32" s="5" t="s">
        <v>3796</v>
      </c>
      <c r="C32" s="55" t="n">
        <v>46165</v>
      </c>
      <c r="D32" s="5" t="s">
        <v>558</v>
      </c>
      <c r="E32" s="15" t="n">
        <v>5</v>
      </c>
      <c r="F32" s="5" t="s">
        <v>375</v>
      </c>
      <c r="G32" s="15" t="s">
        <v>420</v>
      </c>
      <c r="H32" s="15" t="s">
        <v>422</v>
      </c>
      <c r="I32" s="15" t="s">
        <v>420</v>
      </c>
      <c r="J32" s="15" t="s">
        <v>420</v>
      </c>
      <c r="K32" s="15" t="str">
        <f aca="false">IF(AND(E32&gt;=2,E32&lt;=7,OR(F32="T3",F32="T4"),G32="Yes"),"Compliant","Review")</f>
        <v>Compliant</v>
      </c>
    </row>
    <row r="33" customFormat="false" ht="15.75" hidden="false" customHeight="true" outlineLevel="0" collapsed="false">
      <c r="A33" s="7" t="s">
        <v>3797</v>
      </c>
      <c r="B33" s="7" t="s">
        <v>3798</v>
      </c>
      <c r="C33" s="57" t="n">
        <v>46171</v>
      </c>
      <c r="D33" s="7" t="s">
        <v>3748</v>
      </c>
      <c r="E33" s="16" t="n">
        <v>6</v>
      </c>
      <c r="F33" s="7" t="s">
        <v>367</v>
      </c>
      <c r="G33" s="16" t="s">
        <v>422</v>
      </c>
      <c r="H33" s="16" t="s">
        <v>420</v>
      </c>
      <c r="I33" s="16" t="s">
        <v>420</v>
      </c>
      <c r="J33" s="16" t="s">
        <v>420</v>
      </c>
      <c r="K33" s="16" t="str">
        <f aca="false">IF(AND(E33&gt;=2,E33&lt;=7,OR(F33="T3",F33="T4"),G33="Yes"),"Compliant","Review")</f>
        <v>Review</v>
      </c>
    </row>
    <row r="34" customFormat="false" ht="15.75" hidden="false" customHeight="true" outlineLevel="0" collapsed="false">
      <c r="A34" s="5" t="s">
        <v>3799</v>
      </c>
      <c r="B34" s="5" t="s">
        <v>3800</v>
      </c>
      <c r="C34" s="55" t="n">
        <v>46177</v>
      </c>
      <c r="D34" s="5" t="s">
        <v>3748</v>
      </c>
      <c r="E34" s="15" t="n">
        <v>7</v>
      </c>
      <c r="F34" s="5" t="s">
        <v>360</v>
      </c>
      <c r="G34" s="15" t="s">
        <v>420</v>
      </c>
      <c r="H34" s="15" t="s">
        <v>420</v>
      </c>
      <c r="I34" s="15" t="s">
        <v>420</v>
      </c>
      <c r="J34" s="15" t="s">
        <v>420</v>
      </c>
      <c r="K34" s="15" t="str">
        <f aca="false">IF(AND(E34&gt;=2,E34&lt;=7,OR(F34="T3",F34="T4"),G34="Yes"),"Compliant","Review")</f>
        <v>Review</v>
      </c>
    </row>
    <row r="35" customFormat="false" ht="15.75" hidden="false" customHeight="true" outlineLevel="0" collapsed="false">
      <c r="A35" s="7" t="s">
        <v>3801</v>
      </c>
      <c r="B35" s="7" t="s">
        <v>3802</v>
      </c>
      <c r="C35" s="57" t="n">
        <v>46183</v>
      </c>
      <c r="D35" s="7" t="s">
        <v>3748</v>
      </c>
      <c r="E35" s="16" t="n">
        <v>2</v>
      </c>
      <c r="F35" s="7" t="s">
        <v>367</v>
      </c>
      <c r="G35" s="16" t="s">
        <v>420</v>
      </c>
      <c r="H35" s="16" t="s">
        <v>422</v>
      </c>
      <c r="I35" s="16" t="s">
        <v>422</v>
      </c>
      <c r="J35" s="16" t="s">
        <v>422</v>
      </c>
      <c r="K35" s="16" t="str">
        <f aca="false">IF(AND(E35&gt;=2,E35&lt;=7,OR(F35="T3",F35="T4"),G35="Yes"),"Compliant","Review")</f>
        <v>Compliant</v>
      </c>
    </row>
  </sheetData>
  <autoFilter ref="A5:K35"/>
  <mergeCells count="3">
    <mergeCell ref="A1:K1"/>
    <mergeCell ref="A2:K2"/>
    <mergeCell ref="A3:K3"/>
  </mergeCells>
  <conditionalFormatting sqref="K6:K35">
    <cfRule type="cellIs" priority="2" operator="equal" aboveAverage="0" equalAverage="0" bottom="0" percent="0" rank="0" text="" dxfId="32">
      <formula>"Review"</formula>
    </cfRule>
    <cfRule type="cellIs" priority="3" operator="equal" aboveAverage="0" equalAverage="0" bottom="0" percent="0" rank="0" text="" dxfId="80">
      <formula>"Compliant"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A8"/>
    <pageSetUpPr fitToPage="true"/>
  </sheetPr>
  <dimension ref="A1:H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4" min="4" style="0" width="11"/>
    <col collapsed="false" customWidth="true" hidden="false" outlineLevel="0" max="6" min="5" style="0" width="14"/>
    <col collapsed="false" customWidth="true" hidden="false" outlineLevel="0" max="7" min="7" style="0" width="18"/>
    <col collapsed="false" customWidth="true" hidden="false" outlineLevel="0" max="8" min="8" style="0" width="14"/>
  </cols>
  <sheetData>
    <row r="1" customFormat="false" ht="19.5" hidden="false" customHeight="true" outlineLevel="0" collapsed="false">
      <c r="A1" s="51" t="s">
        <v>3488</v>
      </c>
      <c r="B1" s="51"/>
      <c r="C1" s="51"/>
      <c r="D1" s="51"/>
      <c r="E1" s="51"/>
      <c r="F1" s="51"/>
      <c r="G1" s="51"/>
      <c r="H1" s="51"/>
    </row>
    <row r="2" customFormat="false" ht="27.75" hidden="false" customHeight="true" outlineLevel="0" collapsed="false">
      <c r="A2" s="52" t="s">
        <v>3803</v>
      </c>
      <c r="B2" s="52"/>
      <c r="C2" s="52"/>
      <c r="D2" s="52"/>
      <c r="E2" s="52"/>
      <c r="F2" s="52"/>
      <c r="G2" s="52"/>
      <c r="H2" s="52"/>
    </row>
    <row r="3" customFormat="false" ht="30" hidden="false" customHeight="true" outlineLevel="0" collapsed="false">
      <c r="A3" s="53" t="s">
        <v>3804</v>
      </c>
      <c r="B3" s="53"/>
      <c r="C3" s="53"/>
      <c r="D3" s="53"/>
      <c r="E3" s="53"/>
      <c r="F3" s="53"/>
      <c r="G3" s="53"/>
      <c r="H3" s="53"/>
    </row>
    <row r="4" customFormat="false" ht="6" hidden="false" customHeight="true" outlineLevel="0" collapsed="false"/>
    <row r="5" customFormat="false" ht="30" hidden="false" customHeight="true" outlineLevel="0" collapsed="false">
      <c r="A5" s="54" t="s">
        <v>3805</v>
      </c>
      <c r="B5" s="54" t="s">
        <v>3491</v>
      </c>
      <c r="C5" s="54" t="s">
        <v>3300</v>
      </c>
      <c r="D5" s="54" t="s">
        <v>2772</v>
      </c>
      <c r="E5" s="54" t="s">
        <v>3806</v>
      </c>
      <c r="F5" s="54" t="s">
        <v>1788</v>
      </c>
      <c r="G5" s="54" t="s">
        <v>2795</v>
      </c>
      <c r="H5" s="54" t="s">
        <v>2918</v>
      </c>
    </row>
    <row r="6" customFormat="false" ht="15.75" hidden="false" customHeight="true" outlineLevel="0" collapsed="false">
      <c r="A6" s="5" t="s">
        <v>3807</v>
      </c>
      <c r="B6" s="5" t="s">
        <v>3520</v>
      </c>
      <c r="C6" s="5" t="s">
        <v>2812</v>
      </c>
      <c r="D6" s="15" t="n">
        <v>17</v>
      </c>
      <c r="E6" s="15" t="s">
        <v>3808</v>
      </c>
      <c r="F6" s="55" t="n">
        <v>46118</v>
      </c>
      <c r="G6" s="5" t="s">
        <v>131</v>
      </c>
      <c r="H6" s="5" t="s">
        <v>3809</v>
      </c>
    </row>
    <row r="7" customFormat="false" ht="15.75" hidden="false" customHeight="true" outlineLevel="0" collapsed="false">
      <c r="A7" s="7" t="s">
        <v>3810</v>
      </c>
      <c r="B7" s="7" t="s">
        <v>3529</v>
      </c>
      <c r="C7" s="7" t="s">
        <v>2827</v>
      </c>
      <c r="D7" s="16" t="n">
        <v>24</v>
      </c>
      <c r="E7" s="16" t="s">
        <v>3808</v>
      </c>
      <c r="F7" s="57" t="n">
        <v>46123</v>
      </c>
      <c r="G7" s="7" t="s">
        <v>131</v>
      </c>
      <c r="H7" s="7" t="s">
        <v>3809</v>
      </c>
    </row>
    <row r="8" customFormat="false" ht="15.75" hidden="false" customHeight="true" outlineLevel="0" collapsed="false">
      <c r="A8" s="5" t="s">
        <v>3811</v>
      </c>
      <c r="B8" s="5" t="s">
        <v>3538</v>
      </c>
      <c r="C8" s="5" t="s">
        <v>2802</v>
      </c>
      <c r="D8" s="15" t="n">
        <v>31</v>
      </c>
      <c r="E8" s="15" t="s">
        <v>3808</v>
      </c>
      <c r="F8" s="55" t="n">
        <v>46128</v>
      </c>
      <c r="G8" s="5" t="s">
        <v>131</v>
      </c>
      <c r="H8" s="5" t="s">
        <v>3809</v>
      </c>
    </row>
    <row r="9" customFormat="false" ht="15.75" hidden="false" customHeight="true" outlineLevel="0" collapsed="false">
      <c r="A9" s="7" t="s">
        <v>3812</v>
      </c>
      <c r="B9" s="7" t="s">
        <v>3545</v>
      </c>
      <c r="C9" s="7" t="s">
        <v>2864</v>
      </c>
      <c r="D9" s="16" t="n">
        <v>-40</v>
      </c>
      <c r="E9" s="16" t="s">
        <v>3813</v>
      </c>
      <c r="F9" s="57" t="n">
        <v>46133</v>
      </c>
      <c r="G9" s="7" t="s">
        <v>131</v>
      </c>
      <c r="H9" s="7" t="s">
        <v>3809</v>
      </c>
    </row>
    <row r="10" customFormat="false" ht="15.75" hidden="false" customHeight="true" outlineLevel="0" collapsed="false">
      <c r="A10" s="5" t="s">
        <v>3814</v>
      </c>
      <c r="B10" s="5" t="s">
        <v>3552</v>
      </c>
      <c r="C10" s="5" t="s">
        <v>2832</v>
      </c>
      <c r="D10" s="15" t="n">
        <v>45</v>
      </c>
      <c r="E10" s="15" t="s">
        <v>3808</v>
      </c>
      <c r="F10" s="55" t="n">
        <v>46138</v>
      </c>
      <c r="G10" s="5" t="s">
        <v>131</v>
      </c>
      <c r="H10" s="5" t="s">
        <v>3809</v>
      </c>
    </row>
    <row r="11" customFormat="false" ht="15.75" hidden="false" customHeight="true" outlineLevel="0" collapsed="false">
      <c r="A11" s="7" t="s">
        <v>3815</v>
      </c>
      <c r="B11" s="7" t="s">
        <v>3560</v>
      </c>
      <c r="C11" s="7" t="s">
        <v>2807</v>
      </c>
      <c r="D11" s="16" t="n">
        <v>12</v>
      </c>
      <c r="E11" s="16" t="s">
        <v>3808</v>
      </c>
      <c r="F11" s="57" t="n">
        <v>46143</v>
      </c>
      <c r="G11" s="7" t="s">
        <v>131</v>
      </c>
      <c r="H11" s="7" t="s">
        <v>3809</v>
      </c>
    </row>
    <row r="12" customFormat="false" ht="15.75" hidden="false" customHeight="true" outlineLevel="0" collapsed="false">
      <c r="A12" s="5" t="s">
        <v>3816</v>
      </c>
      <c r="B12" s="5" t="s">
        <v>3567</v>
      </c>
      <c r="C12" s="5" t="s">
        <v>2822</v>
      </c>
      <c r="D12" s="15" t="n">
        <v>19</v>
      </c>
      <c r="E12" s="15" t="s">
        <v>3808</v>
      </c>
      <c r="F12" s="55" t="n">
        <v>46148</v>
      </c>
      <c r="G12" s="5" t="s">
        <v>131</v>
      </c>
      <c r="H12" s="5" t="s">
        <v>3809</v>
      </c>
    </row>
    <row r="13" customFormat="false" ht="15.75" hidden="false" customHeight="true" outlineLevel="0" collapsed="false">
      <c r="A13" s="7" t="s">
        <v>3817</v>
      </c>
      <c r="B13" s="7" t="s">
        <v>3574</v>
      </c>
      <c r="C13" s="7" t="s">
        <v>2855</v>
      </c>
      <c r="D13" s="16" t="n">
        <v>-60</v>
      </c>
      <c r="E13" s="16" t="s">
        <v>3813</v>
      </c>
      <c r="F13" s="57" t="n">
        <v>46153</v>
      </c>
      <c r="G13" s="7" t="s">
        <v>131</v>
      </c>
      <c r="H13" s="7" t="s">
        <v>3809</v>
      </c>
    </row>
    <row r="14" customFormat="false" ht="15.75" hidden="false" customHeight="true" outlineLevel="0" collapsed="false">
      <c r="A14" s="5" t="s">
        <v>3818</v>
      </c>
      <c r="B14" s="5" t="s">
        <v>3581</v>
      </c>
      <c r="C14" s="5" t="s">
        <v>2812</v>
      </c>
      <c r="D14" s="15" t="n">
        <v>33</v>
      </c>
      <c r="E14" s="15" t="s">
        <v>3808</v>
      </c>
      <c r="F14" s="55" t="n">
        <v>46158</v>
      </c>
      <c r="G14" s="5" t="s">
        <v>131</v>
      </c>
      <c r="H14" s="5" t="s">
        <v>3809</v>
      </c>
    </row>
    <row r="15" customFormat="false" ht="15.75" hidden="false" customHeight="true" outlineLevel="0" collapsed="false">
      <c r="A15" s="7" t="s">
        <v>3819</v>
      </c>
      <c r="B15" s="7" t="s">
        <v>3588</v>
      </c>
      <c r="C15" s="7" t="s">
        <v>2827</v>
      </c>
      <c r="D15" s="16" t="n">
        <v>40</v>
      </c>
      <c r="E15" s="16" t="s">
        <v>3808</v>
      </c>
      <c r="F15" s="57" t="n">
        <v>46163</v>
      </c>
      <c r="G15" s="7" t="s">
        <v>131</v>
      </c>
      <c r="H15" s="7" t="s">
        <v>3809</v>
      </c>
    </row>
    <row r="16" customFormat="false" ht="15.75" hidden="false" customHeight="true" outlineLevel="0" collapsed="false">
      <c r="A16" s="5" t="s">
        <v>3820</v>
      </c>
      <c r="B16" s="5" t="s">
        <v>3595</v>
      </c>
      <c r="C16" s="5" t="s">
        <v>2802</v>
      </c>
      <c r="D16" s="15" t="n">
        <v>47</v>
      </c>
      <c r="E16" s="15" t="s">
        <v>3808</v>
      </c>
      <c r="F16" s="55" t="n">
        <v>46168</v>
      </c>
      <c r="G16" s="5" t="s">
        <v>131</v>
      </c>
      <c r="H16" s="5" t="s">
        <v>3809</v>
      </c>
    </row>
    <row r="17" customFormat="false" ht="15.75" hidden="false" customHeight="true" outlineLevel="0" collapsed="false">
      <c r="A17" s="7" t="s">
        <v>3821</v>
      </c>
      <c r="B17" s="7" t="s">
        <v>3514</v>
      </c>
      <c r="C17" s="7" t="s">
        <v>2846</v>
      </c>
      <c r="D17" s="16" t="n">
        <v>-20</v>
      </c>
      <c r="E17" s="16" t="s">
        <v>3813</v>
      </c>
      <c r="F17" s="57" t="n">
        <v>46173</v>
      </c>
      <c r="G17" s="7" t="s">
        <v>131</v>
      </c>
      <c r="H17" s="7" t="s">
        <v>3809</v>
      </c>
    </row>
    <row r="18" customFormat="false" ht="15.75" hidden="false" customHeight="true" outlineLevel="0" collapsed="false">
      <c r="A18" s="5" t="s">
        <v>3822</v>
      </c>
      <c r="B18" s="5" t="s">
        <v>3525</v>
      </c>
      <c r="C18" s="5" t="s">
        <v>2832</v>
      </c>
      <c r="D18" s="15" t="n">
        <v>21</v>
      </c>
      <c r="E18" s="15" t="s">
        <v>3808</v>
      </c>
      <c r="F18" s="55" t="n">
        <v>46178</v>
      </c>
      <c r="G18" s="5" t="s">
        <v>131</v>
      </c>
      <c r="H18" s="5" t="s">
        <v>3809</v>
      </c>
    </row>
    <row r="19" customFormat="false" ht="15.75" hidden="false" customHeight="true" outlineLevel="0" collapsed="false">
      <c r="A19" s="7" t="s">
        <v>3823</v>
      </c>
      <c r="B19" s="7" t="s">
        <v>3534</v>
      </c>
      <c r="C19" s="7" t="s">
        <v>2807</v>
      </c>
      <c r="D19" s="16" t="n">
        <v>28</v>
      </c>
      <c r="E19" s="16" t="s">
        <v>3808</v>
      </c>
      <c r="F19" s="57" t="n">
        <v>46183</v>
      </c>
      <c r="G19" s="7" t="s">
        <v>131</v>
      </c>
      <c r="H19" s="7" t="s">
        <v>3809</v>
      </c>
    </row>
    <row r="20" customFormat="false" ht="15.75" hidden="false" customHeight="true" outlineLevel="0" collapsed="false">
      <c r="A20" s="5" t="s">
        <v>3824</v>
      </c>
      <c r="B20" s="5" t="s">
        <v>3542</v>
      </c>
      <c r="C20" s="5" t="s">
        <v>2822</v>
      </c>
      <c r="D20" s="15" t="n">
        <v>35</v>
      </c>
      <c r="E20" s="15" t="s">
        <v>3808</v>
      </c>
      <c r="F20" s="55" t="n">
        <v>46188</v>
      </c>
      <c r="G20" s="5" t="s">
        <v>131</v>
      </c>
      <c r="H20" s="5" t="s">
        <v>3809</v>
      </c>
    </row>
    <row r="21" customFormat="false" ht="15.75" hidden="false" customHeight="true" outlineLevel="0" collapsed="false">
      <c r="A21" s="7" t="s">
        <v>3825</v>
      </c>
      <c r="B21" s="7" t="s">
        <v>3549</v>
      </c>
      <c r="C21" s="7" t="s">
        <v>2868</v>
      </c>
      <c r="D21" s="16" t="n">
        <v>-40</v>
      </c>
      <c r="E21" s="16" t="s">
        <v>3813</v>
      </c>
      <c r="F21" s="57" t="n">
        <v>46193</v>
      </c>
      <c r="G21" s="7" t="s">
        <v>131</v>
      </c>
      <c r="H21" s="7" t="s">
        <v>3809</v>
      </c>
    </row>
    <row r="22" customFormat="false" ht="15.75" hidden="false" customHeight="true" outlineLevel="0" collapsed="false">
      <c r="A22" s="5" t="s">
        <v>3826</v>
      </c>
      <c r="B22" s="5" t="s">
        <v>3557</v>
      </c>
      <c r="C22" s="5" t="s">
        <v>2812</v>
      </c>
      <c r="D22" s="15" t="n">
        <v>49</v>
      </c>
      <c r="E22" s="15" t="s">
        <v>3808</v>
      </c>
      <c r="F22" s="55" t="n">
        <v>46198</v>
      </c>
      <c r="G22" s="5" t="s">
        <v>131</v>
      </c>
      <c r="H22" s="5" t="s">
        <v>3809</v>
      </c>
    </row>
    <row r="23" customFormat="false" ht="15.75" hidden="false" customHeight="true" outlineLevel="0" collapsed="false">
      <c r="A23" s="7" t="s">
        <v>3827</v>
      </c>
      <c r="B23" s="7" t="s">
        <v>3564</v>
      </c>
      <c r="C23" s="7" t="s">
        <v>2827</v>
      </c>
      <c r="D23" s="16" t="n">
        <v>16</v>
      </c>
      <c r="E23" s="16" t="s">
        <v>3808</v>
      </c>
      <c r="F23" s="57" t="n">
        <v>46203</v>
      </c>
      <c r="G23" s="7" t="s">
        <v>131</v>
      </c>
      <c r="H23" s="7" t="s">
        <v>3809</v>
      </c>
    </row>
    <row r="24" customFormat="false" ht="15.75" hidden="false" customHeight="true" outlineLevel="0" collapsed="false">
      <c r="A24" s="5" t="s">
        <v>3828</v>
      </c>
      <c r="B24" s="5" t="s">
        <v>3571</v>
      </c>
      <c r="C24" s="5" t="s">
        <v>2802</v>
      </c>
      <c r="D24" s="15" t="n">
        <v>23</v>
      </c>
      <c r="E24" s="15" t="s">
        <v>3808</v>
      </c>
      <c r="F24" s="55" t="n">
        <v>46208</v>
      </c>
      <c r="G24" s="5" t="s">
        <v>131</v>
      </c>
      <c r="H24" s="5" t="s">
        <v>3809</v>
      </c>
    </row>
    <row r="25" customFormat="false" ht="15.75" hidden="false" customHeight="true" outlineLevel="0" collapsed="false">
      <c r="A25" s="7" t="s">
        <v>3829</v>
      </c>
      <c r="B25" s="7" t="s">
        <v>3578</v>
      </c>
      <c r="C25" s="7" t="s">
        <v>2860</v>
      </c>
      <c r="D25" s="16" t="n">
        <v>-60</v>
      </c>
      <c r="E25" s="16" t="s">
        <v>3813</v>
      </c>
      <c r="F25" s="57" t="n">
        <v>46213</v>
      </c>
      <c r="G25" s="7" t="s">
        <v>131</v>
      </c>
      <c r="H25" s="7" t="s">
        <v>3809</v>
      </c>
    </row>
    <row r="26" customFormat="false" ht="15.75" hidden="false" customHeight="true" outlineLevel="0" collapsed="false">
      <c r="A26" s="5" t="s">
        <v>3830</v>
      </c>
      <c r="B26" s="5" t="s">
        <v>3585</v>
      </c>
      <c r="C26" s="5" t="s">
        <v>2832</v>
      </c>
      <c r="D26" s="15" t="n">
        <v>37</v>
      </c>
      <c r="E26" s="15" t="s">
        <v>3808</v>
      </c>
      <c r="F26" s="55" t="n">
        <v>46218</v>
      </c>
      <c r="G26" s="5" t="s">
        <v>131</v>
      </c>
      <c r="H26" s="5" t="s">
        <v>3809</v>
      </c>
    </row>
    <row r="27" customFormat="false" ht="15.75" hidden="false" customHeight="true" outlineLevel="0" collapsed="false">
      <c r="A27" s="7" t="s">
        <v>3831</v>
      </c>
      <c r="B27" s="7" t="s">
        <v>3592</v>
      </c>
      <c r="C27" s="7" t="s">
        <v>2807</v>
      </c>
      <c r="D27" s="16" t="n">
        <v>44</v>
      </c>
      <c r="E27" s="16" t="s">
        <v>3808</v>
      </c>
      <c r="F27" s="57" t="n">
        <v>46223</v>
      </c>
      <c r="G27" s="7" t="s">
        <v>131</v>
      </c>
      <c r="H27" s="7" t="s">
        <v>3809</v>
      </c>
    </row>
    <row r="28" customFormat="false" ht="15.75" hidden="false" customHeight="true" outlineLevel="0" collapsed="false">
      <c r="A28" s="5" t="s">
        <v>3832</v>
      </c>
      <c r="B28" s="5" t="s">
        <v>3505</v>
      </c>
      <c r="C28" s="5" t="s">
        <v>2822</v>
      </c>
      <c r="D28" s="15" t="n">
        <v>11</v>
      </c>
      <c r="E28" s="15" t="s">
        <v>3808</v>
      </c>
      <c r="F28" s="55" t="n">
        <v>46113</v>
      </c>
      <c r="G28" s="5" t="s">
        <v>131</v>
      </c>
      <c r="H28" s="5" t="s">
        <v>3809</v>
      </c>
    </row>
    <row r="29" customFormat="false" ht="15.75" hidden="false" customHeight="true" outlineLevel="0" collapsed="false">
      <c r="A29" s="7" t="s">
        <v>3833</v>
      </c>
      <c r="B29" s="7" t="s">
        <v>3522</v>
      </c>
      <c r="C29" s="7" t="s">
        <v>2851</v>
      </c>
      <c r="D29" s="16" t="n">
        <v>-20</v>
      </c>
      <c r="E29" s="16" t="s">
        <v>3813</v>
      </c>
      <c r="F29" s="57" t="n">
        <v>46118</v>
      </c>
      <c r="G29" s="7" t="s">
        <v>131</v>
      </c>
      <c r="H29" s="7" t="s">
        <v>3809</v>
      </c>
    </row>
    <row r="30" customFormat="false" ht="15.75" hidden="false" customHeight="true" outlineLevel="0" collapsed="false">
      <c r="A30" s="5" t="s">
        <v>3834</v>
      </c>
      <c r="B30" s="5" t="s">
        <v>3530</v>
      </c>
      <c r="C30" s="5" t="s">
        <v>2812</v>
      </c>
      <c r="D30" s="15" t="n">
        <v>25</v>
      </c>
      <c r="E30" s="15" t="s">
        <v>3808</v>
      </c>
      <c r="F30" s="55" t="n">
        <v>46123</v>
      </c>
      <c r="G30" s="5" t="s">
        <v>131</v>
      </c>
      <c r="H30" s="5" t="s">
        <v>3809</v>
      </c>
    </row>
    <row r="31" customFormat="false" ht="15.75" hidden="false" customHeight="true" outlineLevel="0" collapsed="false">
      <c r="A31" s="7" t="s">
        <v>3835</v>
      </c>
      <c r="B31" s="7" t="s">
        <v>3539</v>
      </c>
      <c r="C31" s="7" t="s">
        <v>2827</v>
      </c>
      <c r="D31" s="16" t="n">
        <v>32</v>
      </c>
      <c r="E31" s="16" t="s">
        <v>3808</v>
      </c>
      <c r="F31" s="57" t="n">
        <v>46128</v>
      </c>
      <c r="G31" s="7" t="s">
        <v>131</v>
      </c>
      <c r="H31" s="7" t="s">
        <v>3809</v>
      </c>
    </row>
    <row r="32" customFormat="false" ht="15.75" hidden="false" customHeight="true" outlineLevel="0" collapsed="false">
      <c r="A32" s="5" t="s">
        <v>3836</v>
      </c>
      <c r="B32" s="5" t="s">
        <v>3546</v>
      </c>
      <c r="C32" s="5" t="s">
        <v>2802</v>
      </c>
      <c r="D32" s="15" t="n">
        <v>39</v>
      </c>
      <c r="E32" s="15" t="s">
        <v>3808</v>
      </c>
      <c r="F32" s="55" t="n">
        <v>46133</v>
      </c>
      <c r="G32" s="5" t="s">
        <v>131</v>
      </c>
      <c r="H32" s="5" t="s">
        <v>3809</v>
      </c>
    </row>
    <row r="33" customFormat="false" ht="15.75" hidden="false" customHeight="true" outlineLevel="0" collapsed="false">
      <c r="A33" s="7" t="s">
        <v>3837</v>
      </c>
      <c r="B33" s="7" t="s">
        <v>3553</v>
      </c>
      <c r="C33" s="7" t="s">
        <v>2841</v>
      </c>
      <c r="D33" s="16" t="n">
        <v>-40</v>
      </c>
      <c r="E33" s="16" t="s">
        <v>3813</v>
      </c>
      <c r="F33" s="57" t="n">
        <v>46138</v>
      </c>
      <c r="G33" s="7" t="s">
        <v>131</v>
      </c>
      <c r="H33" s="7" t="s">
        <v>3809</v>
      </c>
    </row>
    <row r="34" customFormat="false" ht="15.75" hidden="false" customHeight="true" outlineLevel="0" collapsed="false">
      <c r="A34" s="5" t="s">
        <v>3838</v>
      </c>
      <c r="B34" s="5" t="s">
        <v>3561</v>
      </c>
      <c r="C34" s="5" t="s">
        <v>2832</v>
      </c>
      <c r="D34" s="15" t="n">
        <v>13</v>
      </c>
      <c r="E34" s="15" t="s">
        <v>3808</v>
      </c>
      <c r="F34" s="55" t="n">
        <v>46143</v>
      </c>
      <c r="G34" s="5" t="s">
        <v>131</v>
      </c>
      <c r="H34" s="5" t="s">
        <v>3809</v>
      </c>
    </row>
    <row r="35" customFormat="false" ht="15.75" hidden="false" customHeight="true" outlineLevel="0" collapsed="false">
      <c r="A35" s="7" t="s">
        <v>3839</v>
      </c>
      <c r="B35" s="7" t="s">
        <v>3568</v>
      </c>
      <c r="C35" s="7" t="s">
        <v>2807</v>
      </c>
      <c r="D35" s="16" t="n">
        <v>20</v>
      </c>
      <c r="E35" s="16" t="s">
        <v>3808</v>
      </c>
      <c r="F35" s="57" t="n">
        <v>46148</v>
      </c>
      <c r="G35" s="7" t="s">
        <v>131</v>
      </c>
      <c r="H35" s="7" t="s">
        <v>3809</v>
      </c>
    </row>
    <row r="36" customFormat="false" ht="15.75" hidden="false" customHeight="true" outlineLevel="0" collapsed="false">
      <c r="A36" s="5" t="s">
        <v>3840</v>
      </c>
      <c r="B36" s="5" t="s">
        <v>3575</v>
      </c>
      <c r="C36" s="5" t="s">
        <v>2822</v>
      </c>
      <c r="D36" s="15" t="n">
        <v>27</v>
      </c>
      <c r="E36" s="15" t="s">
        <v>3808</v>
      </c>
      <c r="F36" s="55" t="n">
        <v>46153</v>
      </c>
      <c r="G36" s="5" t="s">
        <v>131</v>
      </c>
      <c r="H36" s="5" t="s">
        <v>3809</v>
      </c>
    </row>
    <row r="37" customFormat="false" ht="15.75" hidden="false" customHeight="true" outlineLevel="0" collapsed="false">
      <c r="A37" s="7" t="s">
        <v>3841</v>
      </c>
      <c r="B37" s="7" t="s">
        <v>3582</v>
      </c>
      <c r="C37" s="7" t="s">
        <v>2864</v>
      </c>
      <c r="D37" s="16" t="n">
        <v>-60</v>
      </c>
      <c r="E37" s="16" t="s">
        <v>3813</v>
      </c>
      <c r="F37" s="57" t="n">
        <v>46158</v>
      </c>
      <c r="G37" s="7" t="s">
        <v>131</v>
      </c>
      <c r="H37" s="7" t="s">
        <v>3809</v>
      </c>
    </row>
    <row r="38" customFormat="false" ht="15.75" hidden="false" customHeight="true" outlineLevel="0" collapsed="false">
      <c r="A38" s="5" t="s">
        <v>3842</v>
      </c>
      <c r="B38" s="5" t="s">
        <v>3589</v>
      </c>
      <c r="C38" s="5" t="s">
        <v>2812</v>
      </c>
      <c r="D38" s="15" t="n">
        <v>41</v>
      </c>
      <c r="E38" s="15" t="s">
        <v>3808</v>
      </c>
      <c r="F38" s="55" t="n">
        <v>46163</v>
      </c>
      <c r="G38" s="5" t="s">
        <v>131</v>
      </c>
      <c r="H38" s="5" t="s">
        <v>3809</v>
      </c>
    </row>
    <row r="39" customFormat="false" ht="15.75" hidden="false" customHeight="true" outlineLevel="0" collapsed="false">
      <c r="A39" s="7" t="s">
        <v>3843</v>
      </c>
      <c r="B39" s="7" t="s">
        <v>3596</v>
      </c>
      <c r="C39" s="7" t="s">
        <v>2827</v>
      </c>
      <c r="D39" s="16" t="n">
        <v>48</v>
      </c>
      <c r="E39" s="16" t="s">
        <v>3808</v>
      </c>
      <c r="F39" s="57" t="n">
        <v>46168</v>
      </c>
      <c r="G39" s="7" t="s">
        <v>131</v>
      </c>
      <c r="H39" s="7" t="s">
        <v>3809</v>
      </c>
    </row>
    <row r="40" customFormat="false" ht="15.75" hidden="false" customHeight="true" outlineLevel="0" collapsed="false">
      <c r="A40" s="5" t="s">
        <v>3844</v>
      </c>
      <c r="B40" s="5" t="s">
        <v>3516</v>
      </c>
      <c r="C40" s="5" t="s">
        <v>2802</v>
      </c>
      <c r="D40" s="15" t="n">
        <v>15</v>
      </c>
      <c r="E40" s="15" t="s">
        <v>3808</v>
      </c>
      <c r="F40" s="55" t="n">
        <v>46173</v>
      </c>
      <c r="G40" s="5" t="s">
        <v>131</v>
      </c>
      <c r="H40" s="5" t="s">
        <v>3809</v>
      </c>
    </row>
    <row r="41" customFormat="false" ht="15.75" hidden="false" customHeight="true" outlineLevel="0" collapsed="false">
      <c r="A41" s="7" t="s">
        <v>3845</v>
      </c>
      <c r="B41" s="7" t="s">
        <v>3526</v>
      </c>
      <c r="C41" s="7" t="s">
        <v>2855</v>
      </c>
      <c r="D41" s="16" t="n">
        <v>-20</v>
      </c>
      <c r="E41" s="16" t="s">
        <v>3813</v>
      </c>
      <c r="F41" s="57" t="n">
        <v>46178</v>
      </c>
      <c r="G41" s="7" t="s">
        <v>131</v>
      </c>
      <c r="H41" s="7" t="s">
        <v>3809</v>
      </c>
    </row>
    <row r="42" customFormat="false" ht="15.75" hidden="false" customHeight="true" outlineLevel="0" collapsed="false">
      <c r="A42" s="5" t="s">
        <v>3846</v>
      </c>
      <c r="B42" s="5" t="s">
        <v>3536</v>
      </c>
      <c r="C42" s="5" t="s">
        <v>2832</v>
      </c>
      <c r="D42" s="15" t="n">
        <v>29</v>
      </c>
      <c r="E42" s="15" t="s">
        <v>3808</v>
      </c>
      <c r="F42" s="55" t="n">
        <v>46183</v>
      </c>
      <c r="G42" s="5" t="s">
        <v>131</v>
      </c>
      <c r="H42" s="5" t="s">
        <v>3809</v>
      </c>
    </row>
    <row r="43" customFormat="false" ht="15.75" hidden="false" customHeight="true" outlineLevel="0" collapsed="false">
      <c r="A43" s="7" t="s">
        <v>3847</v>
      </c>
      <c r="B43" s="7" t="s">
        <v>3543</v>
      </c>
      <c r="C43" s="7" t="s">
        <v>2807</v>
      </c>
      <c r="D43" s="16" t="n">
        <v>36</v>
      </c>
      <c r="E43" s="16" t="s">
        <v>3808</v>
      </c>
      <c r="F43" s="57" t="n">
        <v>46188</v>
      </c>
      <c r="G43" s="7" t="s">
        <v>131</v>
      </c>
      <c r="H43" s="7" t="s">
        <v>3809</v>
      </c>
    </row>
    <row r="44" customFormat="false" ht="15.75" hidden="false" customHeight="true" outlineLevel="0" collapsed="false">
      <c r="A44" s="5" t="s">
        <v>3848</v>
      </c>
      <c r="B44" s="5" t="s">
        <v>3550</v>
      </c>
      <c r="C44" s="5" t="s">
        <v>2822</v>
      </c>
      <c r="D44" s="15" t="n">
        <v>43</v>
      </c>
      <c r="E44" s="15" t="s">
        <v>3808</v>
      </c>
      <c r="F44" s="55" t="n">
        <v>46193</v>
      </c>
      <c r="G44" s="5" t="s">
        <v>131</v>
      </c>
      <c r="H44" s="5" t="s">
        <v>3809</v>
      </c>
    </row>
    <row r="45" customFormat="false" ht="15.75" hidden="false" customHeight="true" outlineLevel="0" collapsed="false">
      <c r="A45" s="7" t="s">
        <v>3849</v>
      </c>
      <c r="B45" s="7" t="s">
        <v>3558</v>
      </c>
      <c r="C45" s="7" t="s">
        <v>2846</v>
      </c>
      <c r="D45" s="16" t="n">
        <v>-40</v>
      </c>
      <c r="E45" s="16" t="s">
        <v>3813</v>
      </c>
      <c r="F45" s="57" t="n">
        <v>46198</v>
      </c>
      <c r="G45" s="7" t="s">
        <v>131</v>
      </c>
      <c r="H45" s="7" t="s">
        <v>3809</v>
      </c>
    </row>
    <row r="46" customFormat="false" ht="15.75" hidden="false" customHeight="true" outlineLevel="0" collapsed="false">
      <c r="A46" s="5" t="s">
        <v>3850</v>
      </c>
      <c r="B46" s="5" t="s">
        <v>3565</v>
      </c>
      <c r="C46" s="5" t="s">
        <v>2812</v>
      </c>
      <c r="D46" s="15" t="n">
        <v>17</v>
      </c>
      <c r="E46" s="15" t="s">
        <v>3808</v>
      </c>
      <c r="F46" s="55" t="n">
        <v>46203</v>
      </c>
      <c r="G46" s="5" t="s">
        <v>131</v>
      </c>
      <c r="H46" s="5" t="s">
        <v>3809</v>
      </c>
    </row>
    <row r="47" customFormat="false" ht="15.75" hidden="false" customHeight="true" outlineLevel="0" collapsed="false">
      <c r="A47" s="7" t="s">
        <v>3851</v>
      </c>
      <c r="B47" s="7" t="s">
        <v>3572</v>
      </c>
      <c r="C47" s="7" t="s">
        <v>2827</v>
      </c>
      <c r="D47" s="16" t="n">
        <v>24</v>
      </c>
      <c r="E47" s="16" t="s">
        <v>3808</v>
      </c>
      <c r="F47" s="57" t="n">
        <v>46208</v>
      </c>
      <c r="G47" s="7" t="s">
        <v>131</v>
      </c>
      <c r="H47" s="7" t="s">
        <v>3809</v>
      </c>
    </row>
    <row r="48" customFormat="false" ht="15.75" hidden="false" customHeight="true" outlineLevel="0" collapsed="false">
      <c r="A48" s="5" t="s">
        <v>3852</v>
      </c>
      <c r="B48" s="5" t="s">
        <v>3579</v>
      </c>
      <c r="C48" s="5" t="s">
        <v>2802</v>
      </c>
      <c r="D48" s="15" t="n">
        <v>31</v>
      </c>
      <c r="E48" s="15" t="s">
        <v>3808</v>
      </c>
      <c r="F48" s="55" t="n">
        <v>46213</v>
      </c>
      <c r="G48" s="5" t="s">
        <v>131</v>
      </c>
      <c r="H48" s="5" t="s">
        <v>3809</v>
      </c>
    </row>
    <row r="49" customFormat="false" ht="15.75" hidden="false" customHeight="true" outlineLevel="0" collapsed="false">
      <c r="A49" s="7" t="s">
        <v>3853</v>
      </c>
      <c r="B49" s="7" t="s">
        <v>3586</v>
      </c>
      <c r="C49" s="7" t="s">
        <v>2868</v>
      </c>
      <c r="D49" s="16" t="n">
        <v>-60</v>
      </c>
      <c r="E49" s="16" t="s">
        <v>3813</v>
      </c>
      <c r="F49" s="57" t="n">
        <v>46218</v>
      </c>
      <c r="G49" s="7" t="s">
        <v>131</v>
      </c>
      <c r="H49" s="7" t="s">
        <v>3809</v>
      </c>
    </row>
    <row r="50" customFormat="false" ht="15.75" hidden="false" customHeight="true" outlineLevel="0" collapsed="false">
      <c r="A50" s="5" t="s">
        <v>3854</v>
      </c>
      <c r="B50" s="5" t="s">
        <v>3593</v>
      </c>
      <c r="C50" s="5" t="s">
        <v>2832</v>
      </c>
      <c r="D50" s="15" t="n">
        <v>45</v>
      </c>
      <c r="E50" s="15" t="s">
        <v>3808</v>
      </c>
      <c r="F50" s="55" t="n">
        <v>46223</v>
      </c>
      <c r="G50" s="5" t="s">
        <v>131</v>
      </c>
      <c r="H50" s="5" t="s">
        <v>3809</v>
      </c>
    </row>
    <row r="51" customFormat="false" ht="15.75" hidden="false" customHeight="true" outlineLevel="0" collapsed="false">
      <c r="A51" s="7" t="s">
        <v>3855</v>
      </c>
      <c r="B51" s="7" t="s">
        <v>3508</v>
      </c>
      <c r="C51" s="7" t="s">
        <v>2807</v>
      </c>
      <c r="D51" s="16" t="n">
        <v>12</v>
      </c>
      <c r="E51" s="16" t="s">
        <v>3808</v>
      </c>
      <c r="F51" s="57" t="n">
        <v>46113</v>
      </c>
      <c r="G51" s="7" t="s">
        <v>131</v>
      </c>
      <c r="H51" s="7" t="s">
        <v>3809</v>
      </c>
    </row>
    <row r="52" customFormat="false" ht="15.75" hidden="false" customHeight="true" outlineLevel="0" collapsed="false">
      <c r="A52" s="5" t="s">
        <v>3856</v>
      </c>
      <c r="B52" s="5" t="s">
        <v>3523</v>
      </c>
      <c r="C52" s="5" t="s">
        <v>2822</v>
      </c>
      <c r="D52" s="15" t="n">
        <v>19</v>
      </c>
      <c r="E52" s="15" t="s">
        <v>3808</v>
      </c>
      <c r="F52" s="55" t="n">
        <v>46118</v>
      </c>
      <c r="G52" s="5" t="s">
        <v>131</v>
      </c>
      <c r="H52" s="5" t="s">
        <v>3809</v>
      </c>
    </row>
    <row r="53" customFormat="false" ht="15.75" hidden="false" customHeight="true" outlineLevel="0" collapsed="false">
      <c r="A53" s="7" t="s">
        <v>3857</v>
      </c>
      <c r="B53" s="7" t="s">
        <v>3531</v>
      </c>
      <c r="C53" s="7" t="s">
        <v>2860</v>
      </c>
      <c r="D53" s="16" t="n">
        <v>-20</v>
      </c>
      <c r="E53" s="16" t="s">
        <v>3813</v>
      </c>
      <c r="F53" s="57" t="n">
        <v>46123</v>
      </c>
      <c r="G53" s="7" t="s">
        <v>131</v>
      </c>
      <c r="H53" s="7" t="s">
        <v>3809</v>
      </c>
    </row>
    <row r="54" customFormat="false" ht="15.75" hidden="false" customHeight="true" outlineLevel="0" collapsed="false">
      <c r="A54" s="5" t="s">
        <v>3858</v>
      </c>
      <c r="B54" s="5" t="s">
        <v>3540</v>
      </c>
      <c r="C54" s="5" t="s">
        <v>2812</v>
      </c>
      <c r="D54" s="15" t="n">
        <v>33</v>
      </c>
      <c r="E54" s="15" t="s">
        <v>3808</v>
      </c>
      <c r="F54" s="55" t="n">
        <v>46128</v>
      </c>
      <c r="G54" s="5" t="s">
        <v>131</v>
      </c>
      <c r="H54" s="5" t="s">
        <v>3809</v>
      </c>
    </row>
    <row r="55" customFormat="false" ht="15.75" hidden="false" customHeight="true" outlineLevel="0" collapsed="false">
      <c r="A55" s="7" t="s">
        <v>3859</v>
      </c>
      <c r="B55" s="7" t="s">
        <v>3547</v>
      </c>
      <c r="C55" s="7" t="s">
        <v>2827</v>
      </c>
      <c r="D55" s="16" t="n">
        <v>40</v>
      </c>
      <c r="E55" s="16" t="s">
        <v>3808</v>
      </c>
      <c r="F55" s="57" t="n">
        <v>46133</v>
      </c>
      <c r="G55" s="7" t="s">
        <v>131</v>
      </c>
      <c r="H55" s="7" t="s">
        <v>3809</v>
      </c>
    </row>
    <row r="56" customFormat="false" ht="15.75" hidden="false" customHeight="true" outlineLevel="0" collapsed="false">
      <c r="A56" s="5" t="s">
        <v>3860</v>
      </c>
      <c r="B56" s="5" t="s">
        <v>3555</v>
      </c>
      <c r="C56" s="5" t="s">
        <v>2802</v>
      </c>
      <c r="D56" s="15" t="n">
        <v>47</v>
      </c>
      <c r="E56" s="15" t="s">
        <v>3808</v>
      </c>
      <c r="F56" s="55" t="n">
        <v>46138</v>
      </c>
      <c r="G56" s="5" t="s">
        <v>131</v>
      </c>
      <c r="H56" s="5" t="s">
        <v>3809</v>
      </c>
    </row>
    <row r="57" customFormat="false" ht="15.75" hidden="false" customHeight="true" outlineLevel="0" collapsed="false">
      <c r="A57" s="7" t="s">
        <v>3861</v>
      </c>
      <c r="B57" s="7" t="s">
        <v>3562</v>
      </c>
      <c r="C57" s="7" t="s">
        <v>2851</v>
      </c>
      <c r="D57" s="16" t="n">
        <v>-40</v>
      </c>
      <c r="E57" s="16" t="s">
        <v>3813</v>
      </c>
      <c r="F57" s="57" t="n">
        <v>46143</v>
      </c>
      <c r="G57" s="7" t="s">
        <v>131</v>
      </c>
      <c r="H57" s="7" t="s">
        <v>3809</v>
      </c>
    </row>
    <row r="58" customFormat="false" ht="15.75" hidden="false" customHeight="true" outlineLevel="0" collapsed="false">
      <c r="A58" s="5" t="s">
        <v>3862</v>
      </c>
      <c r="B58" s="5" t="s">
        <v>3569</v>
      </c>
      <c r="C58" s="5" t="s">
        <v>2832</v>
      </c>
      <c r="D58" s="15" t="n">
        <v>21</v>
      </c>
      <c r="E58" s="15" t="s">
        <v>3808</v>
      </c>
      <c r="F58" s="55" t="n">
        <v>46148</v>
      </c>
      <c r="G58" s="5" t="s">
        <v>131</v>
      </c>
      <c r="H58" s="5" t="s">
        <v>3809</v>
      </c>
    </row>
    <row r="59" customFormat="false" ht="15.75" hidden="false" customHeight="true" outlineLevel="0" collapsed="false">
      <c r="A59" s="7" t="s">
        <v>3863</v>
      </c>
      <c r="B59" s="7" t="s">
        <v>3576</v>
      </c>
      <c r="C59" s="7" t="s">
        <v>2807</v>
      </c>
      <c r="D59" s="16" t="n">
        <v>28</v>
      </c>
      <c r="E59" s="16" t="s">
        <v>3808</v>
      </c>
      <c r="F59" s="57" t="n">
        <v>46153</v>
      </c>
      <c r="G59" s="7" t="s">
        <v>131</v>
      </c>
      <c r="H59" s="7" t="s">
        <v>3809</v>
      </c>
    </row>
    <row r="60" customFormat="false" ht="15.75" hidden="false" customHeight="true" outlineLevel="0" collapsed="false">
      <c r="A60" s="5" t="s">
        <v>3864</v>
      </c>
      <c r="B60" s="5" t="s">
        <v>3583</v>
      </c>
      <c r="C60" s="5" t="s">
        <v>2822</v>
      </c>
      <c r="D60" s="15" t="n">
        <v>35</v>
      </c>
      <c r="E60" s="15" t="s">
        <v>3808</v>
      </c>
      <c r="F60" s="55" t="n">
        <v>46158</v>
      </c>
      <c r="G60" s="5" t="s">
        <v>131</v>
      </c>
      <c r="H60" s="5" t="s">
        <v>3809</v>
      </c>
    </row>
    <row r="61" customFormat="false" ht="15.75" hidden="false" customHeight="true" outlineLevel="0" collapsed="false">
      <c r="A61" s="7" t="s">
        <v>3865</v>
      </c>
      <c r="B61" s="7" t="s">
        <v>3590</v>
      </c>
      <c r="C61" s="7" t="s">
        <v>2841</v>
      </c>
      <c r="D61" s="16" t="n">
        <v>-60</v>
      </c>
      <c r="E61" s="16" t="s">
        <v>3813</v>
      </c>
      <c r="F61" s="57" t="n">
        <v>46163</v>
      </c>
      <c r="G61" s="7" t="s">
        <v>131</v>
      </c>
      <c r="H61" s="7" t="s">
        <v>3809</v>
      </c>
    </row>
    <row r="62" customFormat="false" ht="15.75" hidden="false" customHeight="true" outlineLevel="0" collapsed="false">
      <c r="A62" s="5" t="s">
        <v>3866</v>
      </c>
      <c r="B62" s="5" t="s">
        <v>3597</v>
      </c>
      <c r="C62" s="5" t="s">
        <v>2812</v>
      </c>
      <c r="D62" s="15" t="n">
        <v>49</v>
      </c>
      <c r="E62" s="15" t="s">
        <v>3808</v>
      </c>
      <c r="F62" s="55" t="n">
        <v>46168</v>
      </c>
      <c r="G62" s="5" t="s">
        <v>131</v>
      </c>
      <c r="H62" s="5" t="s">
        <v>3809</v>
      </c>
    </row>
    <row r="63" customFormat="false" ht="15.75" hidden="false" customHeight="true" outlineLevel="0" collapsed="false">
      <c r="A63" s="7" t="s">
        <v>3867</v>
      </c>
      <c r="B63" s="7" t="s">
        <v>3518</v>
      </c>
      <c r="C63" s="7" t="s">
        <v>2827</v>
      </c>
      <c r="D63" s="16" t="n">
        <v>16</v>
      </c>
      <c r="E63" s="16" t="s">
        <v>3808</v>
      </c>
      <c r="F63" s="57" t="n">
        <v>46173</v>
      </c>
      <c r="G63" s="7" t="s">
        <v>131</v>
      </c>
      <c r="H63" s="7" t="s">
        <v>3809</v>
      </c>
    </row>
    <row r="64" customFormat="false" ht="15.75" hidden="false" customHeight="true" outlineLevel="0" collapsed="false">
      <c r="A64" s="5" t="s">
        <v>3868</v>
      </c>
      <c r="B64" s="5" t="s">
        <v>3528</v>
      </c>
      <c r="C64" s="5" t="s">
        <v>2802</v>
      </c>
      <c r="D64" s="15" t="n">
        <v>23</v>
      </c>
      <c r="E64" s="15" t="s">
        <v>3808</v>
      </c>
      <c r="F64" s="55" t="n">
        <v>46178</v>
      </c>
      <c r="G64" s="5" t="s">
        <v>131</v>
      </c>
      <c r="H64" s="5" t="s">
        <v>3809</v>
      </c>
    </row>
    <row r="65" customFormat="false" ht="15.75" hidden="false" customHeight="true" outlineLevel="0" collapsed="false">
      <c r="A65" s="7" t="s">
        <v>3869</v>
      </c>
      <c r="B65" s="7" t="s">
        <v>3537</v>
      </c>
      <c r="C65" s="7" t="s">
        <v>2864</v>
      </c>
      <c r="D65" s="16" t="n">
        <v>-20</v>
      </c>
      <c r="E65" s="16" t="s">
        <v>3813</v>
      </c>
      <c r="F65" s="57" t="n">
        <v>46183</v>
      </c>
      <c r="G65" s="7" t="s">
        <v>131</v>
      </c>
      <c r="H65" s="7" t="s">
        <v>3809</v>
      </c>
    </row>
  </sheetData>
  <autoFilter ref="A5:H65"/>
  <mergeCells count="3">
    <mergeCell ref="A1:H1"/>
    <mergeCell ref="A2:H2"/>
    <mergeCell ref="A3:H3"/>
  </mergeCells>
  <conditionalFormatting sqref="D6:D65">
    <cfRule type="cellIs" priority="2" operator="lessThan" aboveAverage="0" equalAverage="0" bottom="0" percent="0" rank="0" text="" dxfId="8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A8"/>
    <pageSetUpPr fitToPage="true"/>
  </sheetPr>
  <dimension ref="A1:H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0"/>
    <col collapsed="false" customWidth="true" hidden="false" outlineLevel="0" max="4" min="4" style="0" width="8"/>
    <col collapsed="false" customWidth="true" hidden="false" outlineLevel="0" max="5" min="5" style="0" width="20"/>
    <col collapsed="false" customWidth="true" hidden="false" outlineLevel="0" max="7" min="6" style="0" width="14"/>
    <col collapsed="false" customWidth="true" hidden="false" outlineLevel="0" max="8" min="8" style="0" width="16"/>
  </cols>
  <sheetData>
    <row r="1" customFormat="false" ht="19.5" hidden="false" customHeight="true" outlineLevel="0" collapsed="false">
      <c r="A1" s="51" t="s">
        <v>3488</v>
      </c>
      <c r="B1" s="51"/>
      <c r="C1" s="51"/>
      <c r="D1" s="51"/>
      <c r="E1" s="51"/>
      <c r="F1" s="51"/>
      <c r="G1" s="51"/>
      <c r="H1" s="51"/>
    </row>
    <row r="2" customFormat="false" ht="27.75" hidden="false" customHeight="true" outlineLevel="0" collapsed="false">
      <c r="A2" s="52" t="s">
        <v>3870</v>
      </c>
      <c r="B2" s="52"/>
      <c r="C2" s="52"/>
      <c r="D2" s="52"/>
      <c r="E2" s="52"/>
      <c r="F2" s="52"/>
      <c r="G2" s="52"/>
      <c r="H2" s="52"/>
    </row>
    <row r="3" customFormat="false" ht="30" hidden="false" customHeight="true" outlineLevel="0" collapsed="false">
      <c r="A3" s="53" t="s">
        <v>3871</v>
      </c>
      <c r="B3" s="53"/>
      <c r="C3" s="53"/>
      <c r="D3" s="53"/>
      <c r="E3" s="53"/>
      <c r="F3" s="53"/>
      <c r="G3" s="53"/>
      <c r="H3" s="53"/>
    </row>
    <row r="4" customFormat="false" ht="6" hidden="false" customHeight="true" outlineLevel="0" collapsed="false"/>
    <row r="5" customFormat="false" ht="30" hidden="false" customHeight="true" outlineLevel="0" collapsed="false">
      <c r="A5" s="54" t="s">
        <v>268</v>
      </c>
      <c r="B5" s="54" t="s">
        <v>3491</v>
      </c>
      <c r="C5" s="54" t="s">
        <v>2573</v>
      </c>
      <c r="D5" s="54" t="s">
        <v>338</v>
      </c>
      <c r="E5" s="54" t="s">
        <v>2918</v>
      </c>
      <c r="F5" s="54" t="s">
        <v>3872</v>
      </c>
      <c r="G5" s="54" t="s">
        <v>3873</v>
      </c>
      <c r="H5" s="54" t="s">
        <v>2415</v>
      </c>
    </row>
    <row r="6" customFormat="false" ht="15.75" hidden="false" customHeight="true" outlineLevel="0" collapsed="false">
      <c r="A6" s="5" t="s">
        <v>3874</v>
      </c>
      <c r="B6" s="5" t="s">
        <v>3514</v>
      </c>
      <c r="C6" s="5" t="s">
        <v>2893</v>
      </c>
      <c r="D6" s="15" t="s">
        <v>353</v>
      </c>
      <c r="E6" s="5" t="s">
        <v>2934</v>
      </c>
      <c r="F6" s="55" t="n">
        <v>46123</v>
      </c>
      <c r="G6" s="55" t="n">
        <v>46853</v>
      </c>
      <c r="H6" s="15" t="str">
        <f aca="true">IF(G6&lt;TODAY(),"Expired",IF(G6-TODAY()&lt;90,"Renewal due","Valid"))</f>
        <v>Valid</v>
      </c>
    </row>
    <row r="7" customFormat="false" ht="15.75" hidden="false" customHeight="true" outlineLevel="0" collapsed="false">
      <c r="A7" s="7" t="s">
        <v>3875</v>
      </c>
      <c r="B7" s="7" t="s">
        <v>3516</v>
      </c>
      <c r="C7" s="7" t="s">
        <v>2893</v>
      </c>
      <c r="D7" s="16" t="s">
        <v>353</v>
      </c>
      <c r="E7" s="7" t="s">
        <v>2934</v>
      </c>
      <c r="F7" s="57" t="n">
        <v>46128</v>
      </c>
      <c r="G7" s="57" t="n">
        <v>46858</v>
      </c>
      <c r="H7" s="16" t="str">
        <f aca="true">IF(G7&lt;TODAY(),"Expired",IF(G7-TODAY()&lt;90,"Renewal due","Valid"))</f>
        <v>Valid</v>
      </c>
    </row>
    <row r="8" customFormat="false" ht="15.75" hidden="false" customHeight="true" outlineLevel="0" collapsed="false">
      <c r="A8" s="5" t="s">
        <v>3876</v>
      </c>
      <c r="B8" s="5" t="s">
        <v>3518</v>
      </c>
      <c r="C8" s="5" t="s">
        <v>2893</v>
      </c>
      <c r="D8" s="15" t="s">
        <v>353</v>
      </c>
      <c r="E8" s="5" t="s">
        <v>2934</v>
      </c>
      <c r="F8" s="55" t="n">
        <v>46133</v>
      </c>
      <c r="G8" s="55" t="n">
        <v>46863</v>
      </c>
      <c r="H8" s="15" t="str">
        <f aca="true">IF(G8&lt;TODAY(),"Expired",IF(G8-TODAY()&lt;90,"Renewal due","Valid"))</f>
        <v>Valid</v>
      </c>
    </row>
    <row r="9" customFormat="false" ht="15.75" hidden="false" customHeight="true" outlineLevel="0" collapsed="false">
      <c r="A9" s="7" t="s">
        <v>3877</v>
      </c>
      <c r="B9" s="7" t="s">
        <v>3520</v>
      </c>
      <c r="C9" s="7" t="s">
        <v>2893</v>
      </c>
      <c r="D9" s="16" t="s">
        <v>360</v>
      </c>
      <c r="E9" s="7" t="s">
        <v>2934</v>
      </c>
      <c r="F9" s="57" t="n">
        <v>46138</v>
      </c>
      <c r="G9" s="57" t="n">
        <v>46868</v>
      </c>
      <c r="H9" s="16" t="str">
        <f aca="true">IF(G9&lt;TODAY(),"Expired",IF(G9-TODAY()&lt;90,"Renewal due","Valid"))</f>
        <v>Valid</v>
      </c>
    </row>
    <row r="10" customFormat="false" ht="15.75" hidden="false" customHeight="true" outlineLevel="0" collapsed="false">
      <c r="A10" s="5" t="s">
        <v>3878</v>
      </c>
      <c r="B10" s="5" t="s">
        <v>3522</v>
      </c>
      <c r="C10" s="5" t="s">
        <v>2893</v>
      </c>
      <c r="D10" s="15" t="s">
        <v>360</v>
      </c>
      <c r="E10" s="5" t="s">
        <v>2931</v>
      </c>
      <c r="F10" s="55" t="n">
        <v>46143</v>
      </c>
      <c r="G10" s="55" t="n">
        <v>46873</v>
      </c>
      <c r="H10" s="15" t="str">
        <f aca="true">IF(G10&lt;TODAY(),"Expired",IF(G10-TODAY()&lt;90,"Renewal due","Valid"))</f>
        <v>Valid</v>
      </c>
    </row>
    <row r="11" customFormat="false" ht="15.75" hidden="false" customHeight="true" outlineLevel="0" collapsed="false">
      <c r="A11" s="7" t="s">
        <v>3879</v>
      </c>
      <c r="B11" s="7" t="s">
        <v>3523</v>
      </c>
      <c r="C11" s="7" t="s">
        <v>2893</v>
      </c>
      <c r="D11" s="16" t="s">
        <v>367</v>
      </c>
      <c r="E11" s="7" t="s">
        <v>2934</v>
      </c>
      <c r="F11" s="57" t="n">
        <v>46148</v>
      </c>
      <c r="G11" s="57" t="n">
        <v>46878</v>
      </c>
      <c r="H11" s="16" t="str">
        <f aca="true">IF(G11&lt;TODAY(),"Expired",IF(G11-TODAY()&lt;90,"Renewal due","Valid"))</f>
        <v>Valid</v>
      </c>
    </row>
    <row r="12" customFormat="false" ht="15.75" hidden="false" customHeight="true" outlineLevel="0" collapsed="false">
      <c r="A12" s="5" t="s">
        <v>3880</v>
      </c>
      <c r="B12" s="5" t="s">
        <v>3524</v>
      </c>
      <c r="C12" s="5" t="s">
        <v>2893</v>
      </c>
      <c r="D12" s="15" t="s">
        <v>367</v>
      </c>
      <c r="E12" s="5" t="s">
        <v>2934</v>
      </c>
      <c r="F12" s="55" t="n">
        <v>46153</v>
      </c>
      <c r="G12" s="55" t="n">
        <v>46883</v>
      </c>
      <c r="H12" s="15" t="str">
        <f aca="true">IF(G12&lt;TODAY(),"Expired",IF(G12-TODAY()&lt;90,"Renewal due","Valid"))</f>
        <v>Valid</v>
      </c>
    </row>
    <row r="13" customFormat="false" ht="15.75" hidden="false" customHeight="true" outlineLevel="0" collapsed="false">
      <c r="A13" s="7" t="s">
        <v>3881</v>
      </c>
      <c r="B13" s="7" t="s">
        <v>3530</v>
      </c>
      <c r="C13" s="7" t="s">
        <v>2893</v>
      </c>
      <c r="D13" s="16" t="s">
        <v>353</v>
      </c>
      <c r="E13" s="7" t="s">
        <v>2934</v>
      </c>
      <c r="F13" s="57" t="n">
        <v>46174</v>
      </c>
      <c r="G13" s="57" t="n">
        <v>46904</v>
      </c>
      <c r="H13" s="16" t="str">
        <f aca="true">IF(G13&lt;TODAY(),"Expired",IF(G13-TODAY()&lt;90,"Renewal due","Valid"))</f>
        <v>Valid</v>
      </c>
    </row>
    <row r="14" customFormat="false" ht="15.75" hidden="false" customHeight="true" outlineLevel="0" collapsed="false">
      <c r="A14" s="5" t="s">
        <v>3882</v>
      </c>
      <c r="B14" s="5" t="s">
        <v>3531</v>
      </c>
      <c r="C14" s="5" t="s">
        <v>2893</v>
      </c>
      <c r="D14" s="15" t="s">
        <v>353</v>
      </c>
      <c r="E14" s="5" t="s">
        <v>2934</v>
      </c>
      <c r="F14" s="55" t="n">
        <v>46179</v>
      </c>
      <c r="G14" s="55" t="n">
        <v>46909</v>
      </c>
      <c r="H14" s="15" t="str">
        <f aca="true">IF(G14&lt;TODAY(),"Expired",IF(G14-TODAY()&lt;90,"Renewal due","Valid"))</f>
        <v>Valid</v>
      </c>
    </row>
    <row r="15" customFormat="false" ht="15.75" hidden="false" customHeight="true" outlineLevel="0" collapsed="false">
      <c r="A15" s="7" t="s">
        <v>3883</v>
      </c>
      <c r="B15" s="7" t="s">
        <v>3532</v>
      </c>
      <c r="C15" s="7" t="s">
        <v>2893</v>
      </c>
      <c r="D15" s="16" t="s">
        <v>353</v>
      </c>
      <c r="E15" s="7" t="s">
        <v>2931</v>
      </c>
      <c r="F15" s="57" t="n">
        <v>46184</v>
      </c>
      <c r="G15" s="57" t="n">
        <v>46914</v>
      </c>
      <c r="H15" s="16" t="str">
        <f aca="true">IF(G15&lt;TODAY(),"Expired",IF(G15-TODAY()&lt;90,"Renewal due","Valid"))</f>
        <v>Valid</v>
      </c>
    </row>
    <row r="16" customFormat="false" ht="15.75" hidden="false" customHeight="true" outlineLevel="0" collapsed="false">
      <c r="A16" s="5" t="s">
        <v>3884</v>
      </c>
      <c r="B16" s="5" t="s">
        <v>3534</v>
      </c>
      <c r="C16" s="5" t="s">
        <v>2893</v>
      </c>
      <c r="D16" s="15" t="s">
        <v>360</v>
      </c>
      <c r="E16" s="5" t="s">
        <v>2934</v>
      </c>
      <c r="F16" s="55" t="n">
        <v>46189</v>
      </c>
      <c r="G16" s="55" t="n">
        <v>46919</v>
      </c>
      <c r="H16" s="15" t="str">
        <f aca="true">IF(G16&lt;TODAY(),"Expired",IF(G16-TODAY()&lt;90,"Renewal due","Valid"))</f>
        <v>Valid</v>
      </c>
    </row>
    <row r="17" customFormat="false" ht="15.75" hidden="false" customHeight="true" outlineLevel="0" collapsed="false">
      <c r="A17" s="7" t="s">
        <v>3885</v>
      </c>
      <c r="B17" s="7" t="s">
        <v>3536</v>
      </c>
      <c r="C17" s="7" t="s">
        <v>2893</v>
      </c>
      <c r="D17" s="16" t="s">
        <v>360</v>
      </c>
      <c r="E17" s="7" t="s">
        <v>2934</v>
      </c>
      <c r="F17" s="57" t="n">
        <v>46194</v>
      </c>
      <c r="G17" s="57" t="n">
        <v>46924</v>
      </c>
      <c r="H17" s="16" t="str">
        <f aca="true">IF(G17&lt;TODAY(),"Expired",IF(G17-TODAY()&lt;90,"Renewal due","Valid"))</f>
        <v>Valid</v>
      </c>
    </row>
    <row r="18" customFormat="false" ht="15.75" hidden="false" customHeight="true" outlineLevel="0" collapsed="false">
      <c r="A18" s="5" t="s">
        <v>3886</v>
      </c>
      <c r="B18" s="5" t="s">
        <v>3537</v>
      </c>
      <c r="C18" s="5" t="s">
        <v>2893</v>
      </c>
      <c r="D18" s="15" t="s">
        <v>360</v>
      </c>
      <c r="E18" s="5" t="s">
        <v>2934</v>
      </c>
      <c r="F18" s="55" t="n">
        <v>46199</v>
      </c>
      <c r="G18" s="55" t="n">
        <v>46929</v>
      </c>
      <c r="H18" s="15" t="str">
        <f aca="true">IF(G18&lt;TODAY(),"Expired",IF(G18-TODAY()&lt;90,"Renewal due","Valid"))</f>
        <v>Valid</v>
      </c>
    </row>
    <row r="19" customFormat="false" ht="15.75" hidden="false" customHeight="true" outlineLevel="0" collapsed="false">
      <c r="A19" s="7" t="s">
        <v>3887</v>
      </c>
      <c r="B19" s="7" t="s">
        <v>3538</v>
      </c>
      <c r="C19" s="7" t="s">
        <v>2893</v>
      </c>
      <c r="D19" s="16" t="s">
        <v>367</v>
      </c>
      <c r="E19" s="7" t="s">
        <v>2934</v>
      </c>
      <c r="F19" s="57" t="n">
        <v>46204</v>
      </c>
      <c r="G19" s="57" t="n">
        <v>46934</v>
      </c>
      <c r="H19" s="16" t="str">
        <f aca="true">IF(G19&lt;TODAY(),"Expired",IF(G19-TODAY()&lt;90,"Renewal due","Valid"))</f>
        <v>Valid</v>
      </c>
    </row>
    <row r="20" customFormat="false" ht="15.75" hidden="false" customHeight="true" outlineLevel="0" collapsed="false">
      <c r="A20" s="5" t="s">
        <v>3888</v>
      </c>
      <c r="B20" s="5" t="s">
        <v>3544</v>
      </c>
      <c r="C20" s="5" t="s">
        <v>2893</v>
      </c>
      <c r="D20" s="15" t="s">
        <v>353</v>
      </c>
      <c r="E20" s="5" t="s">
        <v>2934</v>
      </c>
      <c r="F20" s="55" t="n">
        <v>46229</v>
      </c>
      <c r="G20" s="55" t="n">
        <v>46959</v>
      </c>
      <c r="H20" s="15" t="str">
        <f aca="true">IF(G20&lt;TODAY(),"Expired",IF(G20-TODAY()&lt;90,"Renewal due","Valid"))</f>
        <v>Valid</v>
      </c>
    </row>
    <row r="21" customFormat="false" ht="15.75" hidden="false" customHeight="true" outlineLevel="0" collapsed="false">
      <c r="A21" s="7" t="s">
        <v>3889</v>
      </c>
      <c r="B21" s="7" t="s">
        <v>3545</v>
      </c>
      <c r="C21" s="7" t="s">
        <v>2893</v>
      </c>
      <c r="D21" s="16" t="s">
        <v>353</v>
      </c>
      <c r="E21" s="7" t="s">
        <v>2934</v>
      </c>
      <c r="F21" s="57" t="n">
        <v>46234</v>
      </c>
      <c r="G21" s="57" t="n">
        <v>46964</v>
      </c>
      <c r="H21" s="16" t="str">
        <f aca="true">IF(G21&lt;TODAY(),"Expired",IF(G21-TODAY()&lt;90,"Renewal due","Valid"))</f>
        <v>Valid</v>
      </c>
    </row>
    <row r="22" customFormat="false" ht="15.75" hidden="false" customHeight="true" outlineLevel="0" collapsed="false">
      <c r="A22" s="5" t="s">
        <v>3890</v>
      </c>
      <c r="B22" s="5" t="s">
        <v>3546</v>
      </c>
      <c r="C22" s="5" t="s">
        <v>2893</v>
      </c>
      <c r="D22" s="15" t="s">
        <v>353</v>
      </c>
      <c r="E22" s="5" t="s">
        <v>2934</v>
      </c>
      <c r="F22" s="55" t="n">
        <v>46239</v>
      </c>
      <c r="G22" s="55" t="n">
        <v>46969</v>
      </c>
      <c r="H22" s="15" t="str">
        <f aca="true">IF(G22&lt;TODAY(),"Expired",IF(G22-TODAY()&lt;90,"Renewal due","Valid"))</f>
        <v>Valid</v>
      </c>
    </row>
    <row r="23" customFormat="false" ht="15.75" hidden="false" customHeight="true" outlineLevel="0" collapsed="false">
      <c r="A23" s="7" t="s">
        <v>3891</v>
      </c>
      <c r="B23" s="7" t="s">
        <v>3547</v>
      </c>
      <c r="C23" s="7" t="s">
        <v>2893</v>
      </c>
      <c r="D23" s="16" t="s">
        <v>360</v>
      </c>
      <c r="E23" s="7" t="s">
        <v>2934</v>
      </c>
      <c r="F23" s="57" t="n">
        <v>46244</v>
      </c>
      <c r="G23" s="57" t="n">
        <v>46974</v>
      </c>
      <c r="H23" s="16" t="str">
        <f aca="true">IF(G23&lt;TODAY(),"Expired",IF(G23-TODAY()&lt;90,"Renewal due","Valid"))</f>
        <v>Valid</v>
      </c>
    </row>
    <row r="24" customFormat="false" ht="15.75" hidden="false" customHeight="true" outlineLevel="0" collapsed="false">
      <c r="A24" s="5" t="s">
        <v>3892</v>
      </c>
      <c r="B24" s="5" t="s">
        <v>3548</v>
      </c>
      <c r="C24" s="5" t="s">
        <v>2893</v>
      </c>
      <c r="D24" s="15" t="s">
        <v>360</v>
      </c>
      <c r="E24" s="5" t="s">
        <v>2934</v>
      </c>
      <c r="F24" s="55" t="n">
        <v>46249</v>
      </c>
      <c r="G24" s="55" t="n">
        <v>46979</v>
      </c>
      <c r="H24" s="15" t="str">
        <f aca="true">IF(G24&lt;TODAY(),"Expired",IF(G24-TODAY()&lt;90,"Renewal due","Valid"))</f>
        <v>Valid</v>
      </c>
    </row>
    <row r="25" customFormat="false" ht="15.75" hidden="false" customHeight="true" outlineLevel="0" collapsed="false">
      <c r="A25" s="7" t="s">
        <v>3893</v>
      </c>
      <c r="B25" s="7" t="s">
        <v>3549</v>
      </c>
      <c r="C25" s="7" t="s">
        <v>2893</v>
      </c>
      <c r="D25" s="16" t="s">
        <v>367</v>
      </c>
      <c r="E25" s="7" t="s">
        <v>2934</v>
      </c>
      <c r="F25" s="57" t="n">
        <v>46254</v>
      </c>
      <c r="G25" s="57" t="n">
        <v>46984</v>
      </c>
      <c r="H25" s="16" t="str">
        <f aca="true">IF(G25&lt;TODAY(),"Expired",IF(G25-TODAY()&lt;90,"Renewal due","Valid"))</f>
        <v>Valid</v>
      </c>
    </row>
    <row r="26" customFormat="false" ht="15.75" hidden="false" customHeight="true" outlineLevel="0" collapsed="false">
      <c r="A26" s="5" t="s">
        <v>3894</v>
      </c>
      <c r="B26" s="5" t="s">
        <v>3550</v>
      </c>
      <c r="C26" s="5" t="s">
        <v>2893</v>
      </c>
      <c r="D26" s="15" t="s">
        <v>375</v>
      </c>
      <c r="E26" s="5" t="s">
        <v>2934</v>
      </c>
      <c r="F26" s="55" t="n">
        <v>46259</v>
      </c>
      <c r="G26" s="55" t="n">
        <v>46989</v>
      </c>
      <c r="H26" s="15" t="str">
        <f aca="true">IF(G26&lt;TODAY(),"Expired",IF(G26-TODAY()&lt;90,"Renewal due","Valid"))</f>
        <v>Valid</v>
      </c>
    </row>
    <row r="27" customFormat="false" ht="15.75" hidden="false" customHeight="true" outlineLevel="0" collapsed="false">
      <c r="A27" s="7" t="s">
        <v>3895</v>
      </c>
      <c r="B27" s="7" t="s">
        <v>3556</v>
      </c>
      <c r="C27" s="7" t="s">
        <v>2893</v>
      </c>
      <c r="D27" s="16" t="s">
        <v>353</v>
      </c>
      <c r="E27" s="7" t="s">
        <v>2934</v>
      </c>
      <c r="F27" s="57" t="n">
        <v>46140</v>
      </c>
      <c r="G27" s="57" t="n">
        <v>46870</v>
      </c>
      <c r="H27" s="16" t="str">
        <f aca="true">IF(G27&lt;TODAY(),"Expired",IF(G27-TODAY()&lt;90,"Renewal due","Valid"))</f>
        <v>Valid</v>
      </c>
    </row>
    <row r="28" customFormat="false" ht="15.75" hidden="false" customHeight="true" outlineLevel="0" collapsed="false">
      <c r="A28" s="5" t="s">
        <v>3896</v>
      </c>
      <c r="B28" s="5" t="s">
        <v>3557</v>
      </c>
      <c r="C28" s="5" t="s">
        <v>2893</v>
      </c>
      <c r="D28" s="15" t="s">
        <v>353</v>
      </c>
      <c r="E28" s="5" t="s">
        <v>2934</v>
      </c>
      <c r="F28" s="55" t="n">
        <v>46145</v>
      </c>
      <c r="G28" s="55" t="n">
        <v>46875</v>
      </c>
      <c r="H28" s="15" t="str">
        <f aca="true">IF(G28&lt;TODAY(),"Expired",IF(G28-TODAY()&lt;90,"Renewal due","Valid"))</f>
        <v>Valid</v>
      </c>
    </row>
    <row r="29" customFormat="false" ht="15.75" hidden="false" customHeight="true" outlineLevel="0" collapsed="false">
      <c r="A29" s="7" t="s">
        <v>3897</v>
      </c>
      <c r="B29" s="7" t="s">
        <v>3558</v>
      </c>
      <c r="C29" s="7" t="s">
        <v>2893</v>
      </c>
      <c r="D29" s="16" t="s">
        <v>353</v>
      </c>
      <c r="E29" s="7" t="s">
        <v>2934</v>
      </c>
      <c r="F29" s="57" t="n">
        <v>46150</v>
      </c>
      <c r="G29" s="57" t="n">
        <v>46880</v>
      </c>
      <c r="H29" s="16" t="str">
        <f aca="true">IF(G29&lt;TODAY(),"Expired",IF(G29-TODAY()&lt;90,"Renewal due","Valid"))</f>
        <v>Valid</v>
      </c>
    </row>
    <row r="30" customFormat="false" ht="15.75" hidden="false" customHeight="true" outlineLevel="0" collapsed="false">
      <c r="A30" s="5" t="s">
        <v>3898</v>
      </c>
      <c r="B30" s="5" t="s">
        <v>3559</v>
      </c>
      <c r="C30" s="5" t="s">
        <v>2893</v>
      </c>
      <c r="D30" s="15" t="s">
        <v>360</v>
      </c>
      <c r="E30" s="5" t="s">
        <v>2934</v>
      </c>
      <c r="F30" s="55" t="n">
        <v>46155</v>
      </c>
      <c r="G30" s="55" t="n">
        <v>46885</v>
      </c>
      <c r="H30" s="15" t="str">
        <f aca="true">IF(G30&lt;TODAY(),"Expired",IF(G30-TODAY()&lt;90,"Renewal due","Valid"))</f>
        <v>Valid</v>
      </c>
    </row>
    <row r="31" customFormat="false" ht="15.75" hidden="false" customHeight="true" outlineLevel="0" collapsed="false">
      <c r="A31" s="7" t="s">
        <v>3899</v>
      </c>
      <c r="B31" s="7" t="s">
        <v>3560</v>
      </c>
      <c r="C31" s="7" t="s">
        <v>2893</v>
      </c>
      <c r="D31" s="16" t="s">
        <v>360</v>
      </c>
      <c r="E31" s="7" t="s">
        <v>2934</v>
      </c>
      <c r="F31" s="57" t="n">
        <v>46160</v>
      </c>
      <c r="G31" s="57" t="n">
        <v>46890</v>
      </c>
      <c r="H31" s="16" t="str">
        <f aca="true">IF(G31&lt;TODAY(),"Expired",IF(G31-TODAY()&lt;90,"Renewal due","Valid"))</f>
        <v>Valid</v>
      </c>
    </row>
    <row r="32" customFormat="false" ht="15.75" hidden="false" customHeight="true" outlineLevel="0" collapsed="false">
      <c r="A32" s="5" t="s">
        <v>3900</v>
      </c>
      <c r="B32" s="5" t="s">
        <v>3561</v>
      </c>
      <c r="C32" s="5" t="s">
        <v>2893</v>
      </c>
      <c r="D32" s="15" t="s">
        <v>360</v>
      </c>
      <c r="E32" s="5" t="s">
        <v>2934</v>
      </c>
      <c r="F32" s="55" t="n">
        <v>46165</v>
      </c>
      <c r="G32" s="55" t="n">
        <v>46895</v>
      </c>
      <c r="H32" s="15" t="str">
        <f aca="true">IF(G32&lt;TODAY(),"Expired",IF(G32-TODAY()&lt;90,"Renewal due","Valid"))</f>
        <v>Valid</v>
      </c>
    </row>
    <row r="33" customFormat="false" ht="15.75" hidden="false" customHeight="true" outlineLevel="0" collapsed="false">
      <c r="A33" s="7" t="s">
        <v>3901</v>
      </c>
      <c r="B33" s="7" t="s">
        <v>3562</v>
      </c>
      <c r="C33" s="7" t="s">
        <v>2893</v>
      </c>
      <c r="D33" s="16" t="s">
        <v>367</v>
      </c>
      <c r="E33" s="7" t="s">
        <v>2931</v>
      </c>
      <c r="F33" s="57" t="n">
        <v>46170</v>
      </c>
      <c r="G33" s="57" t="n">
        <v>46900</v>
      </c>
      <c r="H33" s="16" t="str">
        <f aca="true">IF(G33&lt;TODAY(),"Expired",IF(G33-TODAY()&lt;90,"Renewal due","Valid"))</f>
        <v>Valid</v>
      </c>
    </row>
    <row r="34" customFormat="false" ht="15.75" hidden="false" customHeight="true" outlineLevel="0" collapsed="false">
      <c r="A34" s="5" t="s">
        <v>3902</v>
      </c>
      <c r="B34" s="5" t="s">
        <v>3567</v>
      </c>
      <c r="C34" s="5" t="s">
        <v>2893</v>
      </c>
      <c r="D34" s="15" t="s">
        <v>353</v>
      </c>
      <c r="E34" s="5" t="s">
        <v>2934</v>
      </c>
      <c r="F34" s="55" t="n">
        <v>46191</v>
      </c>
      <c r="G34" s="55" t="n">
        <v>46921</v>
      </c>
      <c r="H34" s="15" t="str">
        <f aca="true">IF(G34&lt;TODAY(),"Expired",IF(G34-TODAY()&lt;90,"Renewal due","Valid"))</f>
        <v>Valid</v>
      </c>
    </row>
    <row r="35" customFormat="false" ht="15.75" hidden="false" customHeight="true" outlineLevel="0" collapsed="false">
      <c r="A35" s="7" t="s">
        <v>3903</v>
      </c>
      <c r="B35" s="7" t="s">
        <v>3568</v>
      </c>
      <c r="C35" s="7" t="s">
        <v>2893</v>
      </c>
      <c r="D35" s="16" t="s">
        <v>353</v>
      </c>
      <c r="E35" s="7" t="s">
        <v>2934</v>
      </c>
      <c r="F35" s="57" t="n">
        <v>46166</v>
      </c>
      <c r="G35" s="57" t="n">
        <v>46896</v>
      </c>
      <c r="H35" s="16" t="str">
        <f aca="true">IF(G35&lt;TODAY(),"Expired",IF(G35-TODAY()&lt;90,"Renewal due","Valid"))</f>
        <v>Valid</v>
      </c>
    </row>
    <row r="36" customFormat="false" ht="15.75" hidden="false" customHeight="true" outlineLevel="0" collapsed="false">
      <c r="A36" s="5" t="s">
        <v>3904</v>
      </c>
      <c r="B36" s="5" t="s">
        <v>3569</v>
      </c>
      <c r="C36" s="5" t="s">
        <v>2893</v>
      </c>
      <c r="D36" s="15" t="s">
        <v>353</v>
      </c>
      <c r="E36" s="5" t="s">
        <v>2934</v>
      </c>
      <c r="F36" s="55" t="n">
        <v>46171</v>
      </c>
      <c r="G36" s="55" t="n">
        <v>46901</v>
      </c>
      <c r="H36" s="15" t="str">
        <f aca="true">IF(G36&lt;TODAY(),"Expired",IF(G36-TODAY()&lt;90,"Renewal due","Valid"))</f>
        <v>Valid</v>
      </c>
    </row>
    <row r="37" customFormat="false" ht="15.75" hidden="false" customHeight="true" outlineLevel="0" collapsed="false">
      <c r="A37" s="7" t="s">
        <v>3905</v>
      </c>
      <c r="B37" s="7" t="s">
        <v>3570</v>
      </c>
      <c r="C37" s="7" t="s">
        <v>2893</v>
      </c>
      <c r="D37" s="16" t="s">
        <v>353</v>
      </c>
      <c r="E37" s="7" t="s">
        <v>2934</v>
      </c>
      <c r="F37" s="57" t="n">
        <v>46176</v>
      </c>
      <c r="G37" s="57" t="n">
        <v>46906</v>
      </c>
      <c r="H37" s="16" t="str">
        <f aca="true">IF(G37&lt;TODAY(),"Expired",IF(G37-TODAY()&lt;90,"Renewal due","Valid"))</f>
        <v>Valid</v>
      </c>
    </row>
    <row r="38" customFormat="false" ht="15.75" hidden="false" customHeight="true" outlineLevel="0" collapsed="false">
      <c r="A38" s="5" t="s">
        <v>3906</v>
      </c>
      <c r="B38" s="5" t="s">
        <v>3571</v>
      </c>
      <c r="C38" s="5" t="s">
        <v>2893</v>
      </c>
      <c r="D38" s="15" t="s">
        <v>360</v>
      </c>
      <c r="E38" s="5" t="s">
        <v>2931</v>
      </c>
      <c r="F38" s="55" t="n">
        <v>46181</v>
      </c>
      <c r="G38" s="55" t="n">
        <v>46911</v>
      </c>
      <c r="H38" s="15" t="str">
        <f aca="true">IF(G38&lt;TODAY(),"Expired",IF(G38-TODAY()&lt;90,"Renewal due","Valid"))</f>
        <v>Valid</v>
      </c>
    </row>
    <row r="39" customFormat="false" ht="15.75" hidden="false" customHeight="true" outlineLevel="0" collapsed="false">
      <c r="A39" s="7" t="s">
        <v>3907</v>
      </c>
      <c r="B39" s="7" t="s">
        <v>3572</v>
      </c>
      <c r="C39" s="7" t="s">
        <v>2893</v>
      </c>
      <c r="D39" s="16" t="s">
        <v>360</v>
      </c>
      <c r="E39" s="7" t="s">
        <v>2934</v>
      </c>
      <c r="F39" s="57" t="n">
        <v>46186</v>
      </c>
      <c r="G39" s="57" t="n">
        <v>46916</v>
      </c>
      <c r="H39" s="16" t="str">
        <f aca="true">IF(G39&lt;TODAY(),"Expired",IF(G39-TODAY()&lt;90,"Renewal due","Valid"))</f>
        <v>Valid</v>
      </c>
    </row>
    <row r="40" customFormat="false" ht="15.75" hidden="false" customHeight="true" outlineLevel="0" collapsed="false">
      <c r="A40" s="5" t="s">
        <v>3908</v>
      </c>
      <c r="B40" s="5" t="s">
        <v>3573</v>
      </c>
      <c r="C40" s="5" t="s">
        <v>2893</v>
      </c>
      <c r="D40" s="15" t="s">
        <v>367</v>
      </c>
      <c r="E40" s="5" t="s">
        <v>2934</v>
      </c>
      <c r="F40" s="55" t="n">
        <v>46191</v>
      </c>
      <c r="G40" s="55" t="n">
        <v>46921</v>
      </c>
      <c r="H40" s="15" t="str">
        <f aca="true">IF(G40&lt;TODAY(),"Expired",IF(G40-TODAY()&lt;90,"Renewal due","Valid"))</f>
        <v>Valid</v>
      </c>
    </row>
    <row r="41" customFormat="false" ht="15.75" hidden="false" customHeight="true" outlineLevel="0" collapsed="false">
      <c r="A41" s="7" t="s">
        <v>3909</v>
      </c>
      <c r="B41" s="7" t="s">
        <v>3574</v>
      </c>
      <c r="C41" s="7" t="s">
        <v>2893</v>
      </c>
      <c r="D41" s="16" t="s">
        <v>375</v>
      </c>
      <c r="E41" s="7" t="s">
        <v>2934</v>
      </c>
      <c r="F41" s="57" t="n">
        <v>46196</v>
      </c>
      <c r="G41" s="57" t="n">
        <v>46926</v>
      </c>
      <c r="H41" s="16" t="str">
        <f aca="true">IF(G41&lt;TODAY(),"Expired",IF(G41-TODAY()&lt;90,"Renewal due","Valid"))</f>
        <v>Valid</v>
      </c>
    </row>
    <row r="42" customFormat="false" ht="15.75" hidden="false" customHeight="true" outlineLevel="0" collapsed="false">
      <c r="A42" s="5" t="s">
        <v>3910</v>
      </c>
      <c r="B42" s="5" t="s">
        <v>3579</v>
      </c>
      <c r="C42" s="5" t="s">
        <v>2893</v>
      </c>
      <c r="D42" s="15" t="s">
        <v>353</v>
      </c>
      <c r="E42" s="5" t="s">
        <v>2934</v>
      </c>
      <c r="F42" s="55" t="n">
        <v>46217</v>
      </c>
      <c r="G42" s="55" t="n">
        <v>46947</v>
      </c>
      <c r="H42" s="15" t="str">
        <f aca="true">IF(G42&lt;TODAY(),"Expired",IF(G42-TODAY()&lt;90,"Renewal due","Valid"))</f>
        <v>Valid</v>
      </c>
    </row>
    <row r="43" customFormat="false" ht="15.75" hidden="false" customHeight="true" outlineLevel="0" collapsed="false">
      <c r="A43" s="7" t="s">
        <v>3911</v>
      </c>
      <c r="B43" s="7" t="s">
        <v>3580</v>
      </c>
      <c r="C43" s="7" t="s">
        <v>2893</v>
      </c>
      <c r="D43" s="16" t="s">
        <v>353</v>
      </c>
      <c r="E43" s="7" t="s">
        <v>2931</v>
      </c>
      <c r="F43" s="57" t="n">
        <v>46222</v>
      </c>
      <c r="G43" s="57" t="n">
        <v>46952</v>
      </c>
      <c r="H43" s="16" t="str">
        <f aca="true">IF(G43&lt;TODAY(),"Expired",IF(G43-TODAY()&lt;90,"Renewal due","Valid"))</f>
        <v>Valid</v>
      </c>
    </row>
    <row r="44" customFormat="false" ht="15.75" hidden="false" customHeight="true" outlineLevel="0" collapsed="false">
      <c r="A44" s="5" t="s">
        <v>3912</v>
      </c>
      <c r="B44" s="5" t="s">
        <v>3581</v>
      </c>
      <c r="C44" s="5" t="s">
        <v>2893</v>
      </c>
      <c r="D44" s="15" t="s">
        <v>353</v>
      </c>
      <c r="E44" s="5" t="s">
        <v>2934</v>
      </c>
      <c r="F44" s="55" t="n">
        <v>46227</v>
      </c>
      <c r="G44" s="55" t="n">
        <v>46957</v>
      </c>
      <c r="H44" s="15" t="str">
        <f aca="true">IF(G44&lt;TODAY(),"Expired",IF(G44-TODAY()&lt;90,"Renewal due","Valid"))</f>
        <v>Valid</v>
      </c>
    </row>
    <row r="45" customFormat="false" ht="15.75" hidden="false" customHeight="true" outlineLevel="0" collapsed="false">
      <c r="A45" s="7" t="s">
        <v>3913</v>
      </c>
      <c r="B45" s="7" t="s">
        <v>3582</v>
      </c>
      <c r="C45" s="7" t="s">
        <v>2893</v>
      </c>
      <c r="D45" s="16" t="s">
        <v>360</v>
      </c>
      <c r="E45" s="7" t="s">
        <v>2934</v>
      </c>
      <c r="F45" s="57" t="n">
        <v>46232</v>
      </c>
      <c r="G45" s="57" t="n">
        <v>46962</v>
      </c>
      <c r="H45" s="16" t="str">
        <f aca="true">IF(G45&lt;TODAY(),"Expired",IF(G45-TODAY()&lt;90,"Renewal due","Valid"))</f>
        <v>Valid</v>
      </c>
    </row>
    <row r="46" customFormat="false" ht="15.75" hidden="false" customHeight="true" outlineLevel="0" collapsed="false">
      <c r="A46" s="5" t="s">
        <v>3914</v>
      </c>
      <c r="B46" s="5" t="s">
        <v>3583</v>
      </c>
      <c r="C46" s="5" t="s">
        <v>2893</v>
      </c>
      <c r="D46" s="15" t="s">
        <v>360</v>
      </c>
      <c r="E46" s="5" t="s">
        <v>2934</v>
      </c>
      <c r="F46" s="55" t="n">
        <v>46237</v>
      </c>
      <c r="G46" s="55" t="n">
        <v>46967</v>
      </c>
      <c r="H46" s="15" t="str">
        <f aca="true">IF(G46&lt;TODAY(),"Expired",IF(G46-TODAY()&lt;90,"Renewal due","Valid"))</f>
        <v>Valid</v>
      </c>
    </row>
    <row r="47" customFormat="false" ht="15.75" hidden="false" customHeight="true" outlineLevel="0" collapsed="false">
      <c r="A47" s="7" t="s">
        <v>3915</v>
      </c>
      <c r="B47" s="7" t="s">
        <v>3584</v>
      </c>
      <c r="C47" s="7" t="s">
        <v>2893</v>
      </c>
      <c r="D47" s="16" t="s">
        <v>360</v>
      </c>
      <c r="E47" s="7" t="s">
        <v>2934</v>
      </c>
      <c r="F47" s="57" t="n">
        <v>46242</v>
      </c>
      <c r="G47" s="57" t="n">
        <v>46972</v>
      </c>
      <c r="H47" s="16" t="str">
        <f aca="true">IF(G47&lt;TODAY(),"Expired",IF(G47-TODAY()&lt;90,"Renewal due","Valid"))</f>
        <v>Valid</v>
      </c>
    </row>
    <row r="48" customFormat="false" ht="15.75" hidden="false" customHeight="true" outlineLevel="0" collapsed="false">
      <c r="A48" s="5" t="s">
        <v>3916</v>
      </c>
      <c r="B48" s="5" t="s">
        <v>3585</v>
      </c>
      <c r="C48" s="5" t="s">
        <v>2893</v>
      </c>
      <c r="D48" s="15" t="s">
        <v>367</v>
      </c>
      <c r="E48" s="5" t="s">
        <v>2934</v>
      </c>
      <c r="F48" s="55" t="n">
        <v>46247</v>
      </c>
      <c r="G48" s="55" t="n">
        <v>46977</v>
      </c>
      <c r="H48" s="15" t="str">
        <f aca="true">IF(G48&lt;TODAY(),"Expired",IF(G48-TODAY()&lt;90,"Renewal due","Valid"))</f>
        <v>Valid</v>
      </c>
    </row>
    <row r="49" customFormat="false" ht="15.75" hidden="false" customHeight="true" outlineLevel="0" collapsed="false">
      <c r="A49" s="7" t="s">
        <v>3917</v>
      </c>
      <c r="B49" s="7" t="s">
        <v>3590</v>
      </c>
      <c r="C49" s="7" t="s">
        <v>2893</v>
      </c>
      <c r="D49" s="16" t="s">
        <v>353</v>
      </c>
      <c r="E49" s="7" t="s">
        <v>2934</v>
      </c>
      <c r="F49" s="57" t="n">
        <v>46128</v>
      </c>
      <c r="G49" s="57" t="n">
        <v>46858</v>
      </c>
      <c r="H49" s="16" t="str">
        <f aca="true">IF(G49&lt;TODAY(),"Expired",IF(G49-TODAY()&lt;90,"Renewal due","Valid"))</f>
        <v>Valid</v>
      </c>
    </row>
    <row r="50" customFormat="false" ht="15.75" hidden="false" customHeight="true" outlineLevel="0" collapsed="false">
      <c r="A50" s="5" t="s">
        <v>3918</v>
      </c>
      <c r="B50" s="5" t="s">
        <v>3591</v>
      </c>
      <c r="C50" s="5" t="s">
        <v>2893</v>
      </c>
      <c r="D50" s="15" t="s">
        <v>353</v>
      </c>
      <c r="E50" s="5" t="s">
        <v>2934</v>
      </c>
      <c r="F50" s="55" t="n">
        <v>46133</v>
      </c>
      <c r="G50" s="55" t="n">
        <v>46863</v>
      </c>
      <c r="H50" s="15" t="str">
        <f aca="true">IF(G50&lt;TODAY(),"Expired",IF(G50-TODAY()&lt;90,"Renewal due","Valid"))</f>
        <v>Valid</v>
      </c>
    </row>
    <row r="51" customFormat="false" ht="15.75" hidden="false" customHeight="true" outlineLevel="0" collapsed="false">
      <c r="A51" s="7" t="s">
        <v>3919</v>
      </c>
      <c r="B51" s="7" t="s">
        <v>3592</v>
      </c>
      <c r="C51" s="7" t="s">
        <v>2893</v>
      </c>
      <c r="D51" s="16" t="s">
        <v>353</v>
      </c>
      <c r="E51" s="7" t="s">
        <v>2934</v>
      </c>
      <c r="F51" s="57" t="n">
        <v>46138</v>
      </c>
      <c r="G51" s="57" t="n">
        <v>46868</v>
      </c>
      <c r="H51" s="16" t="str">
        <f aca="true">IF(G51&lt;TODAY(),"Expired",IF(G51-TODAY()&lt;90,"Renewal due","Valid"))</f>
        <v>Valid</v>
      </c>
    </row>
    <row r="52" customFormat="false" ht="15.75" hidden="false" customHeight="true" outlineLevel="0" collapsed="false">
      <c r="A52" s="5" t="s">
        <v>3920</v>
      </c>
      <c r="B52" s="5" t="s">
        <v>3593</v>
      </c>
      <c r="C52" s="5" t="s">
        <v>2893</v>
      </c>
      <c r="D52" s="15" t="s">
        <v>360</v>
      </c>
      <c r="E52" s="5" t="s">
        <v>2934</v>
      </c>
      <c r="F52" s="55" t="n">
        <v>46143</v>
      </c>
      <c r="G52" s="55" t="n">
        <v>46873</v>
      </c>
      <c r="H52" s="15" t="str">
        <f aca="true">IF(G52&lt;TODAY(),"Expired",IF(G52-TODAY()&lt;90,"Renewal due","Valid"))</f>
        <v>Valid</v>
      </c>
    </row>
    <row r="53" customFormat="false" ht="15.75" hidden="false" customHeight="true" outlineLevel="0" collapsed="false">
      <c r="A53" s="7" t="s">
        <v>3921</v>
      </c>
      <c r="B53" s="7" t="s">
        <v>3594</v>
      </c>
      <c r="C53" s="7" t="s">
        <v>2893</v>
      </c>
      <c r="D53" s="16" t="s">
        <v>360</v>
      </c>
      <c r="E53" s="7" t="s">
        <v>2934</v>
      </c>
      <c r="F53" s="57" t="n">
        <v>46148</v>
      </c>
      <c r="G53" s="57" t="n">
        <v>46878</v>
      </c>
      <c r="H53" s="16" t="str">
        <f aca="true">IF(G53&lt;TODAY(),"Expired",IF(G53-TODAY()&lt;90,"Renewal due","Valid"))</f>
        <v>Valid</v>
      </c>
    </row>
    <row r="54" customFormat="false" ht="15.75" hidden="false" customHeight="true" outlineLevel="0" collapsed="false">
      <c r="A54" s="5" t="s">
        <v>3922</v>
      </c>
      <c r="B54" s="5" t="s">
        <v>3595</v>
      </c>
      <c r="C54" s="5" t="s">
        <v>2893</v>
      </c>
      <c r="D54" s="15" t="s">
        <v>360</v>
      </c>
      <c r="E54" s="5" t="s">
        <v>2934</v>
      </c>
      <c r="F54" s="55" t="n">
        <v>46153</v>
      </c>
      <c r="G54" s="55" t="n">
        <v>46883</v>
      </c>
      <c r="H54" s="15" t="str">
        <f aca="true">IF(G54&lt;TODAY(),"Expired",IF(G54-TODAY()&lt;90,"Renewal due","Valid"))</f>
        <v>Valid</v>
      </c>
    </row>
    <row r="55" customFormat="false" ht="15.75" hidden="false" customHeight="true" outlineLevel="0" collapsed="false">
      <c r="A55" s="7" t="s">
        <v>3923</v>
      </c>
      <c r="B55" s="7" t="s">
        <v>3596</v>
      </c>
      <c r="C55" s="7" t="s">
        <v>2893</v>
      </c>
      <c r="D55" s="16" t="s">
        <v>367</v>
      </c>
      <c r="E55" s="7" t="s">
        <v>2934</v>
      </c>
      <c r="F55" s="57" t="n">
        <v>46158</v>
      </c>
      <c r="G55" s="57" t="n">
        <v>46888</v>
      </c>
      <c r="H55" s="16" t="str">
        <f aca="true">IF(G55&lt;TODAY(),"Expired",IF(G55-TODAY()&lt;90,"Renewal due","Valid"))</f>
        <v>Valid</v>
      </c>
    </row>
  </sheetData>
  <autoFilter ref="A5:H55"/>
  <mergeCells count="3">
    <mergeCell ref="A1:H1"/>
    <mergeCell ref="A2:H2"/>
    <mergeCell ref="A3:H3"/>
  </mergeCells>
  <conditionalFormatting sqref="H6:H55">
    <cfRule type="cellIs" priority="2" operator="equal" aboveAverage="0" equalAverage="0" bottom="0" percent="0" rank="0" text="" dxfId="32">
      <formula>"Expired"</formula>
    </cfRule>
    <cfRule type="cellIs" priority="3" operator="equal" aboveAverage="0" equalAverage="0" bottom="0" percent="0" rank="0" text="" dxfId="30">
      <formula>"Renewal due"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1C1C"/>
    <pageSetUpPr fitToPage="tru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3"/>
    <col collapsed="false" customWidth="true" hidden="false" outlineLevel="0" max="6" min="5" style="0" width="20"/>
    <col collapsed="false" customWidth="true" hidden="false" outlineLevel="0" max="7" min="7" style="0" width="86"/>
  </cols>
  <sheetData>
    <row r="1" customFormat="false" ht="19.5" hidden="false" customHeight="true" outlineLevel="0" collapsed="false">
      <c r="A1" s="61" t="s">
        <v>3924</v>
      </c>
      <c r="B1" s="61"/>
      <c r="C1" s="61"/>
      <c r="D1" s="61"/>
      <c r="E1" s="61"/>
      <c r="F1" s="61"/>
      <c r="G1" s="61"/>
    </row>
    <row r="2" customFormat="false" ht="27.75" hidden="false" customHeight="true" outlineLevel="0" collapsed="false">
      <c r="A2" s="62" t="s">
        <v>3925</v>
      </c>
      <c r="B2" s="62"/>
      <c r="C2" s="62"/>
      <c r="D2" s="62"/>
      <c r="E2" s="62"/>
      <c r="F2" s="62"/>
      <c r="G2" s="62"/>
    </row>
    <row r="3" customFormat="false" ht="30" hidden="false" customHeight="true" outlineLevel="0" collapsed="false">
      <c r="A3" s="63" t="s">
        <v>3926</v>
      </c>
      <c r="B3" s="63"/>
      <c r="C3" s="63"/>
      <c r="D3" s="63"/>
      <c r="E3" s="63"/>
      <c r="F3" s="63"/>
      <c r="G3" s="63"/>
    </row>
    <row r="4" customFormat="false" ht="6" hidden="false" customHeight="true" outlineLevel="0" collapsed="false"/>
    <row r="5" customFormat="false" ht="21.75" hidden="false" customHeight="true" outlineLevel="0" collapsed="false">
      <c r="A5" s="64" t="s">
        <v>80</v>
      </c>
      <c r="B5" s="64" t="s">
        <v>3927</v>
      </c>
      <c r="C5" s="64" t="s">
        <v>32</v>
      </c>
      <c r="D5" s="64"/>
      <c r="E5" s="64" t="s">
        <v>2605</v>
      </c>
      <c r="F5" s="64" t="s">
        <v>40</v>
      </c>
      <c r="G5" s="64" t="s">
        <v>3928</v>
      </c>
    </row>
    <row r="6" customFormat="false" ht="19.5" hidden="false" customHeight="true" outlineLevel="0" collapsed="false">
      <c r="A6" s="65" t="s">
        <v>3929</v>
      </c>
      <c r="B6" s="65"/>
      <c r="C6" s="65"/>
      <c r="D6" s="65"/>
      <c r="E6" s="65"/>
      <c r="F6" s="65"/>
      <c r="G6" s="65"/>
    </row>
    <row r="7" customFormat="false" ht="21.75" hidden="false" customHeight="true" outlineLevel="0" collapsed="false">
      <c r="A7" s="66" t="s">
        <v>3930</v>
      </c>
      <c r="B7" s="66" t="s">
        <v>3931</v>
      </c>
      <c r="C7" s="67" t="n">
        <f aca="false">COUNTA('10.1 TALENT REGISTER'!$A$6:$A$85)</f>
        <v>80</v>
      </c>
      <c r="D7" s="66"/>
      <c r="E7" s="66" t="s">
        <v>3932</v>
      </c>
      <c r="F7" s="66" t="s">
        <v>41</v>
      </c>
      <c r="G7" s="68" t="s">
        <v>3933</v>
      </c>
    </row>
    <row r="8" customFormat="false" ht="21.75" hidden="false" customHeight="true" outlineLevel="0" collapsed="false">
      <c r="A8" s="66"/>
      <c r="B8" s="66" t="s">
        <v>3934</v>
      </c>
      <c r="C8" s="67" t="n">
        <f aca="false">COUNTIF('10.1 TALENT REGISTER'!$C$6:$C$85,"T0")</f>
        <v>30</v>
      </c>
      <c r="D8" s="66"/>
      <c r="E8" s="66" t="s">
        <v>8</v>
      </c>
      <c r="F8" s="66" t="s">
        <v>41</v>
      </c>
      <c r="G8" s="68" t="s">
        <v>3935</v>
      </c>
    </row>
    <row r="9" customFormat="false" ht="21.75" hidden="false" customHeight="true" outlineLevel="0" collapsed="false">
      <c r="A9" s="66"/>
      <c r="B9" s="66" t="s">
        <v>3936</v>
      </c>
      <c r="C9" s="67" t="n">
        <f aca="false">COUNTIF('10.1 TALENT REGISTER'!$C$6:$C$85,"T1")</f>
        <v>22</v>
      </c>
      <c r="D9" s="66"/>
      <c r="E9" s="66" t="s">
        <v>8</v>
      </c>
      <c r="F9" s="66" t="s">
        <v>41</v>
      </c>
      <c r="G9" s="68"/>
    </row>
    <row r="10" customFormat="false" ht="21.75" hidden="false" customHeight="true" outlineLevel="0" collapsed="false">
      <c r="A10" s="66"/>
      <c r="B10" s="66" t="s">
        <v>3937</v>
      </c>
      <c r="C10" s="67" t="n">
        <f aca="false">COUNTIF('10.1 TALENT REGISTER'!$C$6:$C$85,"T2")</f>
        <v>18</v>
      </c>
      <c r="D10" s="66"/>
      <c r="E10" s="66" t="s">
        <v>8</v>
      </c>
      <c r="F10" s="66" t="s">
        <v>41</v>
      </c>
      <c r="G10" s="68"/>
    </row>
    <row r="11" customFormat="false" ht="21.75" hidden="false" customHeight="true" outlineLevel="0" collapsed="false">
      <c r="A11" s="66"/>
      <c r="B11" s="66" t="s">
        <v>3938</v>
      </c>
      <c r="C11" s="67" t="n">
        <f aca="false">COUNTIF('10.1 TALENT REGISTER'!$C$6:$C$85,"T3")</f>
        <v>8</v>
      </c>
      <c r="D11" s="66"/>
      <c r="E11" s="66" t="s">
        <v>8</v>
      </c>
      <c r="F11" s="66" t="s">
        <v>41</v>
      </c>
      <c r="G11" s="68" t="s">
        <v>3939</v>
      </c>
    </row>
    <row r="12" customFormat="false" ht="21.75" hidden="false" customHeight="true" outlineLevel="0" collapsed="false">
      <c r="A12" s="66"/>
      <c r="B12" s="66" t="s">
        <v>3940</v>
      </c>
      <c r="C12" s="67" t="n">
        <f aca="false">COUNTIF('10.1 TALENT REGISTER'!$C$6:$C$85,"T4")</f>
        <v>2</v>
      </c>
      <c r="D12" s="66"/>
      <c r="E12" s="66" t="s">
        <v>8</v>
      </c>
      <c r="F12" s="66" t="s">
        <v>43</v>
      </c>
      <c r="G12" s="68" t="s">
        <v>3941</v>
      </c>
    </row>
    <row r="13" customFormat="false" ht="21.75" hidden="false" customHeight="true" outlineLevel="0" collapsed="false">
      <c r="A13" s="66"/>
      <c r="B13" s="66" t="s">
        <v>3942</v>
      </c>
      <c r="C13" s="67" t="n">
        <f aca="false">COUNTA('10.1 TALENT REGISTER'!$A$6:$A$85)-COUNTIF('10.1 TALENT REGISTER'!$C$6:$C$85,"T0")</f>
        <v>50</v>
      </c>
      <c r="D13" s="66"/>
      <c r="E13" s="66" t="s">
        <v>8</v>
      </c>
      <c r="F13" s="66" t="s">
        <v>41</v>
      </c>
      <c r="G13" s="68" t="s">
        <v>3943</v>
      </c>
    </row>
    <row r="15" customFormat="false" ht="19.5" hidden="false" customHeight="true" outlineLevel="0" collapsed="false">
      <c r="A15" s="65" t="s">
        <v>3944</v>
      </c>
      <c r="B15" s="65"/>
      <c r="C15" s="65"/>
      <c r="D15" s="65"/>
      <c r="E15" s="65"/>
      <c r="F15" s="65"/>
      <c r="G15" s="65"/>
    </row>
    <row r="16" customFormat="false" ht="21.75" hidden="false" customHeight="true" outlineLevel="0" collapsed="false">
      <c r="A16" s="66" t="s">
        <v>3945</v>
      </c>
      <c r="B16" s="66" t="s">
        <v>3946</v>
      </c>
      <c r="C16" s="69" t="n">
        <f aca="false">IFERROR(1-COUNTIF('10.1 TALENT REGISTER'!$C$6:$C$85,"T0")/COUNTA('10.1 TALENT REGISTER'!$A$6:$A$85),0)</f>
        <v>0.625</v>
      </c>
      <c r="D16" s="66"/>
      <c r="E16" s="66" t="s">
        <v>3947</v>
      </c>
      <c r="F16" s="66" t="s">
        <v>41</v>
      </c>
      <c r="G16" s="68" t="s">
        <v>3948</v>
      </c>
    </row>
    <row r="17" customFormat="false" ht="21.75" hidden="false" customHeight="true" outlineLevel="0" collapsed="false">
      <c r="A17" s="66" t="s">
        <v>3949</v>
      </c>
      <c r="B17" s="66" t="s">
        <v>3950</v>
      </c>
      <c r="C17" s="69" t="n">
        <f aca="false">IFERROR((COUNTIF('10.1 TALENT REGISTER'!$C$6:$C$85,"T2")+COUNTIF('10.1 TALENT REGISTER'!$C$6:$C$85,"T3")+COUNTIF('10.1 TALENT REGISTER'!$C$6:$C$85,"T4"))/COUNTA('10.1 TALENT REGISTER'!$A$6:$A$85),0)</f>
        <v>0.35</v>
      </c>
      <c r="D17" s="66"/>
      <c r="E17" s="66" t="s">
        <v>3951</v>
      </c>
      <c r="F17" s="66" t="s">
        <v>41</v>
      </c>
      <c r="G17" s="68" t="s">
        <v>3952</v>
      </c>
    </row>
    <row r="18" customFormat="false" ht="21.75" hidden="false" customHeight="true" outlineLevel="0" collapsed="false">
      <c r="A18" s="66" t="s">
        <v>3953</v>
      </c>
      <c r="B18" s="66" t="s">
        <v>3954</v>
      </c>
      <c r="C18" s="69" t="n">
        <f aca="false">IFERROR(COUNTIF('10.2 VERIFICATION LOG'!$F$6:$F$55,"Passed")/COUNTA('10.2 VERIFICATION LOG'!$A$6:$A$55),0)</f>
        <v>0.9</v>
      </c>
      <c r="D18" s="66"/>
      <c r="E18" s="66" t="s">
        <v>3955</v>
      </c>
      <c r="F18" s="66" t="s">
        <v>99</v>
      </c>
      <c r="G18" s="68" t="s">
        <v>3956</v>
      </c>
    </row>
    <row r="19" customFormat="false" ht="21.75" hidden="false" customHeight="true" outlineLevel="0" collapsed="false">
      <c r="A19" s="66" t="s">
        <v>3957</v>
      </c>
      <c r="B19" s="66" t="s">
        <v>3958</v>
      </c>
      <c r="C19" s="70" t="n">
        <f aca="false">IFERROR(MEDIAN('10.2 VERIFICATION LOG'!$E$6:$E$55),0)</f>
        <v>3</v>
      </c>
      <c r="D19" s="66"/>
      <c r="E19" s="66" t="s">
        <v>3959</v>
      </c>
      <c r="F19" s="66" t="s">
        <v>99</v>
      </c>
      <c r="G19" s="68" t="s">
        <v>3960</v>
      </c>
    </row>
    <row r="20" customFormat="false" ht="21.75" hidden="false" customHeight="true" outlineLevel="0" collapsed="false">
      <c r="A20" s="66" t="s">
        <v>3961</v>
      </c>
      <c r="B20" s="66" t="s">
        <v>3962</v>
      </c>
      <c r="C20" s="69" t="n">
        <f aca="false">IFERROR(COUNTIF('10.3 ASSESSMENT LOG'!$H$6:$H$65,"&gt;=60")/COUNTA('10.3 ASSESSMENT LOG'!$A$6:$A$65),0)</f>
        <v>0.716666666666667</v>
      </c>
      <c r="D20" s="66"/>
      <c r="E20" s="66" t="s">
        <v>3963</v>
      </c>
      <c r="F20" s="66" t="s">
        <v>104</v>
      </c>
      <c r="G20" s="68" t="s">
        <v>3964</v>
      </c>
    </row>
    <row r="21" customFormat="false" ht="21.75" hidden="false" customHeight="true" outlineLevel="0" collapsed="false">
      <c r="A21" s="66" t="s">
        <v>3965</v>
      </c>
      <c r="B21" s="66" t="s">
        <v>3966</v>
      </c>
      <c r="C21" s="70" t="n">
        <f aca="false">IFERROR(MEDIAN('10.3 ASSESSMENT LOG'!$G$6:$G$65),0)</f>
        <v>2.5</v>
      </c>
      <c r="D21" s="66"/>
      <c r="E21" s="66" t="s">
        <v>3967</v>
      </c>
      <c r="F21" s="66" t="s">
        <v>104</v>
      </c>
      <c r="G21" s="68"/>
    </row>
    <row r="22" customFormat="false" ht="21.75" hidden="false" customHeight="true" outlineLevel="0" collapsed="false">
      <c r="A22" s="66"/>
      <c r="B22" s="66" t="s">
        <v>3968</v>
      </c>
      <c r="C22" s="70" t="n">
        <f aca="false">IFERROR(AVERAGE('10.3 ASSESSMENT LOG'!$H$6:$H$65),0)</f>
        <v>70.5</v>
      </c>
      <c r="D22" s="66"/>
      <c r="E22" s="66" t="s">
        <v>8</v>
      </c>
      <c r="F22" s="66" t="s">
        <v>104</v>
      </c>
      <c r="G22" s="68" t="s">
        <v>3969</v>
      </c>
    </row>
    <row r="23" customFormat="false" ht="21.75" hidden="false" customHeight="true" outlineLevel="0" collapsed="false">
      <c r="A23" s="66"/>
      <c r="B23" s="66" t="s">
        <v>3970</v>
      </c>
      <c r="C23" s="69" t="n">
        <f aca="false">IFERROR(COUNTIF('10.3 ASSESSMENT LOG'!$J$6:$J$65,"Yes")/COUNTA('10.3 ASSESSMENT LOG'!$A$6:$A$65),0)</f>
        <v>0.416666666666667</v>
      </c>
      <c r="D23" s="66"/>
      <c r="E23" s="66" t="s">
        <v>8</v>
      </c>
      <c r="F23" s="66" t="s">
        <v>41</v>
      </c>
      <c r="G23" s="68" t="s">
        <v>3971</v>
      </c>
    </row>
    <row r="25" customFormat="false" ht="19.5" hidden="false" customHeight="true" outlineLevel="0" collapsed="false">
      <c r="A25" s="65" t="s">
        <v>3972</v>
      </c>
      <c r="B25" s="65"/>
      <c r="C25" s="65"/>
      <c r="D25" s="65"/>
      <c r="E25" s="65"/>
      <c r="F25" s="65"/>
      <c r="G25" s="65"/>
    </row>
    <row r="26" customFormat="false" ht="21.75" hidden="false" customHeight="true" outlineLevel="0" collapsed="false">
      <c r="A26" s="66" t="s">
        <v>3973</v>
      </c>
      <c r="B26" s="66" t="s">
        <v>3974</v>
      </c>
      <c r="C26" s="69" t="n">
        <f aca="false">IFERROR(COUNTIF('10.1 TALENT REGISTER'!$P$6:$P$85,"&gt;0")/(COUNTA('10.1 TALENT REGISTER'!$A$6:$A$85)-COUNTIF('10.1 TALENT REGISTER'!$C$6:$C$85,"T0")),0)</f>
        <v>0.78</v>
      </c>
      <c r="D26" s="66"/>
      <c r="E26" s="66" t="s">
        <v>3975</v>
      </c>
      <c r="F26" s="66" t="s">
        <v>110</v>
      </c>
      <c r="G26" s="68" t="s">
        <v>3976</v>
      </c>
    </row>
    <row r="27" customFormat="false" ht="21.75" hidden="false" customHeight="true" outlineLevel="0" collapsed="false">
      <c r="A27" s="66"/>
      <c r="B27" s="66" t="s">
        <v>3977</v>
      </c>
      <c r="C27" s="67" t="n">
        <f aca="false">SUM('10.1 TALENT REGISTER'!$P$6:$P$85)</f>
        <v>126</v>
      </c>
      <c r="D27" s="66"/>
      <c r="E27" s="66" t="s">
        <v>8</v>
      </c>
      <c r="F27" s="66" t="s">
        <v>110</v>
      </c>
      <c r="G27" s="68"/>
    </row>
    <row r="28" customFormat="false" ht="21.75" hidden="false" customHeight="true" outlineLevel="0" collapsed="false">
      <c r="A28" s="66"/>
      <c r="B28" s="66" t="s">
        <v>3978</v>
      </c>
      <c r="C28" s="71" t="n">
        <f aca="false">IFERROR(AVERAGEIF('10.1 TALENT REGISTER'!$P$6:$P$85,"&gt;0",'10.1 TALENT REGISTER'!$Q$6:$Q$85),0)</f>
        <v>4.33846153846154</v>
      </c>
      <c r="D28" s="66"/>
      <c r="E28" s="66" t="s">
        <v>2724</v>
      </c>
      <c r="F28" s="66" t="s">
        <v>110</v>
      </c>
      <c r="G28" s="68"/>
    </row>
    <row r="29" customFormat="false" ht="21.75" hidden="false" customHeight="true" outlineLevel="0" collapsed="false">
      <c r="A29" s="66"/>
      <c r="B29" s="66" t="s">
        <v>3979</v>
      </c>
      <c r="C29" s="67" t="n">
        <f aca="false">COUNTA('10.4 POD REGISTER'!$A$6:$A$35)</f>
        <v>30</v>
      </c>
      <c r="D29" s="66"/>
      <c r="E29" s="66" t="s">
        <v>8</v>
      </c>
      <c r="F29" s="66" t="s">
        <v>110</v>
      </c>
      <c r="G29" s="68"/>
    </row>
    <row r="30" customFormat="false" ht="21.75" hidden="false" customHeight="true" outlineLevel="0" collapsed="false">
      <c r="A30" s="66"/>
      <c r="B30" s="66" t="s">
        <v>3980</v>
      </c>
      <c r="C30" s="67" t="n">
        <f aca="false">COUNTIF('10.4 POD REGISTER'!$D$6:$D$35,"Live")</f>
        <v>12</v>
      </c>
      <c r="D30" s="66"/>
      <c r="E30" s="66" t="s">
        <v>8</v>
      </c>
      <c r="F30" s="66" t="s">
        <v>114</v>
      </c>
      <c r="G30" s="68"/>
    </row>
    <row r="31" customFormat="false" ht="21.75" hidden="false" customHeight="true" outlineLevel="0" collapsed="false">
      <c r="A31" s="66" t="s">
        <v>3981</v>
      </c>
      <c r="B31" s="66" t="s">
        <v>3982</v>
      </c>
      <c r="C31" s="69" t="n">
        <f aca="false">IFERROR(COUNTIF('10.4 POD REGISTER'!$I$6:$I$35,"Yes")/COUNTA('10.4 POD REGISTER'!$A$6:$A$35),0)</f>
        <v>0.833333333333333</v>
      </c>
      <c r="D31" s="66"/>
      <c r="E31" s="66" t="s">
        <v>2710</v>
      </c>
      <c r="F31" s="66" t="s">
        <v>110</v>
      </c>
      <c r="G31" s="68"/>
    </row>
    <row r="32" customFormat="false" ht="21.75" hidden="false" customHeight="true" outlineLevel="0" collapsed="false">
      <c r="A32" s="66" t="s">
        <v>3983</v>
      </c>
      <c r="B32" s="66" t="s">
        <v>3984</v>
      </c>
      <c r="C32" s="69" t="n">
        <f aca="false">IFERROR(COUNTIF('10.4 POD REGISTER'!$J$6:$J$35,"Yes")/COUNTA('10.4 POD REGISTER'!$A$6:$A$35),0)</f>
        <v>0.8</v>
      </c>
      <c r="D32" s="66"/>
      <c r="E32" s="66" t="s">
        <v>2706</v>
      </c>
      <c r="F32" s="66" t="s">
        <v>117</v>
      </c>
      <c r="G32" s="68"/>
    </row>
    <row r="33" customFormat="false" ht="21.75" hidden="false" customHeight="true" outlineLevel="0" collapsed="false">
      <c r="A33" s="66"/>
      <c r="B33" s="66" t="s">
        <v>3985</v>
      </c>
      <c r="C33" s="69" t="n">
        <f aca="false">IFERROR(COUNTIF('10.4 POD REGISTER'!$K$6:$K$35,"Compliant")/COUNTA('10.4 POD REGISTER'!$A$6:$A$35),0)</f>
        <v>0.5</v>
      </c>
      <c r="D33" s="66"/>
      <c r="E33" s="66" t="s">
        <v>3986</v>
      </c>
      <c r="F33" s="66" t="s">
        <v>110</v>
      </c>
      <c r="G33" s="68" t="s">
        <v>3987</v>
      </c>
    </row>
    <row r="35" customFormat="false" ht="19.5" hidden="false" customHeight="true" outlineLevel="0" collapsed="false">
      <c r="A35" s="65" t="s">
        <v>3988</v>
      </c>
      <c r="B35" s="65"/>
      <c r="C35" s="65"/>
      <c r="D35" s="65"/>
      <c r="E35" s="65"/>
      <c r="F35" s="65"/>
      <c r="G35" s="65"/>
    </row>
    <row r="36" customFormat="false" ht="21.75" hidden="false" customHeight="true" outlineLevel="0" collapsed="false">
      <c r="A36" s="66" t="s">
        <v>3989</v>
      </c>
      <c r="B36" s="66" t="s">
        <v>3990</v>
      </c>
      <c r="C36" s="69" t="n">
        <f aca="false">IFERROR(COUNTIF('10.1 TALENT REGISTER'!$F$6:$F$85,"Woman")/COUNTA('10.1 TALENT REGISTER'!$A$6:$A$85),0)</f>
        <v>0.4</v>
      </c>
      <c r="D36" s="66"/>
      <c r="E36" s="66" t="s">
        <v>3991</v>
      </c>
      <c r="F36" s="66" t="s">
        <v>41</v>
      </c>
      <c r="G36" s="68" t="s">
        <v>3992</v>
      </c>
    </row>
    <row r="37" customFormat="false" ht="21.75" hidden="false" customHeight="true" outlineLevel="0" collapsed="false">
      <c r="A37" s="66"/>
      <c r="B37" s="66" t="s">
        <v>3993</v>
      </c>
      <c r="C37" s="67" t="n">
        <f aca="false">IFERROR(COUNTIFS('10.1 TALENT REGISTER'!$F$6:$F$85,"Woman",'10.1 TALENT REGISTER'!$C$6:$C$85,"T2")+COUNTIFS('10.1 TALENT REGISTER'!$F$6:$F$85,"Woman",'10.1 TALENT REGISTER'!$C$6:$C$85,"T3")+COUNTIFS('10.1 TALENT REGISTER'!$F$6:$F$85,"Woman",'10.1 TALENT REGISTER'!$C$6:$C$85,"T4"),0)</f>
        <v>10</v>
      </c>
      <c r="D37" s="66"/>
      <c r="E37" s="66" t="s">
        <v>8</v>
      </c>
      <c r="F37" s="66" t="s">
        <v>41</v>
      </c>
      <c r="G37" s="68" t="s">
        <v>3994</v>
      </c>
    </row>
    <row r="38" customFormat="false" ht="21.75" hidden="false" customHeight="true" outlineLevel="0" collapsed="false">
      <c r="A38" s="66" t="s">
        <v>3995</v>
      </c>
      <c r="B38" s="66" t="s">
        <v>3996</v>
      </c>
      <c r="C38" s="69" t="n">
        <f aca="false">IFERROR(COUNTIF('10.4 POD REGISTER'!$G$6:$G$35,"Yes")/COUNTA('10.4 POD REGISTER'!$A$6:$A$35),0)</f>
        <v>0.766666666666667</v>
      </c>
      <c r="D38" s="66"/>
      <c r="E38" s="66" t="s">
        <v>3997</v>
      </c>
      <c r="F38" s="66" t="s">
        <v>110</v>
      </c>
      <c r="G38" s="68"/>
    </row>
    <row r="39" customFormat="false" ht="21.75" hidden="false" customHeight="true" outlineLevel="0" collapsed="false">
      <c r="A39" s="66" t="s">
        <v>3998</v>
      </c>
      <c r="B39" s="66" t="s">
        <v>3999</v>
      </c>
      <c r="C39" s="69" t="n">
        <f aca="false">IFERROR(1-COUNTIF('10.1 TALENT REGISTER'!$G$6:$G$85,"Aden")/COUNTA('10.1 TALENT REGISTER'!$A$6:$A$85),0)</f>
        <v>0.65</v>
      </c>
      <c r="D39" s="66"/>
      <c r="E39" s="66" t="s">
        <v>4000</v>
      </c>
      <c r="F39" s="66" t="s">
        <v>41</v>
      </c>
      <c r="G39" s="68" t="s">
        <v>4001</v>
      </c>
    </row>
    <row r="40" customFormat="false" ht="21.75" hidden="false" customHeight="true" outlineLevel="0" collapsed="false">
      <c r="A40" s="66"/>
      <c r="B40" s="66" t="s">
        <v>4002</v>
      </c>
      <c r="C40" s="67" t="n">
        <f aca="false">COUNTIF('10.1 TALENT REGISTER'!$H$6:$H$85,"Yes")</f>
        <v>15</v>
      </c>
      <c r="D40" s="66"/>
      <c r="E40" s="66" t="s">
        <v>8</v>
      </c>
      <c r="F40" s="66" t="s">
        <v>41</v>
      </c>
      <c r="G40" s="68" t="s">
        <v>4003</v>
      </c>
    </row>
    <row r="42" customFormat="false" ht="19.5" hidden="false" customHeight="true" outlineLevel="0" collapsed="false">
      <c r="A42" s="65" t="s">
        <v>4004</v>
      </c>
      <c r="B42" s="65"/>
      <c r="C42" s="65"/>
      <c r="D42" s="65"/>
      <c r="E42" s="65"/>
      <c r="F42" s="65"/>
      <c r="G42" s="65"/>
    </row>
    <row r="43" customFormat="false" ht="21.75" hidden="false" customHeight="true" outlineLevel="0" collapsed="false">
      <c r="A43" s="66" t="s">
        <v>4005</v>
      </c>
      <c r="B43" s="66" t="s">
        <v>1965</v>
      </c>
      <c r="C43" s="69" t="n">
        <f aca="false">IFERROR(COUNTIF('10.1 TALENT REGISTER'!$I$6:$I$85,"Dormant")/COUNTA('10.1 TALENT REGISTER'!$A$6:$A$85),0)</f>
        <v>0.05</v>
      </c>
      <c r="D43" s="66"/>
      <c r="E43" s="66" t="s">
        <v>4006</v>
      </c>
      <c r="F43" s="66" t="s">
        <v>41</v>
      </c>
      <c r="G43" s="68" t="s">
        <v>4007</v>
      </c>
    </row>
    <row r="44" customFormat="false" ht="21.75" hidden="false" customHeight="true" outlineLevel="0" collapsed="false">
      <c r="A44" s="66"/>
      <c r="B44" s="66" t="s">
        <v>3554</v>
      </c>
      <c r="C44" s="67" t="n">
        <f aca="false">COUNTIF('10.1 TALENT REGISTER'!$I$6:$I$85,"Suspended")</f>
        <v>2</v>
      </c>
      <c r="D44" s="66"/>
      <c r="E44" s="66" t="s">
        <v>8</v>
      </c>
      <c r="F44" s="66" t="s">
        <v>41</v>
      </c>
      <c r="G44" s="68" t="s">
        <v>4008</v>
      </c>
    </row>
    <row r="45" customFormat="false" ht="21.75" hidden="false" customHeight="true" outlineLevel="0" collapsed="false">
      <c r="A45" s="66"/>
      <c r="B45" s="66" t="s">
        <v>3502</v>
      </c>
      <c r="C45" s="67" t="n">
        <f aca="false">COUNTIF('10.1 TALENT REGISTER'!$I$6:$I$85,"Active")</f>
        <v>74</v>
      </c>
      <c r="D45" s="66"/>
      <c r="E45" s="66" t="s">
        <v>8</v>
      </c>
      <c r="F45" s="66" t="s">
        <v>41</v>
      </c>
      <c r="G45" s="68"/>
    </row>
    <row r="46" customFormat="false" ht="21.75" hidden="false" customHeight="true" outlineLevel="0" collapsed="false">
      <c r="A46" s="66"/>
      <c r="B46" s="66" t="s">
        <v>4009</v>
      </c>
      <c r="C46" s="67" t="n">
        <f aca="false">COUNTIF('10.2 VERIFICATION LOG'!$E$6:$E$55,"&gt;4")</f>
        <v>16</v>
      </c>
      <c r="D46" s="66"/>
      <c r="E46" s="66" t="s">
        <v>4010</v>
      </c>
      <c r="F46" s="66" t="s">
        <v>41</v>
      </c>
      <c r="G46" s="68" t="s">
        <v>4011</v>
      </c>
    </row>
    <row r="47" customFormat="false" ht="21.75" hidden="false" customHeight="true" outlineLevel="0" collapsed="false">
      <c r="A47" s="66"/>
      <c r="B47" s="66" t="s">
        <v>4012</v>
      </c>
      <c r="C47" s="67" t="n">
        <f aca="false">COUNTIF('10.2 VERIFICATION LOG'!$F$6:$F$55,"Escalated")</f>
        <v>5</v>
      </c>
      <c r="D47" s="66"/>
      <c r="E47" s="66" t="s">
        <v>8</v>
      </c>
      <c r="F47" s="66" t="s">
        <v>99</v>
      </c>
      <c r="G47" s="68"/>
    </row>
    <row r="49" customFormat="false" ht="19.5" hidden="false" customHeight="true" outlineLevel="0" collapsed="false">
      <c r="A49" s="65" t="s">
        <v>4013</v>
      </c>
      <c r="B49" s="65"/>
      <c r="C49" s="65"/>
      <c r="D49" s="65"/>
      <c r="E49" s="65"/>
      <c r="F49" s="65"/>
      <c r="G49" s="65"/>
    </row>
    <row r="50" customFormat="false" ht="21.75" hidden="false" customHeight="true" outlineLevel="0" collapsed="false">
      <c r="A50" s="66" t="s">
        <v>4014</v>
      </c>
      <c r="B50" s="66" t="s">
        <v>4015</v>
      </c>
      <c r="C50" s="67" t="n">
        <f aca="false">COUNTA('10.6 CARD REGISTER'!$A$6:$A$55)</f>
        <v>50</v>
      </c>
      <c r="D50" s="66"/>
      <c r="E50" s="66" t="s">
        <v>4016</v>
      </c>
      <c r="F50" s="66" t="s">
        <v>135</v>
      </c>
      <c r="G50" s="68"/>
    </row>
    <row r="51" customFormat="false" ht="21.75" hidden="false" customHeight="true" outlineLevel="0" collapsed="false">
      <c r="A51" s="66"/>
      <c r="B51" s="66" t="s">
        <v>4017</v>
      </c>
      <c r="C51" s="67" t="n">
        <f aca="false">COUNTIF('10.6 CARD REGISTER'!$H$6:$H$55,"Valid")</f>
        <v>50</v>
      </c>
      <c r="D51" s="66"/>
      <c r="E51" s="66" t="s">
        <v>8</v>
      </c>
      <c r="F51" s="66" t="s">
        <v>135</v>
      </c>
      <c r="G51" s="68"/>
    </row>
    <row r="52" customFormat="false" ht="21.75" hidden="false" customHeight="true" outlineLevel="0" collapsed="false">
      <c r="A52" s="66"/>
      <c r="B52" s="66" t="s">
        <v>4018</v>
      </c>
      <c r="C52" s="67" t="n">
        <f aca="false">COUNTIF('10.6 CARD REGISTER'!$H$6:$H$55,"Renewal due")</f>
        <v>0</v>
      </c>
      <c r="D52" s="66"/>
      <c r="E52" s="66" t="s">
        <v>8</v>
      </c>
      <c r="F52" s="66" t="s">
        <v>135</v>
      </c>
      <c r="G52" s="68" t="s">
        <v>4019</v>
      </c>
    </row>
    <row r="53" customFormat="false" ht="21.75" hidden="false" customHeight="true" outlineLevel="0" collapsed="false">
      <c r="A53" s="66"/>
      <c r="B53" s="66" t="s">
        <v>4020</v>
      </c>
      <c r="C53" s="67" t="n">
        <f aca="false">COUNTIF('10.6 CARD REGISTER'!$H$6:$H$55,"Expired")</f>
        <v>0</v>
      </c>
      <c r="D53" s="66"/>
      <c r="E53" s="66" t="s">
        <v>4010</v>
      </c>
      <c r="F53" s="66" t="s">
        <v>135</v>
      </c>
      <c r="G53" s="68" t="s">
        <v>4021</v>
      </c>
    </row>
    <row r="54" customFormat="false" ht="21.75" hidden="false" customHeight="true" outlineLevel="0" collapsed="false">
      <c r="A54" s="66"/>
      <c r="B54" s="66" t="s">
        <v>4022</v>
      </c>
      <c r="C54" s="67" t="n">
        <f aca="false">SUMIF('10.5 POINTS LEDGER'!$E$6:$E$65,"Earned",'10.5 POINTS LEDGER'!$D$6:$D$65)</f>
        <v>1340</v>
      </c>
      <c r="D54" s="66"/>
      <c r="E54" s="66" t="s">
        <v>8</v>
      </c>
      <c r="F54" s="66" t="s">
        <v>131</v>
      </c>
      <c r="G54" s="68"/>
    </row>
    <row r="55" customFormat="false" ht="21.75" hidden="false" customHeight="true" outlineLevel="0" collapsed="false">
      <c r="A55" s="66"/>
      <c r="B55" s="66" t="s">
        <v>4023</v>
      </c>
      <c r="C55" s="67" t="n">
        <f aca="false">ABS(SUMIF('10.5 POINTS LEDGER'!$E$6:$E$65,"Redeemed",'10.5 POINTS LEDGER'!$D$6:$D$65))</f>
        <v>600</v>
      </c>
      <c r="D55" s="66"/>
      <c r="E55" s="66" t="s">
        <v>8</v>
      </c>
      <c r="F55" s="66" t="s">
        <v>131</v>
      </c>
      <c r="G55" s="68"/>
    </row>
    <row r="56" customFormat="false" ht="21.75" hidden="false" customHeight="true" outlineLevel="0" collapsed="false">
      <c r="A56" s="66"/>
      <c r="B56" s="66" t="s">
        <v>4024</v>
      </c>
      <c r="C56" s="67" t="n">
        <f aca="false">SUM('10.5 POINTS LEDGER'!$D$6:$D$65)</f>
        <v>740</v>
      </c>
      <c r="D56" s="66"/>
      <c r="E56" s="66" t="s">
        <v>8</v>
      </c>
      <c r="F56" s="66" t="s">
        <v>91</v>
      </c>
      <c r="G56" s="68" t="s">
        <v>4025</v>
      </c>
    </row>
  </sheetData>
  <mergeCells count="9">
    <mergeCell ref="A1:G1"/>
    <mergeCell ref="A2:G2"/>
    <mergeCell ref="A3:G3"/>
    <mergeCell ref="A6:G6"/>
    <mergeCell ref="A15:G15"/>
    <mergeCell ref="A25:G25"/>
    <mergeCell ref="A35:G35"/>
    <mergeCell ref="A42:G42"/>
    <mergeCell ref="A49:G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1C1C"/>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22"/>
    <col collapsed="false" customWidth="true" hidden="false" outlineLevel="0" max="4" min="4" style="0" width="32"/>
    <col collapsed="false" customWidth="true" hidden="false" outlineLevel="0" max="5" min="5" style="0" width="60"/>
    <col collapsed="false" customWidth="true" hidden="false" outlineLevel="0" max="6" min="6" style="0" width="22"/>
  </cols>
  <sheetData>
    <row r="1" customFormat="false" ht="19.5" hidden="false" customHeight="true" outlineLevel="0" collapsed="false">
      <c r="A1" s="61" t="s">
        <v>3924</v>
      </c>
      <c r="B1" s="61"/>
      <c r="C1" s="61"/>
      <c r="D1" s="61"/>
      <c r="E1" s="61"/>
      <c r="F1" s="61"/>
    </row>
    <row r="2" customFormat="false" ht="27.75" hidden="false" customHeight="true" outlineLevel="0" collapsed="false">
      <c r="A2" s="62" t="s">
        <v>4026</v>
      </c>
      <c r="B2" s="62"/>
      <c r="C2" s="62"/>
      <c r="D2" s="62"/>
      <c r="E2" s="62"/>
      <c r="F2" s="62"/>
    </row>
    <row r="3" customFormat="false" ht="30" hidden="false" customHeight="true" outlineLevel="0" collapsed="false">
      <c r="A3" s="63" t="s">
        <v>4027</v>
      </c>
      <c r="B3" s="63"/>
      <c r="C3" s="63"/>
      <c r="D3" s="63"/>
      <c r="E3" s="63"/>
      <c r="F3" s="63"/>
    </row>
    <row r="4" customFormat="false" ht="6" hidden="false" customHeight="true" outlineLevel="0" collapsed="false"/>
    <row r="5" customFormat="false" ht="30" hidden="false" customHeight="true" outlineLevel="0" collapsed="false">
      <c r="A5" s="72" t="s">
        <v>1837</v>
      </c>
      <c r="B5" s="72" t="s">
        <v>4028</v>
      </c>
      <c r="C5" s="72" t="s">
        <v>4029</v>
      </c>
      <c r="D5" s="72" t="s">
        <v>4030</v>
      </c>
      <c r="E5" s="72" t="s">
        <v>4031</v>
      </c>
      <c r="F5" s="72" t="s">
        <v>40</v>
      </c>
    </row>
    <row r="6" customFormat="false" ht="24" hidden="false" customHeight="true" outlineLevel="0" collapsed="false">
      <c r="A6" s="5" t="s">
        <v>4032</v>
      </c>
      <c r="B6" s="5" t="s">
        <v>4033</v>
      </c>
      <c r="C6" s="5"/>
      <c r="D6" s="73" t="n">
        <f aca="false">COUNTA('10.1 TALENT REGISTER'!$A$6:$A$85)</f>
        <v>80</v>
      </c>
      <c r="E6" s="6" t="s">
        <v>4034</v>
      </c>
      <c r="F6" s="5" t="s">
        <v>135</v>
      </c>
    </row>
    <row r="7" customFormat="false" ht="24" hidden="false" customHeight="true" outlineLevel="0" collapsed="false">
      <c r="A7" s="7" t="s">
        <v>1860</v>
      </c>
      <c r="B7" s="7" t="s">
        <v>4035</v>
      </c>
      <c r="C7" s="7"/>
      <c r="D7" s="74"/>
      <c r="E7" s="8" t="s">
        <v>4036</v>
      </c>
      <c r="F7" s="7" t="s">
        <v>45</v>
      </c>
    </row>
    <row r="8" customFormat="false" ht="24" hidden="false" customHeight="true" outlineLevel="0" collapsed="false">
      <c r="A8" s="5" t="s">
        <v>4037</v>
      </c>
      <c r="B8" s="5" t="s">
        <v>4038</v>
      </c>
      <c r="C8" s="5"/>
      <c r="D8" s="73"/>
      <c r="E8" s="6" t="s">
        <v>4039</v>
      </c>
      <c r="F8" s="5" t="s">
        <v>135</v>
      </c>
    </row>
    <row r="9" customFormat="false" ht="24" hidden="false" customHeight="true" outlineLevel="0" collapsed="false">
      <c r="A9" s="7" t="s">
        <v>1871</v>
      </c>
      <c r="B9" s="7" t="s">
        <v>4040</v>
      </c>
      <c r="C9" s="7"/>
      <c r="D9" s="74" t="n">
        <f aca="false">COUNTA('10.1 TALENT REGISTER'!$A$6:$A$85)</f>
        <v>80</v>
      </c>
      <c r="E9" s="8" t="s">
        <v>4041</v>
      </c>
      <c r="F9" s="7" t="s">
        <v>41</v>
      </c>
    </row>
    <row r="10" customFormat="false" ht="24" hidden="false" customHeight="true" outlineLevel="0" collapsed="false">
      <c r="A10" s="5" t="s">
        <v>1876</v>
      </c>
      <c r="B10" s="5" t="s">
        <v>4042</v>
      </c>
      <c r="C10" s="5"/>
      <c r="D10" s="73" t="n">
        <f aca="false">COUNTA('10.2 VERIFICATION LOG'!$A$6:$A$55)</f>
        <v>50</v>
      </c>
      <c r="E10" s="6" t="s">
        <v>4043</v>
      </c>
      <c r="F10" s="5" t="s">
        <v>99</v>
      </c>
    </row>
    <row r="11" customFormat="false" ht="24" hidden="false" customHeight="true" outlineLevel="0" collapsed="false">
      <c r="A11" s="7" t="s">
        <v>1881</v>
      </c>
      <c r="B11" s="7" t="s">
        <v>4044</v>
      </c>
      <c r="C11" s="7"/>
      <c r="D11" s="74" t="n">
        <f aca="false">COUNTIF('10.2 VERIFICATION LOG'!$F$6:$F$55,"Passed")</f>
        <v>45</v>
      </c>
      <c r="E11" s="8" t="s">
        <v>4045</v>
      </c>
      <c r="F11" s="7" t="s">
        <v>99</v>
      </c>
    </row>
    <row r="12" customFormat="false" ht="24" hidden="false" customHeight="true" outlineLevel="0" collapsed="false">
      <c r="A12" s="5" t="s">
        <v>1891</v>
      </c>
      <c r="B12" s="5" t="s">
        <v>4046</v>
      </c>
      <c r="C12" s="5"/>
      <c r="D12" s="73" t="n">
        <f aca="false">COUNTA('10.3 ASSESSMENT LOG'!$A$6:$A$65)</f>
        <v>60</v>
      </c>
      <c r="E12" s="6" t="s">
        <v>4047</v>
      </c>
      <c r="F12" s="5" t="s">
        <v>104</v>
      </c>
    </row>
    <row r="13" customFormat="false" ht="24" hidden="false" customHeight="true" outlineLevel="0" collapsed="false">
      <c r="A13" s="7" t="s">
        <v>1903</v>
      </c>
      <c r="B13" s="7" t="s">
        <v>4048</v>
      </c>
      <c r="C13" s="7"/>
      <c r="D13" s="74" t="n">
        <f aca="false">COUNTA('10.1 TALENT REGISTER'!$A$6:$A$85)-COUNTIF('10.1 TALENT REGISTER'!$C$6:$C$85,"T0")</f>
        <v>50</v>
      </c>
      <c r="E13" s="8" t="s">
        <v>2333</v>
      </c>
      <c r="F13" s="7" t="s">
        <v>41</v>
      </c>
    </row>
    <row r="14" customFormat="false" ht="24" hidden="false" customHeight="true" outlineLevel="0" collapsed="false">
      <c r="A14" s="5" t="s">
        <v>4049</v>
      </c>
      <c r="B14" s="5" t="s">
        <v>4050</v>
      </c>
      <c r="C14" s="5"/>
      <c r="D14" s="73" t="n">
        <f aca="false">COUNTIF('10.1 TALENT REGISTER'!$P$6:$P$85,"&gt;0")</f>
        <v>39</v>
      </c>
      <c r="E14" s="6" t="s">
        <v>4051</v>
      </c>
      <c r="F14" s="5" t="s">
        <v>110</v>
      </c>
    </row>
    <row r="15" customFormat="false" ht="24" hidden="false" customHeight="true" outlineLevel="0" collapsed="false">
      <c r="A15" s="7" t="s">
        <v>1939</v>
      </c>
      <c r="B15" s="7" t="s">
        <v>4052</v>
      </c>
      <c r="C15" s="7"/>
      <c r="D15" s="74" t="n">
        <f aca="false">COUNTIF('10.1 TALENT REGISTER'!$C$6:$C$85,"T2")+COUNTIF('10.1 TALENT REGISTER'!$C$6:$C$85,"T3")+COUNTIF('10.1 TALENT REGISTER'!$C$6:$C$85,"T4")</f>
        <v>28</v>
      </c>
      <c r="E15" s="8" t="s">
        <v>4053</v>
      </c>
      <c r="F15" s="7" t="s">
        <v>41</v>
      </c>
    </row>
    <row r="18" customFormat="false" ht="25.5" hidden="false" customHeight="true" outlineLevel="0" collapsed="false">
      <c r="A18" s="9" t="s">
        <v>4054</v>
      </c>
      <c r="B18" s="9"/>
      <c r="C18" s="9"/>
      <c r="D18" s="9"/>
      <c r="E18" s="9"/>
      <c r="F18" s="9"/>
    </row>
  </sheetData>
  <autoFilter ref="A5:F15"/>
  <mergeCells count="4">
    <mergeCell ref="A1:F1"/>
    <mergeCell ref="A2:F2"/>
    <mergeCell ref="A3:F3"/>
    <mergeCell ref="A18:F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1C1C"/>
    <pageSetUpPr fitToPage="tru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3" topLeftCell="A2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44"/>
    <col collapsed="false" customWidth="true" hidden="false" outlineLevel="0" max="4" min="4" style="0" width="30"/>
    <col collapsed="false" customWidth="true" hidden="false" outlineLevel="0" max="5" min="5" style="0" width="60"/>
    <col collapsed="false" customWidth="true" hidden="false" outlineLevel="0" max="6" min="6" style="0" width="16"/>
  </cols>
  <sheetData>
    <row r="1" customFormat="false" ht="19.5" hidden="false" customHeight="true" outlineLevel="0" collapsed="false">
      <c r="A1" s="61" t="s">
        <v>3924</v>
      </c>
      <c r="B1" s="61"/>
      <c r="C1" s="61"/>
      <c r="D1" s="61"/>
      <c r="E1" s="61"/>
      <c r="F1" s="61"/>
    </row>
    <row r="2" customFormat="false" ht="27.75" hidden="false" customHeight="true" outlineLevel="0" collapsed="false">
      <c r="A2" s="62" t="s">
        <v>4055</v>
      </c>
      <c r="B2" s="62"/>
      <c r="C2" s="62"/>
      <c r="D2" s="62"/>
      <c r="E2" s="62"/>
      <c r="F2" s="62"/>
    </row>
    <row r="3" customFormat="false" ht="30" hidden="false" customHeight="true" outlineLevel="0" collapsed="false">
      <c r="A3" s="63" t="s">
        <v>4056</v>
      </c>
      <c r="B3" s="63"/>
      <c r="C3" s="63"/>
      <c r="D3" s="63"/>
      <c r="E3" s="63"/>
      <c r="F3" s="63"/>
    </row>
    <row r="4" customFormat="false" ht="6" hidden="false" customHeight="true" outlineLevel="0" collapsed="false"/>
    <row r="5" customFormat="false" ht="30" hidden="false" customHeight="true" outlineLevel="0" collapsed="false">
      <c r="A5" s="72" t="s">
        <v>80</v>
      </c>
      <c r="B5" s="72" t="s">
        <v>4057</v>
      </c>
      <c r="C5" s="72" t="s">
        <v>2702</v>
      </c>
      <c r="D5" s="72" t="s">
        <v>4058</v>
      </c>
      <c r="E5" s="72" t="s">
        <v>4059</v>
      </c>
      <c r="F5" s="72" t="s">
        <v>4060</v>
      </c>
    </row>
    <row r="6" customFormat="false" ht="30" hidden="false" customHeight="true" outlineLevel="0" collapsed="false">
      <c r="A6" s="5" t="s">
        <v>4061</v>
      </c>
      <c r="B6" s="6" t="s">
        <v>4062</v>
      </c>
      <c r="C6" s="5" t="s">
        <v>4063</v>
      </c>
      <c r="D6" s="5" t="s">
        <v>41</v>
      </c>
      <c r="E6" s="6" t="s">
        <v>4064</v>
      </c>
      <c r="F6" s="5" t="s">
        <v>557</v>
      </c>
    </row>
    <row r="7" customFormat="false" ht="30" hidden="false" customHeight="true" outlineLevel="0" collapsed="false">
      <c r="A7" s="7" t="s">
        <v>4065</v>
      </c>
      <c r="B7" s="8" t="s">
        <v>4066</v>
      </c>
      <c r="C7" s="7" t="s">
        <v>4067</v>
      </c>
      <c r="D7" s="7" t="s">
        <v>104</v>
      </c>
      <c r="E7" s="8" t="s">
        <v>4068</v>
      </c>
      <c r="F7" s="7" t="s">
        <v>557</v>
      </c>
    </row>
    <row r="8" customFormat="false" ht="30" hidden="false" customHeight="true" outlineLevel="0" collapsed="false">
      <c r="A8" s="5" t="s">
        <v>4069</v>
      </c>
      <c r="B8" s="6" t="s">
        <v>4070</v>
      </c>
      <c r="C8" s="5" t="s">
        <v>4071</v>
      </c>
      <c r="D8" s="5" t="s">
        <v>4072</v>
      </c>
      <c r="E8" s="6" t="s">
        <v>4073</v>
      </c>
      <c r="F8" s="5" t="s">
        <v>4074</v>
      </c>
    </row>
    <row r="9" customFormat="false" ht="30" hidden="false" customHeight="true" outlineLevel="0" collapsed="false">
      <c r="A9" s="7" t="s">
        <v>4075</v>
      </c>
      <c r="B9" s="8" t="s">
        <v>4076</v>
      </c>
      <c r="C9" s="7" t="s">
        <v>4077</v>
      </c>
      <c r="D9" s="7" t="s">
        <v>107</v>
      </c>
      <c r="E9" s="8" t="s">
        <v>4078</v>
      </c>
      <c r="F9" s="7" t="s">
        <v>571</v>
      </c>
    </row>
    <row r="10" customFormat="false" ht="30" hidden="false" customHeight="true" outlineLevel="0" collapsed="false">
      <c r="A10" s="5" t="s">
        <v>4079</v>
      </c>
      <c r="B10" s="6" t="s">
        <v>4080</v>
      </c>
      <c r="C10" s="5" t="s">
        <v>4081</v>
      </c>
      <c r="D10" s="5" t="s">
        <v>4082</v>
      </c>
      <c r="E10" s="6" t="s">
        <v>4083</v>
      </c>
      <c r="F10" s="5" t="s">
        <v>557</v>
      </c>
    </row>
    <row r="11" customFormat="false" ht="30" hidden="false" customHeight="true" outlineLevel="0" collapsed="false">
      <c r="A11" s="7" t="s">
        <v>4084</v>
      </c>
      <c r="B11" s="8" t="s">
        <v>4085</v>
      </c>
      <c r="C11" s="7" t="s">
        <v>4086</v>
      </c>
      <c r="D11" s="7" t="s">
        <v>41</v>
      </c>
      <c r="E11" s="8" t="s">
        <v>4087</v>
      </c>
      <c r="F11" s="7" t="s">
        <v>571</v>
      </c>
    </row>
    <row r="12" customFormat="false" ht="30" hidden="false" customHeight="true" outlineLevel="0" collapsed="false">
      <c r="A12" s="5" t="s">
        <v>4088</v>
      </c>
      <c r="B12" s="6" t="s">
        <v>4089</v>
      </c>
      <c r="C12" s="5" t="s">
        <v>4090</v>
      </c>
      <c r="D12" s="5" t="s">
        <v>41</v>
      </c>
      <c r="E12" s="6" t="s">
        <v>4091</v>
      </c>
      <c r="F12" s="5" t="s">
        <v>571</v>
      </c>
    </row>
    <row r="13" customFormat="false" ht="30" hidden="false" customHeight="true" outlineLevel="0" collapsed="false">
      <c r="A13" s="7" t="s">
        <v>4092</v>
      </c>
      <c r="B13" s="8" t="s">
        <v>4093</v>
      </c>
      <c r="C13" s="7" t="s">
        <v>4094</v>
      </c>
      <c r="D13" s="7" t="s">
        <v>110</v>
      </c>
      <c r="E13" s="8" t="s">
        <v>4095</v>
      </c>
      <c r="F13" s="7" t="s">
        <v>571</v>
      </c>
    </row>
    <row r="14" customFormat="false" ht="30" hidden="false" customHeight="true" outlineLevel="0" collapsed="false">
      <c r="A14" s="5" t="s">
        <v>4096</v>
      </c>
      <c r="B14" s="6" t="s">
        <v>4097</v>
      </c>
      <c r="C14" s="5" t="s">
        <v>4094</v>
      </c>
      <c r="D14" s="5" t="s">
        <v>91</v>
      </c>
      <c r="E14" s="6" t="s">
        <v>4098</v>
      </c>
      <c r="F14" s="5" t="s">
        <v>4074</v>
      </c>
    </row>
    <row r="15" customFormat="false" ht="30" hidden="false" customHeight="true" outlineLevel="0" collapsed="false">
      <c r="A15" s="7" t="s">
        <v>4099</v>
      </c>
      <c r="B15" s="8" t="s">
        <v>4100</v>
      </c>
      <c r="C15" s="7" t="s">
        <v>4094</v>
      </c>
      <c r="D15" s="7" t="s">
        <v>45</v>
      </c>
      <c r="E15" s="8" t="s">
        <v>4101</v>
      </c>
      <c r="F15" s="7" t="s">
        <v>4074</v>
      </c>
    </row>
    <row r="16" customFormat="false" ht="30" hidden="false" customHeight="true" outlineLevel="0" collapsed="false">
      <c r="A16" s="5" t="s">
        <v>4102</v>
      </c>
      <c r="B16" s="6" t="s">
        <v>4103</v>
      </c>
      <c r="C16" s="5" t="s">
        <v>4094</v>
      </c>
      <c r="D16" s="5" t="s">
        <v>43</v>
      </c>
      <c r="E16" s="6" t="s">
        <v>4104</v>
      </c>
      <c r="F16" s="5" t="s">
        <v>4074</v>
      </c>
    </row>
    <row r="17" customFormat="false" ht="30" hidden="false" customHeight="true" outlineLevel="0" collapsed="false">
      <c r="A17" s="7" t="s">
        <v>4105</v>
      </c>
      <c r="B17" s="8" t="s">
        <v>4106</v>
      </c>
      <c r="C17" s="7" t="s">
        <v>4107</v>
      </c>
      <c r="D17" s="7" t="s">
        <v>114</v>
      </c>
      <c r="E17" s="8" t="s">
        <v>4108</v>
      </c>
      <c r="F17" s="7" t="s">
        <v>600</v>
      </c>
    </row>
    <row r="18" customFormat="false" ht="30" hidden="false" customHeight="true" outlineLevel="0" collapsed="false">
      <c r="A18" s="5" t="s">
        <v>4109</v>
      </c>
      <c r="B18" s="6" t="s">
        <v>4110</v>
      </c>
      <c r="C18" s="5" t="s">
        <v>4111</v>
      </c>
      <c r="D18" s="5" t="s">
        <v>45</v>
      </c>
      <c r="E18" s="6" t="s">
        <v>4112</v>
      </c>
      <c r="F18" s="5" t="s">
        <v>571</v>
      </c>
    </row>
    <row r="19" customFormat="false" ht="30" hidden="false" customHeight="true" outlineLevel="0" collapsed="false">
      <c r="A19" s="7" t="s">
        <v>4113</v>
      </c>
      <c r="B19" s="8" t="s">
        <v>4114</v>
      </c>
      <c r="C19" s="7" t="s">
        <v>4094</v>
      </c>
      <c r="D19" s="7" t="s">
        <v>43</v>
      </c>
      <c r="E19" s="8" t="s">
        <v>4115</v>
      </c>
      <c r="F19" s="7" t="s">
        <v>4074</v>
      </c>
    </row>
    <row r="20" customFormat="false" ht="30" hidden="false" customHeight="true" outlineLevel="0" collapsed="false">
      <c r="A20" s="5" t="s">
        <v>4116</v>
      </c>
      <c r="B20" s="6" t="s">
        <v>4117</v>
      </c>
      <c r="C20" s="5" t="s">
        <v>4118</v>
      </c>
      <c r="D20" s="5" t="s">
        <v>41</v>
      </c>
      <c r="E20" s="6" t="s">
        <v>4119</v>
      </c>
      <c r="F20" s="5" t="s">
        <v>4074</v>
      </c>
    </row>
    <row r="22" customFormat="false" ht="15" hidden="false" customHeight="false" outlineLevel="0" collapsed="false">
      <c r="A22" s="75" t="s">
        <v>4120</v>
      </c>
    </row>
    <row r="23" customFormat="false" ht="30" hidden="false" customHeight="true" outlineLevel="0" collapsed="false">
      <c r="A23" s="72" t="s">
        <v>1741</v>
      </c>
      <c r="B23" s="72" t="s">
        <v>4121</v>
      </c>
      <c r="C23" s="72" t="s">
        <v>2918</v>
      </c>
      <c r="D23" s="72"/>
      <c r="E23" s="72"/>
      <c r="F23" s="72"/>
    </row>
    <row r="24" customFormat="false" ht="19.5" hidden="false" customHeight="true" outlineLevel="0" collapsed="false">
      <c r="A24" s="5" t="s">
        <v>4122</v>
      </c>
      <c r="B24" s="73" t="n">
        <f aca="false">COUNTIF('10.2 VERIFICATION LOG'!$E$6:$E$55,"&gt;4")</f>
        <v>16</v>
      </c>
      <c r="C24" s="5" t="str">
        <f aca="false">IF(B24=0,"Clear","Action required")</f>
        <v>Action required</v>
      </c>
      <c r="D24" s="5"/>
      <c r="E24" s="5"/>
      <c r="F24" s="5"/>
    </row>
    <row r="25" customFormat="false" ht="19.5" hidden="false" customHeight="true" outlineLevel="0" collapsed="false">
      <c r="A25" s="7" t="s">
        <v>4123</v>
      </c>
      <c r="B25" s="74" t="n">
        <f aca="false">COUNTIF('10.3 ASSESSMENT LOG'!$G$6:$G$65,"&gt;3")</f>
        <v>15</v>
      </c>
      <c r="C25" s="7" t="str">
        <f aca="false">IF(B25=0,"Clear","Action required")</f>
        <v>Action required</v>
      </c>
      <c r="D25" s="7"/>
      <c r="E25" s="7"/>
      <c r="F25" s="7"/>
    </row>
    <row r="26" customFormat="false" ht="19.5" hidden="false" customHeight="true" outlineLevel="0" collapsed="false">
      <c r="A26" s="5" t="s">
        <v>4124</v>
      </c>
      <c r="B26" s="73" t="n">
        <f aca="false">COUNTIF('10.6 CARD REGISTER'!$H$6:$H$55,"Expired")</f>
        <v>0</v>
      </c>
      <c r="C26" s="5" t="str">
        <f aca="false">IF(B26=0,"Clear","Action required")</f>
        <v>Clear</v>
      </c>
      <c r="D26" s="5"/>
      <c r="E26" s="5"/>
      <c r="F26" s="5"/>
    </row>
    <row r="27" customFormat="false" ht="19.5" hidden="false" customHeight="true" outlineLevel="0" collapsed="false">
      <c r="A27" s="7" t="s">
        <v>4125</v>
      </c>
      <c r="B27" s="74" t="n">
        <f aca="false">COUNTIF('10.4 POD REGISTER'!$K$6:$K$35,"Review")</f>
        <v>15</v>
      </c>
      <c r="C27" s="7" t="str">
        <f aca="false">IF(B27=0,"Clear","Action required")</f>
        <v>Action required</v>
      </c>
      <c r="D27" s="7"/>
      <c r="E27" s="7"/>
      <c r="F27" s="7"/>
    </row>
    <row r="28" customFormat="false" ht="19.5" hidden="false" customHeight="true" outlineLevel="0" collapsed="false">
      <c r="A28" s="5" t="s">
        <v>4126</v>
      </c>
      <c r="B28" s="73" t="n">
        <f aca="false">COUNTIF('10.1 TALENT REGISTER'!$I$6:$I$85,"Suspended")</f>
        <v>2</v>
      </c>
      <c r="C28" s="5" t="str">
        <f aca="false">IF(B28=0,"Clear","Action required")</f>
        <v>Action required</v>
      </c>
      <c r="D28" s="5"/>
      <c r="E28" s="5"/>
      <c r="F28" s="5"/>
    </row>
  </sheetData>
  <autoFilter ref="A23:F28"/>
  <mergeCells count="3">
    <mergeCell ref="A1:F1"/>
    <mergeCell ref="A2:F2"/>
    <mergeCell ref="A3:F3"/>
  </mergeCells>
  <conditionalFormatting sqref="F6:F20">
    <cfRule type="cellIs" priority="2" operator="equal" aboveAverage="0" equalAverage="0" bottom="0" percent="0" rank="0" text="" dxfId="82">
      <formula>"Critical"</formula>
    </cfRule>
    <cfRule type="cellIs" priority="3" operator="equal" aboveAverage="0" equalAverage="0" bottom="0" percent="0" rank="0" text="" dxfId="32">
      <formula>"High"</formula>
    </cfRule>
    <cfRule type="cellIs" priority="4" operator="equal" aboveAverage="0" equalAverage="0" bottom="0" percent="0" rank="0" text="" dxfId="30">
      <formula>"Medium"</formula>
    </cfRule>
  </conditionalFormatting>
  <conditionalFormatting sqref="C24:C28">
    <cfRule type="cellIs" priority="5" operator="equal" aboveAverage="0" equalAverage="0" bottom="0" percent="0" rank="0" text="" dxfId="32">
      <formula>"Action required"</formula>
    </cfRule>
    <cfRule type="cellIs" priority="6" operator="equal" aboveAverage="0" equalAverage="0" bottom="0" percent="0" rank="0" text="" dxfId="80">
      <formula>"Clear"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1C1C"/>
    <pageSetUpPr fitToPage="tru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4"/>
    <col collapsed="false" customWidth="true" hidden="false" outlineLevel="0" max="4" min="4" style="0" width="16"/>
    <col collapsed="false" customWidth="true" hidden="false" outlineLevel="0" max="5" min="5" style="0" width="24"/>
    <col collapsed="false" customWidth="true" hidden="false" outlineLevel="0" max="6" min="6" style="0" width="26"/>
    <col collapsed="false" customWidth="true" hidden="false" outlineLevel="0" max="7" min="7" style="0" width="22"/>
  </cols>
  <sheetData>
    <row r="1" customFormat="false" ht="19.5" hidden="false" customHeight="true" outlineLevel="0" collapsed="false">
      <c r="A1" s="61" t="s">
        <v>3924</v>
      </c>
      <c r="B1" s="61"/>
      <c r="C1" s="61"/>
      <c r="D1" s="61"/>
      <c r="E1" s="61"/>
      <c r="F1" s="61"/>
      <c r="G1" s="61"/>
    </row>
    <row r="2" customFormat="false" ht="27.75" hidden="false" customHeight="true" outlineLevel="0" collapsed="false">
      <c r="A2" s="62" t="s">
        <v>4127</v>
      </c>
      <c r="B2" s="62"/>
      <c r="C2" s="62"/>
      <c r="D2" s="62"/>
      <c r="E2" s="62"/>
      <c r="F2" s="62"/>
      <c r="G2" s="62"/>
    </row>
    <row r="3" customFormat="false" ht="30" hidden="false" customHeight="true" outlineLevel="0" collapsed="false">
      <c r="A3" s="63" t="s">
        <v>4128</v>
      </c>
      <c r="B3" s="63"/>
      <c r="C3" s="63"/>
      <c r="D3" s="63"/>
      <c r="E3" s="63"/>
      <c r="F3" s="63"/>
      <c r="G3" s="63"/>
    </row>
    <row r="4" customFormat="false" ht="6" hidden="false" customHeight="true" outlineLevel="0" collapsed="false"/>
    <row r="5" customFormat="false" ht="30" hidden="false" customHeight="true" outlineLevel="0" collapsed="false">
      <c r="A5" s="72" t="s">
        <v>82</v>
      </c>
      <c r="B5" s="72" t="s">
        <v>81</v>
      </c>
      <c r="C5" s="72" t="s">
        <v>4129</v>
      </c>
      <c r="D5" s="72" t="s">
        <v>4130</v>
      </c>
      <c r="E5" s="72" t="s">
        <v>4131</v>
      </c>
      <c r="F5" s="72" t="s">
        <v>4132</v>
      </c>
      <c r="G5" s="72" t="s">
        <v>4133</v>
      </c>
    </row>
    <row r="6" customFormat="false" ht="19.5" hidden="false" customHeight="true" outlineLevel="0" collapsed="false">
      <c r="A6" s="5" t="s">
        <v>4134</v>
      </c>
      <c r="B6" s="5" t="s">
        <v>107</v>
      </c>
      <c r="C6" s="5" t="s">
        <v>4135</v>
      </c>
      <c r="D6" s="5" t="s">
        <v>4136</v>
      </c>
      <c r="E6" s="5" t="s">
        <v>4137</v>
      </c>
      <c r="F6" s="5" t="s">
        <v>4138</v>
      </c>
      <c r="G6" s="5" t="s">
        <v>4139</v>
      </c>
    </row>
    <row r="7" customFormat="false" ht="19.5" hidden="false" customHeight="true" outlineLevel="0" collapsed="false">
      <c r="A7" s="7" t="s">
        <v>3036</v>
      </c>
      <c r="B7" s="7" t="s">
        <v>99</v>
      </c>
      <c r="C7" s="7" t="s">
        <v>4140</v>
      </c>
      <c r="D7" s="7" t="s">
        <v>4136</v>
      </c>
      <c r="E7" s="7" t="s">
        <v>4141</v>
      </c>
      <c r="F7" s="7" t="s">
        <v>4142</v>
      </c>
      <c r="G7" s="7" t="s">
        <v>4143</v>
      </c>
    </row>
    <row r="8" customFormat="false" ht="19.5" hidden="false" customHeight="true" outlineLevel="0" collapsed="false">
      <c r="A8" s="5" t="s">
        <v>2221</v>
      </c>
      <c r="B8" s="5" t="s">
        <v>104</v>
      </c>
      <c r="C8" s="5" t="s">
        <v>4144</v>
      </c>
      <c r="D8" s="5" t="s">
        <v>4136</v>
      </c>
      <c r="E8" s="5" t="s">
        <v>4145</v>
      </c>
      <c r="F8" s="5" t="s">
        <v>4146</v>
      </c>
      <c r="G8" s="5" t="s">
        <v>4147</v>
      </c>
    </row>
    <row r="9" customFormat="false" ht="19.5" hidden="false" customHeight="true" outlineLevel="0" collapsed="false">
      <c r="A9" s="7" t="s">
        <v>4148</v>
      </c>
      <c r="B9" s="7" t="s">
        <v>99</v>
      </c>
      <c r="C9" s="7" t="s">
        <v>4149</v>
      </c>
      <c r="D9" s="7" t="s">
        <v>4136</v>
      </c>
      <c r="E9" s="7" t="s">
        <v>4150</v>
      </c>
      <c r="F9" s="7" t="s">
        <v>4151</v>
      </c>
      <c r="G9" s="7" t="s">
        <v>4152</v>
      </c>
    </row>
    <row r="10" customFormat="false" ht="19.5" hidden="false" customHeight="true" outlineLevel="0" collapsed="false">
      <c r="A10" s="5" t="s">
        <v>1528</v>
      </c>
      <c r="B10" s="5" t="s">
        <v>99</v>
      </c>
      <c r="C10" s="5" t="s">
        <v>4153</v>
      </c>
      <c r="D10" s="5" t="s">
        <v>4136</v>
      </c>
      <c r="E10" s="5" t="s">
        <v>4154</v>
      </c>
      <c r="F10" s="5" t="s">
        <v>4155</v>
      </c>
      <c r="G10" s="5" t="s">
        <v>4156</v>
      </c>
    </row>
    <row r="11" customFormat="false" ht="19.5" hidden="false" customHeight="true" outlineLevel="0" collapsed="false">
      <c r="A11" s="7" t="s">
        <v>2233</v>
      </c>
      <c r="B11" s="7" t="s">
        <v>41</v>
      </c>
      <c r="C11" s="7" t="s">
        <v>4157</v>
      </c>
      <c r="D11" s="7" t="s">
        <v>4136</v>
      </c>
      <c r="E11" s="7" t="s">
        <v>4158</v>
      </c>
      <c r="F11" s="7" t="s">
        <v>4159</v>
      </c>
      <c r="G11" s="7" t="s">
        <v>4160</v>
      </c>
    </row>
    <row r="12" customFormat="false" ht="19.5" hidden="false" customHeight="true" outlineLevel="0" collapsed="false">
      <c r="A12" s="5" t="s">
        <v>4161</v>
      </c>
      <c r="B12" s="5" t="s">
        <v>114</v>
      </c>
      <c r="C12" s="5" t="s">
        <v>4162</v>
      </c>
      <c r="D12" s="5" t="s">
        <v>4136</v>
      </c>
      <c r="E12" s="5" t="s">
        <v>4163</v>
      </c>
      <c r="F12" s="5" t="s">
        <v>4164</v>
      </c>
      <c r="G12" s="5" t="s">
        <v>4165</v>
      </c>
    </row>
    <row r="13" customFormat="false" ht="19.5" hidden="false" customHeight="true" outlineLevel="0" collapsed="false">
      <c r="A13" s="7" t="s">
        <v>4166</v>
      </c>
      <c r="B13" s="7" t="s">
        <v>131</v>
      </c>
      <c r="C13" s="7" t="s">
        <v>4167</v>
      </c>
      <c r="D13" s="7" t="s">
        <v>4136</v>
      </c>
      <c r="E13" s="7" t="s">
        <v>4168</v>
      </c>
      <c r="F13" s="7" t="s">
        <v>4169</v>
      </c>
      <c r="G13" s="7" t="s">
        <v>4170</v>
      </c>
    </row>
    <row r="17" customFormat="false" ht="30" hidden="false" customHeight="true" outlineLevel="0" collapsed="false">
      <c r="A17" s="72" t="s">
        <v>2872</v>
      </c>
      <c r="B17" s="72" t="s">
        <v>4</v>
      </c>
    </row>
    <row r="18" customFormat="false" ht="39.75" hidden="false" customHeight="true" outlineLevel="0" collapsed="false">
      <c r="A18" s="5" t="s">
        <v>4171</v>
      </c>
      <c r="B18" s="6" t="s">
        <v>4172</v>
      </c>
    </row>
    <row r="19" customFormat="false" ht="39.75" hidden="false" customHeight="true" outlineLevel="0" collapsed="false">
      <c r="A19" s="7" t="s">
        <v>4173</v>
      </c>
      <c r="B19" s="8" t="s">
        <v>4174</v>
      </c>
    </row>
    <row r="20" customFormat="false" ht="39.75" hidden="false" customHeight="true" outlineLevel="0" collapsed="false">
      <c r="A20" s="5" t="s">
        <v>4175</v>
      </c>
      <c r="B20" s="6" t="s">
        <v>4176</v>
      </c>
    </row>
    <row r="21" customFormat="false" ht="39.75" hidden="false" customHeight="true" outlineLevel="0" collapsed="false">
      <c r="A21" s="7" t="s">
        <v>4177</v>
      </c>
      <c r="B21" s="8" t="s">
        <v>4178</v>
      </c>
    </row>
    <row r="22" customFormat="false" ht="39.75" hidden="false" customHeight="true" outlineLevel="0" collapsed="false">
      <c r="A22" s="5" t="s">
        <v>4179</v>
      </c>
      <c r="B22" s="6" t="s">
        <v>4180</v>
      </c>
    </row>
    <row r="23" customFormat="false" ht="39.75" hidden="false" customHeight="true" outlineLevel="0" collapsed="false">
      <c r="A23" s="7" t="s">
        <v>4181</v>
      </c>
      <c r="B23" s="8" t="s">
        <v>4182</v>
      </c>
    </row>
  </sheetData>
  <autoFilter ref="A17:B23"/>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4A32"/>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92"/>
    <col collapsed="false" customWidth="true" hidden="false" outlineLevel="0" max="4" min="4" style="0" width="86"/>
    <col collapsed="false" customWidth="true" hidden="false" outlineLevel="0" max="6" min="5" style="0" width="20"/>
    <col collapsed="false" customWidth="true" hidden="false" outlineLevel="0" max="7" min="7" style="0" width="80"/>
  </cols>
  <sheetData>
    <row r="1" customFormat="false" ht="19.5" hidden="false" customHeight="true" outlineLevel="0" collapsed="false">
      <c r="A1" s="76" t="s">
        <v>4183</v>
      </c>
      <c r="B1" s="76"/>
      <c r="C1" s="76"/>
      <c r="D1" s="76"/>
      <c r="E1" s="76"/>
      <c r="F1" s="76"/>
      <c r="G1" s="76"/>
    </row>
    <row r="2" customFormat="false" ht="27.75" hidden="false" customHeight="true" outlineLevel="0" collapsed="false">
      <c r="A2" s="77" t="s">
        <v>4184</v>
      </c>
      <c r="B2" s="77"/>
      <c r="C2" s="77"/>
      <c r="D2" s="77"/>
      <c r="E2" s="77"/>
      <c r="F2" s="77"/>
      <c r="G2" s="77"/>
    </row>
    <row r="3" customFormat="false" ht="30" hidden="false" customHeight="true" outlineLevel="0" collapsed="false">
      <c r="A3" s="78" t="s">
        <v>4185</v>
      </c>
      <c r="B3" s="78"/>
      <c r="C3" s="78"/>
      <c r="D3" s="78"/>
      <c r="E3" s="78"/>
      <c r="F3" s="78"/>
      <c r="G3" s="78"/>
    </row>
    <row r="4" customFormat="false" ht="6" hidden="false" customHeight="true" outlineLevel="0" collapsed="false"/>
    <row r="5" customFormat="false" ht="30" hidden="false" customHeight="true" outlineLevel="0" collapsed="false">
      <c r="A5" s="79" t="s">
        <v>4186</v>
      </c>
      <c r="B5" s="79" t="s">
        <v>339</v>
      </c>
      <c r="C5" s="79" t="s">
        <v>604</v>
      </c>
      <c r="D5" s="79" t="s">
        <v>4187</v>
      </c>
      <c r="E5" s="79" t="s">
        <v>40</v>
      </c>
      <c r="F5" s="79" t="s">
        <v>4188</v>
      </c>
      <c r="G5" s="79" t="s">
        <v>4189</v>
      </c>
    </row>
    <row r="6" customFormat="false" ht="48" hidden="false" customHeight="true" outlineLevel="0" collapsed="false">
      <c r="A6" s="5" t="s">
        <v>4190</v>
      </c>
      <c r="B6" s="5" t="s">
        <v>4191</v>
      </c>
      <c r="C6" s="6" t="s">
        <v>4192</v>
      </c>
      <c r="D6" s="6" t="s">
        <v>4193</v>
      </c>
      <c r="E6" s="5" t="s">
        <v>45</v>
      </c>
      <c r="F6" s="5" t="s">
        <v>4194</v>
      </c>
      <c r="G6" s="6" t="s">
        <v>4195</v>
      </c>
    </row>
    <row r="7" customFormat="false" ht="48" hidden="false" customHeight="true" outlineLevel="0" collapsed="false">
      <c r="A7" s="7" t="s">
        <v>4196</v>
      </c>
      <c r="B7" s="7" t="s">
        <v>4197</v>
      </c>
      <c r="C7" s="8" t="s">
        <v>4198</v>
      </c>
      <c r="D7" s="8" t="s">
        <v>4199</v>
      </c>
      <c r="E7" s="7" t="s">
        <v>45</v>
      </c>
      <c r="F7" s="7" t="s">
        <v>4200</v>
      </c>
      <c r="G7" s="8" t="s">
        <v>4201</v>
      </c>
    </row>
    <row r="8" customFormat="false" ht="48" hidden="false" customHeight="true" outlineLevel="0" collapsed="false">
      <c r="A8" s="5" t="s">
        <v>4202</v>
      </c>
      <c r="B8" s="5" t="s">
        <v>173</v>
      </c>
      <c r="C8" s="6" t="s">
        <v>4203</v>
      </c>
      <c r="D8" s="6" t="s">
        <v>4204</v>
      </c>
      <c r="E8" s="5" t="s">
        <v>45</v>
      </c>
      <c r="F8" s="5" t="s">
        <v>4205</v>
      </c>
      <c r="G8" s="6" t="s">
        <v>4206</v>
      </c>
    </row>
    <row r="9" customFormat="false" ht="48" hidden="false" customHeight="true" outlineLevel="0" collapsed="false">
      <c r="A9" s="7" t="s">
        <v>4207</v>
      </c>
      <c r="B9" s="7" t="s">
        <v>4208</v>
      </c>
      <c r="C9" s="8" t="s">
        <v>4209</v>
      </c>
      <c r="D9" s="8" t="s">
        <v>4210</v>
      </c>
      <c r="E9" s="7" t="s">
        <v>45</v>
      </c>
      <c r="F9" s="7" t="s">
        <v>4211</v>
      </c>
      <c r="G9" s="8" t="s">
        <v>4212</v>
      </c>
    </row>
    <row r="10" customFormat="false" ht="48" hidden="false" customHeight="true" outlineLevel="0" collapsed="false">
      <c r="A10" s="5" t="s">
        <v>4213</v>
      </c>
      <c r="B10" s="5" t="s">
        <v>4214</v>
      </c>
      <c r="C10" s="6" t="s">
        <v>4215</v>
      </c>
      <c r="D10" s="6" t="s">
        <v>4216</v>
      </c>
      <c r="E10" s="5" t="s">
        <v>45</v>
      </c>
      <c r="F10" s="5" t="s">
        <v>4217</v>
      </c>
      <c r="G10" s="6" t="s">
        <v>4218</v>
      </c>
    </row>
    <row r="11" customFormat="false" ht="48" hidden="false" customHeight="true" outlineLevel="0" collapsed="false">
      <c r="A11" s="7" t="s">
        <v>4219</v>
      </c>
      <c r="B11" s="7" t="s">
        <v>4220</v>
      </c>
      <c r="C11" s="8" t="s">
        <v>4221</v>
      </c>
      <c r="D11" s="8" t="s">
        <v>4222</v>
      </c>
      <c r="E11" s="7" t="s">
        <v>45</v>
      </c>
      <c r="F11" s="7" t="s">
        <v>4223</v>
      </c>
      <c r="G11" s="8" t="s">
        <v>4224</v>
      </c>
    </row>
    <row r="12" customFormat="false" ht="48" hidden="false" customHeight="true" outlineLevel="0" collapsed="false">
      <c r="A12" s="5" t="s">
        <v>4225</v>
      </c>
      <c r="B12" s="5" t="s">
        <v>4226</v>
      </c>
      <c r="C12" s="6" t="s">
        <v>4227</v>
      </c>
      <c r="D12" s="6" t="s">
        <v>4228</v>
      </c>
      <c r="E12" s="5" t="s">
        <v>45</v>
      </c>
      <c r="F12" s="5" t="s">
        <v>4229</v>
      </c>
      <c r="G12" s="6" t="s">
        <v>4230</v>
      </c>
    </row>
    <row r="13" customFormat="false" ht="48" hidden="false" customHeight="true" outlineLevel="0" collapsed="false">
      <c r="A13" s="7" t="s">
        <v>4231</v>
      </c>
      <c r="B13" s="7" t="s">
        <v>4232</v>
      </c>
      <c r="C13" s="8" t="s">
        <v>4233</v>
      </c>
      <c r="D13" s="8" t="s">
        <v>4234</v>
      </c>
      <c r="E13" s="7" t="s">
        <v>45</v>
      </c>
      <c r="F13" s="7" t="s">
        <v>4235</v>
      </c>
      <c r="G13" s="8" t="s">
        <v>4236</v>
      </c>
    </row>
    <row r="14" customFormat="false" ht="48" hidden="false" customHeight="true" outlineLevel="0" collapsed="false">
      <c r="A14" s="5" t="s">
        <v>4237</v>
      </c>
      <c r="B14" s="5" t="s">
        <v>4238</v>
      </c>
      <c r="C14" s="6" t="s">
        <v>4239</v>
      </c>
      <c r="D14" s="6" t="s">
        <v>4240</v>
      </c>
      <c r="E14" s="5" t="s">
        <v>45</v>
      </c>
      <c r="F14" s="5" t="s">
        <v>4241</v>
      </c>
      <c r="G14" s="6" t="s">
        <v>4242</v>
      </c>
    </row>
  </sheetData>
  <autoFilter ref="A5:G14"/>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4A32"/>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84"/>
    <col collapsed="false" customWidth="true" hidden="false" outlineLevel="0" max="4" min="4" style="0" width="80"/>
    <col collapsed="false" customWidth="true" hidden="false" outlineLevel="0" max="5" min="5" style="0" width="66"/>
    <col collapsed="false" customWidth="true" hidden="false" outlineLevel="0" max="6" min="6" style="0" width="72"/>
  </cols>
  <sheetData>
    <row r="1" customFormat="false" ht="19.5" hidden="false" customHeight="true" outlineLevel="0" collapsed="false">
      <c r="A1" s="76" t="s">
        <v>4183</v>
      </c>
      <c r="B1" s="76"/>
      <c r="C1" s="76"/>
      <c r="D1" s="76"/>
      <c r="E1" s="76"/>
      <c r="F1" s="76"/>
    </row>
    <row r="2" customFormat="false" ht="27.75" hidden="false" customHeight="true" outlineLevel="0" collapsed="false">
      <c r="A2" s="77" t="s">
        <v>4243</v>
      </c>
      <c r="B2" s="77"/>
      <c r="C2" s="77"/>
      <c r="D2" s="77"/>
      <c r="E2" s="77"/>
      <c r="F2" s="77"/>
    </row>
    <row r="3" customFormat="false" ht="30" hidden="false" customHeight="true" outlineLevel="0" collapsed="false">
      <c r="A3" s="78" t="s">
        <v>4244</v>
      </c>
      <c r="B3" s="78"/>
      <c r="C3" s="78"/>
      <c r="D3" s="78"/>
      <c r="E3" s="78"/>
      <c r="F3" s="78"/>
    </row>
    <row r="4" customFormat="false" ht="6" hidden="false" customHeight="true" outlineLevel="0" collapsed="false"/>
    <row r="5" customFormat="false" ht="30" hidden="false" customHeight="true" outlineLevel="0" collapsed="false">
      <c r="A5" s="79" t="s">
        <v>4245</v>
      </c>
      <c r="B5" s="79" t="s">
        <v>4246</v>
      </c>
      <c r="C5" s="79" t="s">
        <v>4247</v>
      </c>
      <c r="D5" s="79" t="s">
        <v>4248</v>
      </c>
      <c r="E5" s="79" t="s">
        <v>4249</v>
      </c>
      <c r="F5" s="79" t="s">
        <v>4250</v>
      </c>
    </row>
    <row r="6" customFormat="false" ht="63.75" hidden="false" customHeight="true" outlineLevel="0" collapsed="false">
      <c r="A6" s="5" t="s">
        <v>4251</v>
      </c>
      <c r="B6" s="5" t="s">
        <v>4252</v>
      </c>
      <c r="C6" s="6" t="s">
        <v>4253</v>
      </c>
      <c r="D6" s="6" t="s">
        <v>4254</v>
      </c>
      <c r="E6" s="6" t="s">
        <v>4255</v>
      </c>
      <c r="F6" s="6" t="s">
        <v>4256</v>
      </c>
    </row>
    <row r="7" customFormat="false" ht="63.75" hidden="false" customHeight="true" outlineLevel="0" collapsed="false">
      <c r="A7" s="7" t="s">
        <v>4257</v>
      </c>
      <c r="B7" s="7" t="s">
        <v>4258</v>
      </c>
      <c r="C7" s="8" t="s">
        <v>4259</v>
      </c>
      <c r="D7" s="8" t="s">
        <v>4260</v>
      </c>
      <c r="E7" s="8" t="s">
        <v>4261</v>
      </c>
      <c r="F7" s="8" t="s">
        <v>4262</v>
      </c>
    </row>
    <row r="8" customFormat="false" ht="63.75" hidden="false" customHeight="true" outlineLevel="0" collapsed="false">
      <c r="A8" s="5" t="s">
        <v>4263</v>
      </c>
      <c r="B8" s="5" t="s">
        <v>4264</v>
      </c>
      <c r="C8" s="6" t="s">
        <v>4265</v>
      </c>
      <c r="D8" s="6" t="s">
        <v>4266</v>
      </c>
      <c r="E8" s="6" t="s">
        <v>4267</v>
      </c>
      <c r="F8" s="6" t="s">
        <v>4268</v>
      </c>
    </row>
    <row r="9" customFormat="false" ht="63.75" hidden="false" customHeight="true" outlineLevel="0" collapsed="false">
      <c r="A9" s="7" t="s">
        <v>4269</v>
      </c>
      <c r="B9" s="7" t="s">
        <v>4270</v>
      </c>
      <c r="C9" s="8" t="s">
        <v>4271</v>
      </c>
      <c r="D9" s="8" t="s">
        <v>4272</v>
      </c>
      <c r="E9" s="8" t="s">
        <v>4273</v>
      </c>
      <c r="F9" s="8" t="s">
        <v>4274</v>
      </c>
    </row>
    <row r="10" customFormat="false" ht="63.75" hidden="false" customHeight="true" outlineLevel="0" collapsed="false">
      <c r="A10" s="5" t="s">
        <v>4275</v>
      </c>
      <c r="B10" s="5" t="s">
        <v>4214</v>
      </c>
      <c r="C10" s="6" t="s">
        <v>4276</v>
      </c>
      <c r="D10" s="6" t="s">
        <v>4277</v>
      </c>
      <c r="E10" s="6" t="s">
        <v>4278</v>
      </c>
      <c r="F10" s="6" t="s">
        <v>4279</v>
      </c>
    </row>
    <row r="11" customFormat="false" ht="63.75" hidden="false" customHeight="true" outlineLevel="0" collapsed="false">
      <c r="A11" s="7" t="s">
        <v>4280</v>
      </c>
      <c r="B11" s="7" t="s">
        <v>4220</v>
      </c>
      <c r="C11" s="8" t="s">
        <v>4281</v>
      </c>
      <c r="D11" s="8" t="s">
        <v>4282</v>
      </c>
      <c r="E11" s="8" t="s">
        <v>4283</v>
      </c>
      <c r="F11" s="8" t="s">
        <v>4284</v>
      </c>
    </row>
    <row r="12" customFormat="false" ht="63.75" hidden="false" customHeight="true" outlineLevel="0" collapsed="false">
      <c r="A12" s="5" t="s">
        <v>4285</v>
      </c>
      <c r="B12" s="5" t="s">
        <v>4286</v>
      </c>
      <c r="C12" s="6" t="s">
        <v>4287</v>
      </c>
      <c r="D12" s="6" t="s">
        <v>4288</v>
      </c>
      <c r="E12" s="6" t="s">
        <v>4289</v>
      </c>
      <c r="F12" s="6" t="s">
        <v>4290</v>
      </c>
    </row>
    <row r="13" customFormat="false" ht="63.75" hidden="false" customHeight="true" outlineLevel="0" collapsed="false">
      <c r="A13" s="7" t="s">
        <v>4291</v>
      </c>
      <c r="B13" s="7" t="s">
        <v>4232</v>
      </c>
      <c r="C13" s="8" t="s">
        <v>4292</v>
      </c>
      <c r="D13" s="8" t="s">
        <v>4293</v>
      </c>
      <c r="E13" s="8" t="s">
        <v>4294</v>
      </c>
      <c r="F13" s="8" t="s">
        <v>4295</v>
      </c>
    </row>
    <row r="14" customFormat="false" ht="63.75" hidden="false" customHeight="true" outlineLevel="0" collapsed="false">
      <c r="A14" s="5" t="s">
        <v>4296</v>
      </c>
      <c r="B14" s="5" t="s">
        <v>4238</v>
      </c>
      <c r="C14" s="6" t="s">
        <v>4297</v>
      </c>
      <c r="D14" s="6" t="s">
        <v>4298</v>
      </c>
      <c r="E14" s="6" t="s">
        <v>4299</v>
      </c>
      <c r="F14" s="6" t="s">
        <v>4300</v>
      </c>
    </row>
  </sheetData>
  <autoFilter ref="A5:F14"/>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4A32"/>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26"/>
    <col collapsed="false" customWidth="true" hidden="false" outlineLevel="0" max="4" min="4" style="0" width="42"/>
    <col collapsed="false" customWidth="true" hidden="false" outlineLevel="0" max="6" min="5" style="0" width="30"/>
  </cols>
  <sheetData>
    <row r="1" customFormat="false" ht="19.5" hidden="false" customHeight="true" outlineLevel="0" collapsed="false">
      <c r="A1" s="76" t="s">
        <v>4183</v>
      </c>
      <c r="B1" s="76"/>
      <c r="C1" s="76"/>
      <c r="D1" s="76"/>
      <c r="E1" s="76"/>
      <c r="F1" s="76"/>
    </row>
    <row r="2" customFormat="false" ht="27.75" hidden="false" customHeight="true" outlineLevel="0" collapsed="false">
      <c r="A2" s="77" t="s">
        <v>4301</v>
      </c>
      <c r="B2" s="77"/>
      <c r="C2" s="77"/>
      <c r="D2" s="77"/>
      <c r="E2" s="77"/>
      <c r="F2" s="77"/>
    </row>
    <row r="3" customFormat="false" ht="30" hidden="false" customHeight="true" outlineLevel="0" collapsed="false">
      <c r="A3" s="78" t="s">
        <v>4302</v>
      </c>
      <c r="B3" s="78"/>
      <c r="C3" s="78"/>
      <c r="D3" s="78"/>
      <c r="E3" s="78"/>
      <c r="F3" s="78"/>
    </row>
    <row r="4" customFormat="false" ht="6" hidden="false" customHeight="true" outlineLevel="0" collapsed="false"/>
    <row r="5" customFormat="false" ht="30" hidden="false" customHeight="true" outlineLevel="0" collapsed="false">
      <c r="A5" s="79" t="s">
        <v>4303</v>
      </c>
      <c r="B5" s="79" t="s">
        <v>4304</v>
      </c>
      <c r="C5" s="79" t="s">
        <v>4305</v>
      </c>
      <c r="D5" s="79" t="s">
        <v>4306</v>
      </c>
      <c r="E5" s="79" t="s">
        <v>4307</v>
      </c>
      <c r="F5" s="79" t="s">
        <v>4308</v>
      </c>
    </row>
    <row r="6" customFormat="false" ht="21.75" hidden="false" customHeight="true" outlineLevel="0" collapsed="false">
      <c r="A6" s="5" t="s">
        <v>4309</v>
      </c>
      <c r="B6" s="5" t="s">
        <v>43</v>
      </c>
      <c r="C6" s="5" t="s">
        <v>41</v>
      </c>
      <c r="D6" s="6" t="s">
        <v>4310</v>
      </c>
      <c r="E6" s="5" t="s">
        <v>4311</v>
      </c>
      <c r="F6" s="5" t="s">
        <v>4312</v>
      </c>
    </row>
    <row r="7" customFormat="false" ht="21.75" hidden="false" customHeight="true" outlineLevel="0" collapsed="false">
      <c r="A7" s="7" t="s">
        <v>4313</v>
      </c>
      <c r="B7" s="7" t="s">
        <v>41</v>
      </c>
      <c r="C7" s="7" t="s">
        <v>4314</v>
      </c>
      <c r="D7" s="8" t="s">
        <v>110</v>
      </c>
      <c r="E7" s="7" t="s">
        <v>95</v>
      </c>
      <c r="F7" s="7" t="s">
        <v>2225</v>
      </c>
    </row>
    <row r="8" customFormat="false" ht="21.75" hidden="false" customHeight="true" outlineLevel="0" collapsed="false">
      <c r="A8" s="5" t="s">
        <v>4315</v>
      </c>
      <c r="B8" s="5" t="s">
        <v>43</v>
      </c>
      <c r="C8" s="5" t="s">
        <v>468</v>
      </c>
      <c r="D8" s="6" t="s">
        <v>110</v>
      </c>
      <c r="E8" s="5" t="s">
        <v>4311</v>
      </c>
      <c r="F8" s="5" t="s">
        <v>4316</v>
      </c>
    </row>
    <row r="9" customFormat="false" ht="21.75" hidden="false" customHeight="true" outlineLevel="0" collapsed="false">
      <c r="A9" s="7" t="s">
        <v>3036</v>
      </c>
      <c r="B9" s="7" t="s">
        <v>99</v>
      </c>
      <c r="C9" s="7" t="s">
        <v>99</v>
      </c>
      <c r="D9" s="8" t="s">
        <v>41</v>
      </c>
      <c r="E9" s="7" t="s">
        <v>95</v>
      </c>
      <c r="F9" s="7" t="s">
        <v>1949</v>
      </c>
    </row>
    <row r="10" customFormat="false" ht="21.75" hidden="false" customHeight="true" outlineLevel="0" collapsed="false">
      <c r="A10" s="5" t="s">
        <v>4317</v>
      </c>
      <c r="B10" s="5" t="s">
        <v>158</v>
      </c>
      <c r="C10" s="5" t="s">
        <v>99</v>
      </c>
      <c r="D10" s="6" t="s">
        <v>43</v>
      </c>
      <c r="E10" s="5" t="s">
        <v>41</v>
      </c>
      <c r="F10" s="5" t="s">
        <v>4318</v>
      </c>
    </row>
    <row r="11" customFormat="false" ht="21.75" hidden="false" customHeight="true" outlineLevel="0" collapsed="false">
      <c r="A11" s="7" t="s">
        <v>4319</v>
      </c>
      <c r="B11" s="7" t="s">
        <v>104</v>
      </c>
      <c r="C11" s="7" t="s">
        <v>4320</v>
      </c>
      <c r="D11" s="8" t="s">
        <v>127</v>
      </c>
      <c r="E11" s="7" t="s">
        <v>41</v>
      </c>
      <c r="F11" s="7" t="s">
        <v>4321</v>
      </c>
    </row>
    <row r="12" customFormat="false" ht="21.75" hidden="false" customHeight="true" outlineLevel="0" collapsed="false">
      <c r="A12" s="5" t="s">
        <v>2221</v>
      </c>
      <c r="B12" s="5" t="s">
        <v>104</v>
      </c>
      <c r="C12" s="5" t="s">
        <v>104</v>
      </c>
      <c r="D12" s="6" t="s">
        <v>4322</v>
      </c>
      <c r="E12" s="5" t="s">
        <v>95</v>
      </c>
      <c r="F12" s="5" t="s">
        <v>1949</v>
      </c>
    </row>
    <row r="13" customFormat="false" ht="21.75" hidden="false" customHeight="true" outlineLevel="0" collapsed="false">
      <c r="A13" s="7" t="s">
        <v>4323</v>
      </c>
      <c r="B13" s="7" t="s">
        <v>41</v>
      </c>
      <c r="C13" s="7" t="s">
        <v>41</v>
      </c>
      <c r="D13" s="8" t="s">
        <v>104</v>
      </c>
      <c r="E13" s="7" t="s">
        <v>43</v>
      </c>
      <c r="F13" s="7" t="s">
        <v>2225</v>
      </c>
    </row>
    <row r="14" customFormat="false" ht="21.75" hidden="false" customHeight="true" outlineLevel="0" collapsed="false">
      <c r="A14" s="5" t="s">
        <v>2663</v>
      </c>
      <c r="B14" s="5" t="s">
        <v>110</v>
      </c>
      <c r="C14" s="5" t="s">
        <v>114</v>
      </c>
      <c r="D14" s="6" t="s">
        <v>41</v>
      </c>
      <c r="E14" s="5" t="s">
        <v>2680</v>
      </c>
      <c r="F14" s="5" t="s">
        <v>4324</v>
      </c>
    </row>
    <row r="15" customFormat="false" ht="21.75" hidden="false" customHeight="true" outlineLevel="0" collapsed="false">
      <c r="A15" s="7" t="s">
        <v>4325</v>
      </c>
      <c r="B15" s="7" t="s">
        <v>110</v>
      </c>
      <c r="C15" s="7" t="s">
        <v>2680</v>
      </c>
      <c r="D15" s="8" t="s">
        <v>114</v>
      </c>
      <c r="E15" s="7" t="s">
        <v>41</v>
      </c>
      <c r="F15" s="7" t="s">
        <v>4324</v>
      </c>
    </row>
    <row r="16" customFormat="false" ht="21.75" hidden="false" customHeight="true" outlineLevel="0" collapsed="false">
      <c r="A16" s="5" t="s">
        <v>4326</v>
      </c>
      <c r="B16" s="5" t="s">
        <v>117</v>
      </c>
      <c r="C16" s="5" t="s">
        <v>117</v>
      </c>
      <c r="D16" s="6" t="s">
        <v>2680</v>
      </c>
      <c r="E16" s="5" t="s">
        <v>110</v>
      </c>
      <c r="F16" s="5" t="s">
        <v>4327</v>
      </c>
    </row>
    <row r="17" customFormat="false" ht="21.75" hidden="false" customHeight="true" outlineLevel="0" collapsed="false">
      <c r="A17" s="7" t="s">
        <v>4328</v>
      </c>
      <c r="B17" s="7" t="s">
        <v>91</v>
      </c>
      <c r="C17" s="7" t="s">
        <v>91</v>
      </c>
      <c r="D17" s="8" t="s">
        <v>110</v>
      </c>
      <c r="E17" s="7" t="s">
        <v>95</v>
      </c>
      <c r="F17" s="7" t="s">
        <v>4329</v>
      </c>
    </row>
    <row r="18" customFormat="false" ht="21.75" hidden="false" customHeight="true" outlineLevel="0" collapsed="false">
      <c r="A18" s="5" t="s">
        <v>4330</v>
      </c>
      <c r="B18" s="5" t="s">
        <v>41</v>
      </c>
      <c r="C18" s="5" t="s">
        <v>41</v>
      </c>
      <c r="D18" s="6" t="s">
        <v>4331</v>
      </c>
      <c r="E18" s="5" t="s">
        <v>95</v>
      </c>
      <c r="F18" s="5" t="s">
        <v>4318</v>
      </c>
    </row>
    <row r="19" customFormat="false" ht="21.75" hidden="false" customHeight="true" outlineLevel="0" collapsed="false">
      <c r="A19" s="7" t="s">
        <v>2243</v>
      </c>
      <c r="B19" s="7" t="s">
        <v>2244</v>
      </c>
      <c r="C19" s="7" t="s">
        <v>4332</v>
      </c>
      <c r="D19" s="8" t="s">
        <v>158</v>
      </c>
      <c r="E19" s="7" t="s">
        <v>43</v>
      </c>
      <c r="F19" s="7" t="s">
        <v>4333</v>
      </c>
    </row>
    <row r="20" customFormat="false" ht="21.75" hidden="false" customHeight="true" outlineLevel="0" collapsed="false">
      <c r="A20" s="5" t="s">
        <v>4334</v>
      </c>
      <c r="B20" s="5" t="s">
        <v>43</v>
      </c>
      <c r="C20" s="5" t="s">
        <v>131</v>
      </c>
      <c r="D20" s="6" t="s">
        <v>158</v>
      </c>
      <c r="E20" s="5" t="s">
        <v>4335</v>
      </c>
      <c r="F20" s="5" t="s">
        <v>1849</v>
      </c>
    </row>
    <row r="21" customFormat="false" ht="21.75" hidden="false" customHeight="true" outlineLevel="0" collapsed="false">
      <c r="A21" s="7" t="s">
        <v>4336</v>
      </c>
      <c r="B21" s="7" t="s">
        <v>131</v>
      </c>
      <c r="C21" s="7" t="s">
        <v>124</v>
      </c>
      <c r="D21" s="8" t="s">
        <v>41</v>
      </c>
      <c r="E21" s="7" t="s">
        <v>4337</v>
      </c>
      <c r="F21" s="7" t="s">
        <v>1949</v>
      </c>
    </row>
    <row r="22" customFormat="false" ht="21.75" hidden="false" customHeight="true" outlineLevel="0" collapsed="false">
      <c r="A22" s="5" t="s">
        <v>4338</v>
      </c>
      <c r="B22" s="5" t="s">
        <v>131</v>
      </c>
      <c r="C22" s="5" t="s">
        <v>131</v>
      </c>
      <c r="D22" s="6" t="s">
        <v>91</v>
      </c>
      <c r="E22" s="5" t="s">
        <v>95</v>
      </c>
      <c r="F22" s="5" t="s">
        <v>2801</v>
      </c>
    </row>
    <row r="23" customFormat="false" ht="21.75" hidden="false" customHeight="true" outlineLevel="0" collapsed="false">
      <c r="A23" s="7" t="s">
        <v>3430</v>
      </c>
      <c r="B23" s="7" t="s">
        <v>135</v>
      </c>
      <c r="C23" s="7" t="s">
        <v>135</v>
      </c>
      <c r="D23" s="8" t="s">
        <v>41</v>
      </c>
      <c r="E23" s="7" t="s">
        <v>95</v>
      </c>
      <c r="F23" s="7" t="s">
        <v>4339</v>
      </c>
    </row>
    <row r="24" customFormat="false" ht="21.75" hidden="false" customHeight="true" outlineLevel="0" collapsed="false">
      <c r="A24" s="5" t="s">
        <v>4340</v>
      </c>
      <c r="B24" s="5" t="s">
        <v>43</v>
      </c>
      <c r="C24" s="5" t="s">
        <v>41</v>
      </c>
      <c r="D24" s="6" t="s">
        <v>158</v>
      </c>
      <c r="E24" s="5" t="s">
        <v>4341</v>
      </c>
      <c r="F24" s="5" t="s">
        <v>4318</v>
      </c>
    </row>
    <row r="25" customFormat="false" ht="21.75" hidden="false" customHeight="true" outlineLevel="0" collapsed="false">
      <c r="A25" s="7" t="s">
        <v>4342</v>
      </c>
      <c r="B25" s="7" t="s">
        <v>45</v>
      </c>
      <c r="C25" s="7" t="s">
        <v>142</v>
      </c>
      <c r="D25" s="8" t="s">
        <v>4343</v>
      </c>
      <c r="E25" s="7" t="s">
        <v>4311</v>
      </c>
      <c r="F25" s="7" t="s">
        <v>4344</v>
      </c>
    </row>
    <row r="26" customFormat="false" ht="21.75" hidden="false" customHeight="true" outlineLevel="0" collapsed="false">
      <c r="A26" s="5" t="s">
        <v>229</v>
      </c>
      <c r="B26" s="5" t="s">
        <v>45</v>
      </c>
      <c r="C26" s="5" t="s">
        <v>45</v>
      </c>
      <c r="D26" s="6" t="s">
        <v>158</v>
      </c>
      <c r="E26" s="5" t="s">
        <v>43</v>
      </c>
      <c r="F26" s="5" t="s">
        <v>4345</v>
      </c>
    </row>
    <row r="27" customFormat="false" ht="21.75" hidden="false" customHeight="true" outlineLevel="0" collapsed="false">
      <c r="A27" s="7" t="s">
        <v>4346</v>
      </c>
      <c r="B27" s="7" t="s">
        <v>43</v>
      </c>
      <c r="C27" s="7" t="s">
        <v>45</v>
      </c>
      <c r="D27" s="8" t="s">
        <v>158</v>
      </c>
      <c r="E27" s="7" t="s">
        <v>8</v>
      </c>
      <c r="F27" s="7" t="s">
        <v>2801</v>
      </c>
    </row>
    <row r="28" customFormat="false" ht="21.75" hidden="false" customHeight="true" outlineLevel="0" collapsed="false">
      <c r="A28" s="5" t="s">
        <v>2247</v>
      </c>
      <c r="B28" s="5" t="s">
        <v>41</v>
      </c>
      <c r="C28" s="5" t="s">
        <v>45</v>
      </c>
      <c r="D28" s="6" t="s">
        <v>158</v>
      </c>
      <c r="E28" s="5" t="s">
        <v>4347</v>
      </c>
      <c r="F28" s="5" t="s">
        <v>495</v>
      </c>
    </row>
    <row r="29" customFormat="false" ht="21.75" hidden="false" customHeight="true" outlineLevel="0" collapsed="false">
      <c r="A29" s="7" t="s">
        <v>4348</v>
      </c>
      <c r="B29" s="7" t="s">
        <v>41</v>
      </c>
      <c r="C29" s="7" t="s">
        <v>41</v>
      </c>
      <c r="D29" s="8" t="s">
        <v>4349</v>
      </c>
      <c r="E29" s="7" t="s">
        <v>43</v>
      </c>
      <c r="F29" s="7" t="s">
        <v>4321</v>
      </c>
    </row>
  </sheetData>
  <autoFilter ref="A5:F29"/>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4A32"/>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16"/>
    <col collapsed="false" customWidth="true" hidden="false" outlineLevel="0" max="4" min="4" style="0" width="14"/>
    <col collapsed="false" customWidth="true" hidden="false" outlineLevel="0" max="5" min="5" style="0" width="96"/>
    <col collapsed="false" customWidth="true" hidden="false" outlineLevel="0" max="6" min="6" style="0" width="20"/>
    <col collapsed="false" customWidth="true" hidden="false" outlineLevel="0" max="7" min="7" style="0" width="44"/>
  </cols>
  <sheetData>
    <row r="1" customFormat="false" ht="19.5" hidden="false" customHeight="true" outlineLevel="0" collapsed="false">
      <c r="A1" s="76" t="s">
        <v>4183</v>
      </c>
      <c r="B1" s="76"/>
      <c r="C1" s="76"/>
      <c r="D1" s="76"/>
      <c r="E1" s="76"/>
      <c r="F1" s="76"/>
      <c r="G1" s="76"/>
    </row>
    <row r="2" customFormat="false" ht="27.75" hidden="false" customHeight="true" outlineLevel="0" collapsed="false">
      <c r="A2" s="77" t="s">
        <v>4350</v>
      </c>
      <c r="B2" s="77"/>
      <c r="C2" s="77"/>
      <c r="D2" s="77"/>
      <c r="E2" s="77"/>
      <c r="F2" s="77"/>
      <c r="G2" s="77"/>
    </row>
    <row r="3" customFormat="false" ht="30" hidden="false" customHeight="true" outlineLevel="0" collapsed="false">
      <c r="A3" s="78" t="s">
        <v>4351</v>
      </c>
      <c r="B3" s="78"/>
      <c r="C3" s="78"/>
      <c r="D3" s="78"/>
      <c r="E3" s="78"/>
      <c r="F3" s="78"/>
      <c r="G3" s="78"/>
    </row>
    <row r="4" customFormat="false" ht="6" hidden="false" customHeight="true" outlineLevel="0" collapsed="false"/>
    <row r="5" customFormat="false" ht="30" hidden="false" customHeight="true" outlineLevel="0" collapsed="false">
      <c r="A5" s="79" t="s">
        <v>80</v>
      </c>
      <c r="B5" s="79" t="s">
        <v>4352</v>
      </c>
      <c r="C5" s="79" t="s">
        <v>4353</v>
      </c>
      <c r="D5" s="79" t="s">
        <v>4354</v>
      </c>
      <c r="E5" s="79" t="s">
        <v>4355</v>
      </c>
      <c r="F5" s="79" t="s">
        <v>40</v>
      </c>
      <c r="G5" s="79" t="s">
        <v>1844</v>
      </c>
    </row>
    <row r="6" customFormat="false" ht="43.5" hidden="false" customHeight="true" outlineLevel="0" collapsed="false">
      <c r="A6" s="5" t="s">
        <v>4356</v>
      </c>
      <c r="B6" s="6" t="s">
        <v>4357</v>
      </c>
      <c r="C6" s="5" t="s">
        <v>557</v>
      </c>
      <c r="D6" s="5" t="s">
        <v>557</v>
      </c>
      <c r="E6" s="6" t="s">
        <v>4358</v>
      </c>
      <c r="F6" s="5" t="s">
        <v>41</v>
      </c>
      <c r="G6" s="6" t="s">
        <v>4359</v>
      </c>
    </row>
    <row r="7" customFormat="false" ht="43.5" hidden="false" customHeight="true" outlineLevel="0" collapsed="false">
      <c r="A7" s="7" t="s">
        <v>4360</v>
      </c>
      <c r="B7" s="8" t="s">
        <v>4361</v>
      </c>
      <c r="C7" s="7" t="s">
        <v>557</v>
      </c>
      <c r="D7" s="7" t="s">
        <v>557</v>
      </c>
      <c r="E7" s="8" t="s">
        <v>4362</v>
      </c>
      <c r="F7" s="7" t="s">
        <v>41</v>
      </c>
      <c r="G7" s="8" t="s">
        <v>4363</v>
      </c>
    </row>
    <row r="8" customFormat="false" ht="43.5" hidden="false" customHeight="true" outlineLevel="0" collapsed="false">
      <c r="A8" s="5" t="s">
        <v>4364</v>
      </c>
      <c r="B8" s="6" t="s">
        <v>4365</v>
      </c>
      <c r="C8" s="5" t="s">
        <v>571</v>
      </c>
      <c r="D8" s="5" t="s">
        <v>557</v>
      </c>
      <c r="E8" s="6" t="s">
        <v>4366</v>
      </c>
      <c r="F8" s="5" t="s">
        <v>41</v>
      </c>
      <c r="G8" s="6" t="s">
        <v>4367</v>
      </c>
    </row>
    <row r="9" customFormat="false" ht="43.5" hidden="false" customHeight="true" outlineLevel="0" collapsed="false">
      <c r="A9" s="7" t="s">
        <v>4368</v>
      </c>
      <c r="B9" s="8" t="s">
        <v>4369</v>
      </c>
      <c r="C9" s="7" t="s">
        <v>600</v>
      </c>
      <c r="D9" s="7" t="s">
        <v>4370</v>
      </c>
      <c r="E9" s="8" t="s">
        <v>4371</v>
      </c>
      <c r="F9" s="7" t="s">
        <v>45</v>
      </c>
      <c r="G9" s="8" t="s">
        <v>4372</v>
      </c>
    </row>
    <row r="10" customFormat="false" ht="43.5" hidden="false" customHeight="true" outlineLevel="0" collapsed="false">
      <c r="A10" s="5" t="s">
        <v>4373</v>
      </c>
      <c r="B10" s="6" t="s">
        <v>4374</v>
      </c>
      <c r="C10" s="5" t="s">
        <v>557</v>
      </c>
      <c r="D10" s="5" t="s">
        <v>571</v>
      </c>
      <c r="E10" s="6" t="s">
        <v>4375</v>
      </c>
      <c r="F10" s="5" t="s">
        <v>104</v>
      </c>
      <c r="G10" s="6" t="s">
        <v>4376</v>
      </c>
    </row>
    <row r="11" customFormat="false" ht="43.5" hidden="false" customHeight="true" outlineLevel="0" collapsed="false">
      <c r="A11" s="7" t="s">
        <v>4377</v>
      </c>
      <c r="B11" s="8" t="s">
        <v>4378</v>
      </c>
      <c r="C11" s="7" t="s">
        <v>571</v>
      </c>
      <c r="D11" s="7" t="s">
        <v>557</v>
      </c>
      <c r="E11" s="8" t="s">
        <v>4379</v>
      </c>
      <c r="F11" s="7" t="s">
        <v>41</v>
      </c>
      <c r="G11" s="8" t="s">
        <v>4380</v>
      </c>
    </row>
    <row r="12" customFormat="false" ht="43.5" hidden="false" customHeight="true" outlineLevel="0" collapsed="false">
      <c r="A12" s="5" t="s">
        <v>4381</v>
      </c>
      <c r="B12" s="6" t="s">
        <v>4382</v>
      </c>
      <c r="C12" s="5" t="s">
        <v>600</v>
      </c>
      <c r="D12" s="5" t="s">
        <v>4370</v>
      </c>
      <c r="E12" s="6" t="s">
        <v>4383</v>
      </c>
      <c r="F12" s="5" t="s">
        <v>91</v>
      </c>
      <c r="G12" s="6" t="s">
        <v>4384</v>
      </c>
    </row>
    <row r="13" customFormat="false" ht="43.5" hidden="false" customHeight="true" outlineLevel="0" collapsed="false">
      <c r="A13" s="7" t="s">
        <v>4385</v>
      </c>
      <c r="B13" s="8" t="s">
        <v>4386</v>
      </c>
      <c r="C13" s="7" t="s">
        <v>557</v>
      </c>
      <c r="D13" s="7" t="s">
        <v>571</v>
      </c>
      <c r="E13" s="8" t="s">
        <v>4387</v>
      </c>
      <c r="F13" s="7" t="s">
        <v>45</v>
      </c>
      <c r="G13" s="8" t="s">
        <v>4388</v>
      </c>
    </row>
    <row r="14" customFormat="false" ht="43.5" hidden="false" customHeight="true" outlineLevel="0" collapsed="false">
      <c r="A14" s="5" t="s">
        <v>4389</v>
      </c>
      <c r="B14" s="6" t="s">
        <v>4390</v>
      </c>
      <c r="C14" s="5" t="s">
        <v>600</v>
      </c>
      <c r="D14" s="5" t="s">
        <v>4370</v>
      </c>
      <c r="E14" s="6" t="s">
        <v>4391</v>
      </c>
      <c r="F14" s="5" t="s">
        <v>43</v>
      </c>
      <c r="G14" s="6" t="s">
        <v>4392</v>
      </c>
    </row>
    <row r="15" customFormat="false" ht="43.5" hidden="false" customHeight="true" outlineLevel="0" collapsed="false">
      <c r="A15" s="7" t="s">
        <v>4393</v>
      </c>
      <c r="B15" s="8" t="s">
        <v>4394</v>
      </c>
      <c r="C15" s="7" t="s">
        <v>571</v>
      </c>
      <c r="D15" s="7" t="s">
        <v>557</v>
      </c>
      <c r="E15" s="8" t="s">
        <v>4395</v>
      </c>
      <c r="F15" s="7" t="s">
        <v>41</v>
      </c>
      <c r="G15" s="8" t="s">
        <v>4396</v>
      </c>
    </row>
    <row r="16" customFormat="false" ht="43.5" hidden="false" customHeight="true" outlineLevel="0" collapsed="false">
      <c r="A16" s="5" t="s">
        <v>4397</v>
      </c>
      <c r="B16" s="6" t="s">
        <v>4398</v>
      </c>
      <c r="C16" s="5" t="s">
        <v>557</v>
      </c>
      <c r="D16" s="5" t="s">
        <v>571</v>
      </c>
      <c r="E16" s="6" t="s">
        <v>4399</v>
      </c>
      <c r="F16" s="5" t="s">
        <v>43</v>
      </c>
      <c r="G16" s="6" t="s">
        <v>4400</v>
      </c>
    </row>
    <row r="17" customFormat="false" ht="43.5" hidden="false" customHeight="true" outlineLevel="0" collapsed="false">
      <c r="A17" s="7" t="s">
        <v>4401</v>
      </c>
      <c r="B17" s="8" t="s">
        <v>4402</v>
      </c>
      <c r="C17" s="7" t="s">
        <v>557</v>
      </c>
      <c r="D17" s="7" t="s">
        <v>571</v>
      </c>
      <c r="E17" s="8" t="s">
        <v>4403</v>
      </c>
      <c r="F17" s="7" t="s">
        <v>41</v>
      </c>
      <c r="G17" s="8" t="s">
        <v>4404</v>
      </c>
    </row>
    <row r="18" customFormat="false" ht="43.5" hidden="false" customHeight="true" outlineLevel="0" collapsed="false">
      <c r="A18" s="5" t="s">
        <v>4405</v>
      </c>
      <c r="B18" s="6" t="s">
        <v>4406</v>
      </c>
      <c r="C18" s="5" t="s">
        <v>571</v>
      </c>
      <c r="D18" s="5" t="s">
        <v>557</v>
      </c>
      <c r="E18" s="6" t="s">
        <v>4407</v>
      </c>
      <c r="F18" s="5" t="s">
        <v>110</v>
      </c>
      <c r="G18" s="6" t="s">
        <v>4408</v>
      </c>
    </row>
    <row r="19" customFormat="false" ht="43.5" hidden="false" customHeight="true" outlineLevel="0" collapsed="false">
      <c r="A19" s="7" t="s">
        <v>4409</v>
      </c>
      <c r="B19" s="8" t="s">
        <v>4410</v>
      </c>
      <c r="C19" s="7" t="s">
        <v>571</v>
      </c>
      <c r="D19" s="7" t="s">
        <v>571</v>
      </c>
      <c r="E19" s="8" t="s">
        <v>4411</v>
      </c>
      <c r="F19" s="7" t="s">
        <v>158</v>
      </c>
      <c r="G19" s="8" t="s">
        <v>4412</v>
      </c>
    </row>
  </sheetData>
  <autoFilter ref="A5:G19"/>
  <mergeCells count="3">
    <mergeCell ref="A1:G1"/>
    <mergeCell ref="A2:G2"/>
    <mergeCell ref="A3:G3"/>
  </mergeCells>
  <conditionalFormatting sqref="C6:C19">
    <cfRule type="cellIs" priority="2" operator="equal" aboveAverage="0" equalAverage="0" bottom="0" percent="0" rank="0" text="" dxfId="82">
      <formula>"Severe"</formula>
    </cfRule>
    <cfRule type="cellIs" priority="3" operator="equal" aboveAverage="0" equalAverage="0" bottom="0" percent="0" rank="0" text="" dxfId="32">
      <formula>"High"</formula>
    </cfRule>
    <cfRule type="cellIs" priority="4" operator="equal" aboveAverage="0" equalAverage="0" bottom="0" percent="0" rank="0" text="" dxfId="30">
      <formula>"Medium"</formula>
    </cfRule>
  </conditionalFormatting>
  <conditionalFormatting sqref="D6:D19">
    <cfRule type="cellIs" priority="5" operator="equal" aboveAverage="0" equalAverage="0" bottom="0" percent="0" rank="0" text="" dxfId="82">
      <formula>"Severe"</formula>
    </cfRule>
    <cfRule type="cellIs" priority="6" operator="equal" aboveAverage="0" equalAverage="0" bottom="0" percent="0" rank="0" text="" dxfId="32">
      <formula>"High"</formula>
    </cfRule>
    <cfRule type="cellIs" priority="7" operator="equal" aboveAverage="0" equalAverage="0" bottom="0" percent="0" rank="0" text="" dxfId="30">
      <formula>"Medium"</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4A32"/>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6"/>
    <col collapsed="false" customWidth="true" hidden="false" outlineLevel="0" max="4" min="4" style="0" width="80"/>
    <col collapsed="false" customWidth="true" hidden="false" outlineLevel="0" max="5" min="5" style="0" width="16"/>
    <col collapsed="false" customWidth="true" hidden="false" outlineLevel="0" max="6" min="6" style="0" width="24"/>
    <col collapsed="false" customWidth="true" hidden="false" outlineLevel="0" max="7" min="7" style="0" width="22"/>
  </cols>
  <sheetData>
    <row r="1" customFormat="false" ht="19.5" hidden="false" customHeight="true" outlineLevel="0" collapsed="false">
      <c r="A1" s="76" t="s">
        <v>4183</v>
      </c>
      <c r="B1" s="76"/>
      <c r="C1" s="76"/>
      <c r="D1" s="76"/>
      <c r="E1" s="76"/>
      <c r="F1" s="76"/>
    </row>
    <row r="2" customFormat="false" ht="27.75" hidden="false" customHeight="true" outlineLevel="0" collapsed="false">
      <c r="A2" s="77" t="s">
        <v>4413</v>
      </c>
      <c r="B2" s="77"/>
      <c r="C2" s="77"/>
      <c r="D2" s="77"/>
      <c r="E2" s="77"/>
      <c r="F2" s="77"/>
    </row>
    <row r="3" customFormat="false" ht="30" hidden="false" customHeight="true" outlineLevel="0" collapsed="false">
      <c r="A3" s="78" t="s">
        <v>4414</v>
      </c>
      <c r="B3" s="78"/>
      <c r="C3" s="78"/>
      <c r="D3" s="78"/>
      <c r="E3" s="78"/>
      <c r="F3" s="78"/>
    </row>
    <row r="4" customFormat="false" ht="6" hidden="false" customHeight="true" outlineLevel="0" collapsed="false"/>
    <row r="5" customFormat="false" ht="30" hidden="false" customHeight="true" outlineLevel="0" collapsed="false">
      <c r="A5" s="79" t="s">
        <v>80</v>
      </c>
      <c r="B5" s="79" t="s">
        <v>3927</v>
      </c>
      <c r="C5" s="79" t="s">
        <v>4415</v>
      </c>
      <c r="D5" s="79" t="s">
        <v>2699</v>
      </c>
      <c r="E5" s="79" t="s">
        <v>4308</v>
      </c>
      <c r="F5" s="79" t="s">
        <v>2605</v>
      </c>
      <c r="G5" s="80" t="s">
        <v>40</v>
      </c>
    </row>
    <row r="6" customFormat="false" ht="24" hidden="false" customHeight="true" outlineLevel="0" collapsed="false">
      <c r="A6" s="5" t="s">
        <v>3930</v>
      </c>
      <c r="B6" s="5" t="s">
        <v>4416</v>
      </c>
      <c r="C6" s="5" t="s">
        <v>4417</v>
      </c>
      <c r="D6" s="6" t="s">
        <v>4418</v>
      </c>
      <c r="E6" s="5" t="s">
        <v>2801</v>
      </c>
      <c r="F6" s="5" t="s">
        <v>3932</v>
      </c>
      <c r="G6" s="81" t="s">
        <v>41</v>
      </c>
    </row>
    <row r="7" customFormat="false" ht="24" hidden="false" customHeight="true" outlineLevel="0" collapsed="false">
      <c r="A7" s="7" t="s">
        <v>4419</v>
      </c>
      <c r="B7" s="7" t="s">
        <v>1868</v>
      </c>
      <c r="C7" s="7" t="s">
        <v>4417</v>
      </c>
      <c r="D7" s="8" t="s">
        <v>4420</v>
      </c>
      <c r="E7" s="7" t="s">
        <v>2225</v>
      </c>
      <c r="F7" s="7" t="s">
        <v>4421</v>
      </c>
      <c r="G7" s="81" t="s">
        <v>135</v>
      </c>
    </row>
    <row r="8" customFormat="false" ht="24" hidden="false" customHeight="true" outlineLevel="0" collapsed="false">
      <c r="A8" s="5" t="s">
        <v>4422</v>
      </c>
      <c r="B8" s="5" t="s">
        <v>4423</v>
      </c>
      <c r="C8" s="5" t="s">
        <v>4417</v>
      </c>
      <c r="D8" s="6" t="s">
        <v>4424</v>
      </c>
      <c r="E8" s="5" t="s">
        <v>2225</v>
      </c>
      <c r="F8" s="5" t="s">
        <v>4425</v>
      </c>
      <c r="G8" s="81" t="s">
        <v>41</v>
      </c>
    </row>
    <row r="9" customFormat="false" ht="24" hidden="false" customHeight="true" outlineLevel="0" collapsed="false">
      <c r="A9" s="7" t="s">
        <v>3953</v>
      </c>
      <c r="B9" s="7" t="s">
        <v>4426</v>
      </c>
      <c r="C9" s="7" t="s">
        <v>4427</v>
      </c>
      <c r="D9" s="8" t="s">
        <v>4428</v>
      </c>
      <c r="E9" s="7" t="s">
        <v>2225</v>
      </c>
      <c r="F9" s="7" t="s">
        <v>3955</v>
      </c>
      <c r="G9" s="81" t="s">
        <v>99</v>
      </c>
    </row>
    <row r="10" customFormat="false" ht="24" hidden="false" customHeight="true" outlineLevel="0" collapsed="false">
      <c r="A10" s="5" t="s">
        <v>3957</v>
      </c>
      <c r="B10" s="5" t="s">
        <v>1887</v>
      </c>
      <c r="C10" s="5" t="s">
        <v>212</v>
      </c>
      <c r="D10" s="6" t="s">
        <v>4429</v>
      </c>
      <c r="E10" s="5" t="s">
        <v>2225</v>
      </c>
      <c r="F10" s="5" t="s">
        <v>3959</v>
      </c>
      <c r="G10" s="81" t="s">
        <v>99</v>
      </c>
    </row>
    <row r="11" customFormat="false" ht="24" hidden="false" customHeight="true" outlineLevel="0" collapsed="false">
      <c r="A11" s="7" t="s">
        <v>3961</v>
      </c>
      <c r="B11" s="7" t="s">
        <v>3962</v>
      </c>
      <c r="C11" s="7" t="s">
        <v>4427</v>
      </c>
      <c r="D11" s="8" t="s">
        <v>4430</v>
      </c>
      <c r="E11" s="7" t="s">
        <v>2801</v>
      </c>
      <c r="F11" s="7" t="s">
        <v>3963</v>
      </c>
      <c r="G11" s="81" t="s">
        <v>104</v>
      </c>
    </row>
    <row r="12" customFormat="false" ht="24" hidden="false" customHeight="true" outlineLevel="0" collapsed="false">
      <c r="A12" s="5" t="s">
        <v>3965</v>
      </c>
      <c r="B12" s="5" t="s">
        <v>1901</v>
      </c>
      <c r="C12" s="5" t="s">
        <v>212</v>
      </c>
      <c r="D12" s="6" t="s">
        <v>4431</v>
      </c>
      <c r="E12" s="5" t="s">
        <v>2225</v>
      </c>
      <c r="F12" s="5" t="s">
        <v>3967</v>
      </c>
      <c r="G12" s="81" t="s">
        <v>104</v>
      </c>
    </row>
    <row r="13" customFormat="false" ht="24" hidden="false" customHeight="true" outlineLevel="0" collapsed="false">
      <c r="A13" s="7" t="s">
        <v>3945</v>
      </c>
      <c r="B13" s="7" t="s">
        <v>3946</v>
      </c>
      <c r="C13" s="7" t="s">
        <v>4417</v>
      </c>
      <c r="D13" s="8" t="s">
        <v>4432</v>
      </c>
      <c r="E13" s="7" t="s">
        <v>2801</v>
      </c>
      <c r="F13" s="7" t="s">
        <v>3947</v>
      </c>
      <c r="G13" s="81" t="s">
        <v>41</v>
      </c>
    </row>
    <row r="14" customFormat="false" ht="24" hidden="false" customHeight="true" outlineLevel="0" collapsed="false">
      <c r="A14" s="5" t="s">
        <v>3949</v>
      </c>
      <c r="B14" s="5" t="s">
        <v>4433</v>
      </c>
      <c r="C14" s="5" t="s">
        <v>4417</v>
      </c>
      <c r="D14" s="6" t="s">
        <v>4434</v>
      </c>
      <c r="E14" s="5" t="s">
        <v>2801</v>
      </c>
      <c r="F14" s="5" t="s">
        <v>3951</v>
      </c>
      <c r="G14" s="81" t="s">
        <v>41</v>
      </c>
    </row>
    <row r="15" customFormat="false" ht="24" hidden="false" customHeight="true" outlineLevel="0" collapsed="false">
      <c r="A15" s="7" t="s">
        <v>4435</v>
      </c>
      <c r="B15" s="7" t="s">
        <v>1929</v>
      </c>
      <c r="C15" s="7" t="s">
        <v>4436</v>
      </c>
      <c r="D15" s="8" t="s">
        <v>4437</v>
      </c>
      <c r="E15" s="7" t="s">
        <v>2801</v>
      </c>
      <c r="F15" s="7" t="s">
        <v>4438</v>
      </c>
      <c r="G15" s="81" t="s">
        <v>110</v>
      </c>
    </row>
    <row r="16" customFormat="false" ht="24" hidden="false" customHeight="true" outlineLevel="0" collapsed="false">
      <c r="A16" s="5" t="s">
        <v>3973</v>
      </c>
      <c r="B16" s="5" t="s">
        <v>3974</v>
      </c>
      <c r="C16" s="5" t="s">
        <v>4436</v>
      </c>
      <c r="D16" s="6" t="s">
        <v>4439</v>
      </c>
      <c r="E16" s="5" t="s">
        <v>2801</v>
      </c>
      <c r="F16" s="5" t="s">
        <v>3975</v>
      </c>
      <c r="G16" s="81" t="s">
        <v>110</v>
      </c>
    </row>
    <row r="17" customFormat="false" ht="24" hidden="false" customHeight="true" outlineLevel="0" collapsed="false">
      <c r="A17" s="7" t="s">
        <v>4440</v>
      </c>
      <c r="B17" s="7" t="s">
        <v>4441</v>
      </c>
      <c r="C17" s="7" t="s">
        <v>3734</v>
      </c>
      <c r="D17" s="8" t="s">
        <v>4442</v>
      </c>
      <c r="E17" s="7" t="s">
        <v>2801</v>
      </c>
      <c r="F17" s="7" t="s">
        <v>4443</v>
      </c>
      <c r="G17" s="81" t="s">
        <v>114</v>
      </c>
    </row>
    <row r="18" customFormat="false" ht="24" hidden="false" customHeight="true" outlineLevel="0" collapsed="false">
      <c r="A18" s="5" t="s">
        <v>3981</v>
      </c>
      <c r="B18" s="5" t="s">
        <v>3982</v>
      </c>
      <c r="C18" s="5" t="s">
        <v>4427</v>
      </c>
      <c r="D18" s="6" t="s">
        <v>4444</v>
      </c>
      <c r="E18" s="5" t="s">
        <v>2801</v>
      </c>
      <c r="F18" s="5" t="s">
        <v>2710</v>
      </c>
      <c r="G18" s="81" t="s">
        <v>110</v>
      </c>
    </row>
    <row r="19" customFormat="false" ht="24" hidden="false" customHeight="true" outlineLevel="0" collapsed="false">
      <c r="A19" s="7" t="s">
        <v>3983</v>
      </c>
      <c r="B19" s="7" t="s">
        <v>3984</v>
      </c>
      <c r="C19" s="7" t="s">
        <v>4427</v>
      </c>
      <c r="D19" s="8" t="s">
        <v>4445</v>
      </c>
      <c r="E19" s="7" t="s">
        <v>2801</v>
      </c>
      <c r="F19" s="7" t="s">
        <v>2706</v>
      </c>
      <c r="G19" s="81" t="s">
        <v>117</v>
      </c>
    </row>
    <row r="20" customFormat="false" ht="24" hidden="false" customHeight="true" outlineLevel="0" collapsed="false">
      <c r="A20" s="5" t="s">
        <v>3989</v>
      </c>
      <c r="B20" s="5" t="s">
        <v>4446</v>
      </c>
      <c r="C20" s="5" t="s">
        <v>2594</v>
      </c>
      <c r="D20" s="6" t="s">
        <v>4447</v>
      </c>
      <c r="E20" s="5" t="s">
        <v>2801</v>
      </c>
      <c r="F20" s="5" t="s">
        <v>3991</v>
      </c>
      <c r="G20" s="81" t="s">
        <v>41</v>
      </c>
    </row>
    <row r="21" customFormat="false" ht="24" hidden="false" customHeight="true" outlineLevel="0" collapsed="false">
      <c r="A21" s="7" t="s">
        <v>3995</v>
      </c>
      <c r="B21" s="7" t="s">
        <v>3996</v>
      </c>
      <c r="C21" s="7" t="s">
        <v>2594</v>
      </c>
      <c r="D21" s="8" t="s">
        <v>4448</v>
      </c>
      <c r="E21" s="7" t="s">
        <v>2801</v>
      </c>
      <c r="F21" s="7" t="s">
        <v>3997</v>
      </c>
      <c r="G21" s="81" t="s">
        <v>110</v>
      </c>
    </row>
    <row r="22" customFormat="false" ht="24" hidden="false" customHeight="true" outlineLevel="0" collapsed="false">
      <c r="A22" s="5" t="s">
        <v>3998</v>
      </c>
      <c r="B22" s="5" t="s">
        <v>4449</v>
      </c>
      <c r="C22" s="5" t="s">
        <v>2594</v>
      </c>
      <c r="D22" s="6" t="s">
        <v>4450</v>
      </c>
      <c r="E22" s="5" t="s">
        <v>2801</v>
      </c>
      <c r="F22" s="5" t="s">
        <v>4000</v>
      </c>
      <c r="G22" s="81" t="s">
        <v>41</v>
      </c>
    </row>
    <row r="23" customFormat="false" ht="24" hidden="false" customHeight="true" outlineLevel="0" collapsed="false">
      <c r="A23" s="7" t="s">
        <v>4005</v>
      </c>
      <c r="B23" s="7" t="s">
        <v>1970</v>
      </c>
      <c r="C23" s="7" t="s">
        <v>4451</v>
      </c>
      <c r="D23" s="8" t="s">
        <v>4452</v>
      </c>
      <c r="E23" s="7" t="s">
        <v>2801</v>
      </c>
      <c r="F23" s="7" t="s">
        <v>4006</v>
      </c>
      <c r="G23" s="81" t="s">
        <v>41</v>
      </c>
    </row>
    <row r="24" customFormat="false" ht="24" hidden="false" customHeight="true" outlineLevel="0" collapsed="false">
      <c r="A24" s="5" t="s">
        <v>4453</v>
      </c>
      <c r="B24" s="5" t="s">
        <v>4454</v>
      </c>
      <c r="C24" s="5" t="s">
        <v>133</v>
      </c>
      <c r="D24" s="6" t="s">
        <v>4455</v>
      </c>
      <c r="E24" s="5" t="s">
        <v>2801</v>
      </c>
      <c r="F24" s="5" t="s">
        <v>4456</v>
      </c>
      <c r="G24" s="81" t="s">
        <v>131</v>
      </c>
    </row>
    <row r="25" customFormat="false" ht="24" hidden="false" customHeight="true" outlineLevel="0" collapsed="false">
      <c r="A25" s="7" t="s">
        <v>4457</v>
      </c>
      <c r="B25" s="7" t="s">
        <v>4458</v>
      </c>
      <c r="C25" s="7" t="s">
        <v>133</v>
      </c>
      <c r="D25" s="8" t="s">
        <v>4459</v>
      </c>
      <c r="E25" s="7" t="s">
        <v>4321</v>
      </c>
      <c r="F25" s="7" t="s">
        <v>4460</v>
      </c>
      <c r="G25" s="81" t="s">
        <v>131</v>
      </c>
    </row>
    <row r="26" customFormat="false" ht="24" hidden="false" customHeight="true" outlineLevel="0" collapsed="false">
      <c r="A26" s="5" t="s">
        <v>4461</v>
      </c>
      <c r="B26" s="5" t="s">
        <v>4462</v>
      </c>
      <c r="C26" s="5" t="s">
        <v>212</v>
      </c>
      <c r="D26" s="6" t="s">
        <v>4463</v>
      </c>
      <c r="E26" s="5" t="s">
        <v>2225</v>
      </c>
      <c r="F26" s="5" t="s">
        <v>4464</v>
      </c>
      <c r="G26" s="81" t="s">
        <v>107</v>
      </c>
    </row>
    <row r="27" customFormat="false" ht="24" hidden="false" customHeight="true" outlineLevel="0" collapsed="false">
      <c r="A27" s="7" t="s">
        <v>4465</v>
      </c>
      <c r="B27" s="7" t="s">
        <v>4466</v>
      </c>
      <c r="C27" s="7" t="s">
        <v>2481</v>
      </c>
      <c r="D27" s="8" t="s">
        <v>4467</v>
      </c>
      <c r="E27" s="7" t="s">
        <v>2801</v>
      </c>
      <c r="F27" s="7" t="s">
        <v>4468</v>
      </c>
      <c r="G27" s="81" t="s">
        <v>41</v>
      </c>
    </row>
    <row r="28" customFormat="false" ht="24" hidden="false" customHeight="true" outlineLevel="0" collapsed="false">
      <c r="A28" s="5" t="s">
        <v>4469</v>
      </c>
      <c r="B28" s="5" t="s">
        <v>4470</v>
      </c>
      <c r="C28" s="5" t="s">
        <v>2481</v>
      </c>
      <c r="D28" s="6" t="s">
        <v>4471</v>
      </c>
      <c r="E28" s="5" t="s">
        <v>4321</v>
      </c>
      <c r="F28" s="5" t="s">
        <v>4472</v>
      </c>
      <c r="G28" s="81" t="s">
        <v>43</v>
      </c>
    </row>
    <row r="29" customFormat="false" ht="24" hidden="false" customHeight="true" outlineLevel="0" collapsed="false">
      <c r="A29" s="7" t="s">
        <v>4014</v>
      </c>
      <c r="B29" s="7" t="s">
        <v>4473</v>
      </c>
      <c r="C29" s="7" t="s">
        <v>4474</v>
      </c>
      <c r="D29" s="8" t="s">
        <v>4475</v>
      </c>
      <c r="E29" s="7" t="s">
        <v>2801</v>
      </c>
      <c r="F29" s="7" t="s">
        <v>4016</v>
      </c>
      <c r="G29" s="81" t="s">
        <v>135</v>
      </c>
    </row>
    <row r="30" customFormat="false" ht="24" hidden="false" customHeight="true" outlineLevel="0" collapsed="false">
      <c r="A30" s="5" t="s">
        <v>4476</v>
      </c>
      <c r="B30" s="5" t="s">
        <v>4477</v>
      </c>
      <c r="C30" s="5" t="s">
        <v>4474</v>
      </c>
      <c r="D30" s="6" t="s">
        <v>4478</v>
      </c>
      <c r="E30" s="5" t="s">
        <v>2801</v>
      </c>
      <c r="F30" s="5" t="s">
        <v>4479</v>
      </c>
      <c r="G30" s="81" t="s">
        <v>135</v>
      </c>
    </row>
  </sheetData>
  <autoFilter ref="A5:F30"/>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4A32"/>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74"/>
    <col collapsed="false" customWidth="true" hidden="false" outlineLevel="0" max="4" min="4" style="0" width="96"/>
    <col collapsed="false" customWidth="true" hidden="false" outlineLevel="0" max="5" min="5" style="0" width="20"/>
  </cols>
  <sheetData>
    <row r="1" customFormat="false" ht="19.5" hidden="false" customHeight="true" outlineLevel="0" collapsed="false">
      <c r="A1" s="76" t="s">
        <v>4183</v>
      </c>
      <c r="B1" s="76"/>
      <c r="C1" s="76"/>
      <c r="D1" s="76"/>
      <c r="E1" s="76"/>
    </row>
    <row r="2" customFormat="false" ht="27.75" hidden="false" customHeight="true" outlineLevel="0" collapsed="false">
      <c r="A2" s="77" t="s">
        <v>4480</v>
      </c>
      <c r="B2" s="77"/>
      <c r="C2" s="77"/>
      <c r="D2" s="77"/>
      <c r="E2" s="77"/>
    </row>
    <row r="3" customFormat="false" ht="30" hidden="false" customHeight="true" outlineLevel="0" collapsed="false">
      <c r="A3" s="78" t="s">
        <v>4481</v>
      </c>
      <c r="B3" s="78"/>
      <c r="C3" s="78"/>
      <c r="D3" s="78"/>
      <c r="E3" s="78"/>
    </row>
    <row r="4" customFormat="false" ht="6" hidden="false" customHeight="true" outlineLevel="0" collapsed="false"/>
    <row r="5" customFormat="false" ht="30" hidden="false" customHeight="true" outlineLevel="0" collapsed="false">
      <c r="A5" s="79" t="s">
        <v>4482</v>
      </c>
      <c r="B5" s="79" t="s">
        <v>4483</v>
      </c>
      <c r="C5" s="79" t="s">
        <v>4484</v>
      </c>
      <c r="D5" s="79" t="s">
        <v>4485</v>
      </c>
      <c r="E5" s="79" t="s">
        <v>344</v>
      </c>
    </row>
    <row r="6" customFormat="false" ht="63.75" hidden="false" customHeight="true" outlineLevel="0" collapsed="false">
      <c r="A6" s="5" t="s">
        <v>4486</v>
      </c>
      <c r="B6" s="6" t="s">
        <v>4487</v>
      </c>
      <c r="C6" s="6" t="s">
        <v>4488</v>
      </c>
      <c r="D6" s="6" t="s">
        <v>4489</v>
      </c>
      <c r="E6" s="5" t="s">
        <v>43</v>
      </c>
    </row>
    <row r="7" customFormat="false" ht="63.75" hidden="false" customHeight="true" outlineLevel="0" collapsed="false">
      <c r="A7" s="7" t="s">
        <v>4490</v>
      </c>
      <c r="B7" s="8" t="s">
        <v>4491</v>
      </c>
      <c r="C7" s="8" t="s">
        <v>4492</v>
      </c>
      <c r="D7" s="8" t="s">
        <v>4493</v>
      </c>
      <c r="E7" s="7" t="s">
        <v>43</v>
      </c>
    </row>
    <row r="8" customFormat="false" ht="63.75" hidden="false" customHeight="true" outlineLevel="0" collapsed="false">
      <c r="A8" s="5" t="s">
        <v>4494</v>
      </c>
      <c r="B8" s="6" t="s">
        <v>4495</v>
      </c>
      <c r="C8" s="6" t="s">
        <v>4496</v>
      </c>
      <c r="D8" s="6" t="s">
        <v>4497</v>
      </c>
      <c r="E8" s="5" t="s">
        <v>43</v>
      </c>
    </row>
    <row r="9" customFormat="false" ht="63.75" hidden="false" customHeight="true" outlineLevel="0" collapsed="false">
      <c r="A9" s="7" t="s">
        <v>4498</v>
      </c>
      <c r="B9" s="8" t="s">
        <v>4499</v>
      </c>
      <c r="C9" s="8" t="s">
        <v>4500</v>
      </c>
      <c r="D9" s="8" t="s">
        <v>4501</v>
      </c>
      <c r="E9" s="7" t="s">
        <v>43</v>
      </c>
    </row>
    <row r="10" customFormat="false" ht="63.75" hidden="false" customHeight="true" outlineLevel="0" collapsed="false">
      <c r="A10" s="5" t="s">
        <v>4502</v>
      </c>
      <c r="B10" s="6" t="s">
        <v>4503</v>
      </c>
      <c r="C10" s="6" t="s">
        <v>4504</v>
      </c>
      <c r="D10" s="6" t="s">
        <v>4505</v>
      </c>
      <c r="E10" s="5" t="s">
        <v>43</v>
      </c>
    </row>
  </sheetData>
  <autoFilter ref="A5:E10"/>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2026-07-29T10:16:19Z</dcterms:created>
  <dc:creator>openpyxl</dc:creator>
  <dc:description/>
  <dc:language>en-US</dc:language>
  <cp:lastModifiedBy/>
  <dcterms:modified xsi:type="dcterms:W3CDTF">2026-07-29T10:16:20Z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