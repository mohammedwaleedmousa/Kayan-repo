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START_HERE" sheetId="1" state="visible" r:id="rId3"/>
    <sheet name="01_DASHBOARD" sheetId="2" state="visible" r:id="rId4"/>
    <sheet name="02_OPPORTUNITY_REGISTER" sheetId="3" state="visible" r:id="rId5"/>
    <sheet name="03_ACTION_TRACKER" sheetId="4" state="visible" r:id="rId6"/>
    <sheet name="04_CALENDAR_12M" sheetId="5" state="visible" r:id="rId7"/>
    <sheet name="05_COMPLIANCE_MASTER" sheetId="6" state="visible" r:id="rId8"/>
    <sheet name="06_REGISTRATION_IDS" sheetId="7" state="visible" r:id="rId9"/>
    <sheet name="07_API_MONITORING" sheetId="8" state="visible" r:id="rId10"/>
    <sheet name="08_CONTACTS_PORTALS" sheetId="9" state="visible" r:id="rId11"/>
    <sheet name="09_MASTER_LISTS" sheetId="10" state="visible" r:id="rId12"/>
    <sheet name="10_DATA_DICTIONARY" sheetId="11" state="visible" r:id="rId13"/>
    <sheet name="11_EVIDENCE_LOG" sheetId="12" state="visible" r:id="rId14"/>
    <sheet name="12_FOLDER_STANDARD" sheetId="13" state="visible" r:id="rId15"/>
  </sheets>
  <definedNames>
    <definedName function="false" hidden="false" localSheetId="2" name="_xlnm.Print_Titles" vbProcedure="false">02_OPPORTUNITY_REGISTER!$5:$5</definedName>
    <definedName function="false" hidden="true" localSheetId="2" name="_xlnm._FilterDatabase" vbProcedure="false">02_OPPORTUNITY_REGISTER!$A$5:$AM$47</definedName>
    <definedName function="false" hidden="false" localSheetId="3" name="_xlnm.Print_Titles" vbProcedure="false">03_ACTION_TRACKER!$5:$5</definedName>
    <definedName function="false" hidden="false" localSheetId="4" name="_xlnm.Print_Titles" vbProcedure="false">04_CALENDAR_12M!$5:$5</definedName>
    <definedName function="false" hidden="false" localSheetId="5" name="_xlnm.Print_Titles" vbProcedure="false">05_COMPLIANCE_MASTER!$5:$5</definedName>
    <definedName function="false" hidden="false" localSheetId="6" name="_xlnm.Print_Titles" vbProcedure="false">06_REGISTRATION_IDS!$5:$5</definedName>
    <definedName function="false" hidden="false" localSheetId="7" name="_xlnm.Print_Titles" vbProcedure="false">07_API_MONITORING!$5:$5</definedName>
    <definedName function="false" hidden="false" localSheetId="8" name="_xlnm.Print_Titles" vbProcedure="false">08_CONTACTS_PORTALS!$5:$5</definedName>
    <definedName function="false" hidden="false" localSheetId="10" name="_xlnm.Print_Titles" vbProcedure="false">10_DATA_DICTIONARY!$5:$5</definedName>
    <definedName function="false" hidden="false" localSheetId="11" name="_xlnm.Print_Titles" vbProcedure="false">11_EVIDENCE_LOG!$5:$5</definedName>
    <definedName function="false" hidden="false" localSheetId="12" name="_xlnm.Print_Titles" vbProcedure="false">12_FOLDER_STANDARD!$5:$5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THE ONLY DATE YOU EVER CHANGE.
Every 'Days to deadline' and every deadline flag in the register recalculates from this single cell. Change it each Monday morning.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Weighted ticket = max ticket x win probability, summed. It is a planning signal, not a forecast: many rows are rolling procurement channels with no single contract value.</t>
        </r>
      </text>
    </comment>
  </commentList>
</comments>
</file>

<file path=xl/sharedStrings.xml><?xml version="1.0" encoding="utf-8"?>
<sst xmlns="http://schemas.openxmlformats.org/spreadsheetml/2006/main" count="2631" uniqueCount="1487">
  <si>
    <t xml:space="preserve">KAYAN  |  FUNDING &amp; OPPORTUNITY INTELLIGENCE</t>
  </si>
  <si>
    <t xml:space="preserve">The single operating system for every donor, buyer, investor and prize Kayan can reach - and exactly where, how and when we fit.</t>
  </si>
  <si>
    <t xml:space="preserve">KAY-FUND-OPS-001  |  Kayan Innovation, Entrepreneurship &amp; Work Environments LLC  |  Khormaksar, Corniche Street, Aden, Yemen  |  CLASSIFICATION: INTERNAL - KAYAN CONFIDENTIAL</t>
  </si>
  <si>
    <t xml:space="preserve">CONTROL PANEL</t>
  </si>
  <si>
    <t xml:space="preserve">COLOUR LEGEND</t>
  </si>
  <si>
    <t xml:space="preserve">As-of date (drives every countdown)</t>
  </si>
  <si>
    <t xml:space="preserve">BLUE text on cream fill</t>
  </si>
  <si>
    <t xml:space="preserve">Your input. Type here.</t>
  </si>
  <si>
    <t xml:space="preserve">Reporting month</t>
  </si>
  <si>
    <t xml:space="preserve">August 2026</t>
  </si>
  <si>
    <t xml:space="preserve">Black text</t>
  </si>
  <si>
    <t xml:space="preserve">Formula. Do not overwrite.</t>
  </si>
  <si>
    <t xml:space="preserve">Register owner</t>
  </si>
  <si>
    <t xml:space="preserve">BD Lead (owner of record)</t>
  </si>
  <si>
    <t xml:space="preserve">Teal text</t>
  </si>
  <si>
    <t xml:space="preserve">Link to another sheet in this workbook.</t>
  </si>
  <si>
    <t xml:space="preserve">Review cadence</t>
  </si>
  <si>
    <t xml:space="preserve">Register reviewed weekly (Sun) - Dashboard reported monthly to the Founder</t>
  </si>
  <si>
    <t xml:space="preserve">Teal fill</t>
  </si>
  <si>
    <t xml:space="preserve">On track / strong fit / open now.</t>
  </si>
  <si>
    <t xml:space="preserve">Workbook version</t>
  </si>
  <si>
    <t xml:space="preserve">v1.0  |  built 3 August 2026</t>
  </si>
  <si>
    <t xml:space="preserve">Gold fill</t>
  </si>
  <si>
    <t xml:space="preserve">Watch / approaching / partial readiness.</t>
  </si>
  <si>
    <t xml:space="preserve">Coral fill</t>
  </si>
  <si>
    <t xml:space="preserve">Blocked, closed, overdue or ineligible.</t>
  </si>
  <si>
    <t xml:space="preserve">TEN-LINE QUICK START</t>
  </si>
  <si>
    <t xml:space="preserve">1. Set C6 to today's date. Everything downstream recalculates.</t>
  </si>
  <si>
    <t xml:space="preserve">2. Open 02_OPPORTUNITY_REGISTER. Filter column AB (Priority Band) to '1 - DO NOW'.</t>
  </si>
  <si>
    <t xml:space="preserve">THE STRUCTURAL TRUTH THIS WORKBOOK IS BUILT AROUND</t>
  </si>
  <si>
    <t xml:space="preserve">3. Work top-down by column AA (Priority Score). It is Fit x Probability x Strategic Value / Effort.</t>
  </si>
  <si>
    <t xml:space="preserve">- Kayan is a FOR-PROFIT LLC. That single fact governs eligibility across the whole estate.</t>
  </si>
  <si>
    <t xml:space="preserve">4. Only edit BLUE cells. Black cells are formulas - overwriting one breaks the dashboard.</t>
  </si>
  <si>
    <t xml:space="preserve">- Most GRANT instruments (EU CSO calls, UN Partner Portal, Tadamon) are CSO-only - Kayan LLC cannot lead.</t>
  </si>
  <si>
    <t xml:space="preserve">5. Every dropdown is fed by 09_MASTER_LISTS. Never type a status by hand.</t>
  </si>
  <si>
    <t xml:space="preserve">- Most PROCUREMENT instruments (UNGM, UNDP, INGO rosters, EU service contracts) are wide open to us.</t>
  </si>
  <si>
    <t xml:space="preserve">6. Update column AC (Stage) and AE/AF (Next action + date) after every contact. That is the whole discipline.</t>
  </si>
  <si>
    <t xml:space="preserve">- Therefore: revenue first through procurement; grants through the K4Y civic vehicle or as named local partner.</t>
  </si>
  <si>
    <t xml:space="preserve">7. 05_COMPLIANCE_MASTER is the bottleneck: no pack, no bid. Drive it to 100% before chasing grants.</t>
  </si>
  <si>
    <t xml:space="preserve">- Second hard wall: we opened in 2026. Anything needing 3 years of audited accounts is locked until ~2029.</t>
  </si>
  <si>
    <t xml:space="preserve">8. 06_REGISTRATION_IDS holds every portal login reference. Fill it as registrations complete.</t>
  </si>
  <si>
    <t xml:space="preserve">- Our wedge everywhere is the same: the ABSORPTION RATIO. No buyer above can currently evidence it. We can.</t>
  </si>
  <si>
    <t xml:space="preserve">9. 07_API_MONITORING is the auto-feed layer. Run the daily three; the pipeline fills itself.</t>
  </si>
  <si>
    <t xml:space="preserve">10. Read 11_EVIDENCE_LOG before quoting any number externally. UNVERIFIED means do not cite it.</t>
  </si>
  <si>
    <t xml:space="preserve">SHEET MAP</t>
  </si>
  <si>
    <t xml:space="preserve">01_DASHBOARD</t>
  </si>
  <si>
    <t xml:space="preserve">Live pipeline picture: what is open, what is urgent, where the value sits.</t>
  </si>
  <si>
    <t xml:space="preserve">02_OPPORTUNITY_REGISTER</t>
  </si>
  <si>
    <t xml:space="preserve">The master register. 42 channels, 39 fields, auto-scored and auto-ranked.</t>
  </si>
  <si>
    <t xml:space="preserve">03_ACTION_TRACKER</t>
  </si>
  <si>
    <t xml:space="preserve">Who does what by when. The 90-day execution sequence.</t>
  </si>
  <si>
    <t xml:space="preserve">04_CALENDAR_12M</t>
  </si>
  <si>
    <t xml:space="preserve">Aug 2026 - Aug 2027 window calendar, verified cycles vs inferred cycles.</t>
  </si>
  <si>
    <t xml:space="preserve">05_COMPLIANCE_MASTER</t>
  </si>
  <si>
    <t xml:space="preserve">The 25 documents donors repeatedly demand. Build once, reuse everywhere.</t>
  </si>
  <si>
    <t xml:space="preserve">06_REGISTRATION_IDS</t>
  </si>
  <si>
    <t xml:space="preserve">Every portal, ID number, credential owner and renewal date.</t>
  </si>
  <si>
    <t xml:space="preserve">07_API_MONITORING</t>
  </si>
  <si>
    <t xml:space="preserve">20 APIs / feeds that keep this register alive without manual searching.</t>
  </si>
  <si>
    <t xml:space="preserve">08_CONTACTS_PORTALS</t>
  </si>
  <si>
    <t xml:space="preserve">Where each funder actually lives: portal, helpdesk, info-session channel.</t>
  </si>
  <si>
    <t xml:space="preserve">09_MASTER_LISTS</t>
  </si>
  <si>
    <t xml:space="preserve">Controlled vocabularies. Source of every dropdown. Edit here, not in the register.</t>
  </si>
  <si>
    <t xml:space="preserve">10_DATA_DICTIONARY</t>
  </si>
  <si>
    <t xml:space="preserve">What every column means and how each score is calculated.</t>
  </si>
  <si>
    <t xml:space="preserve">11_EVIDENCE_LOG</t>
  </si>
  <si>
    <t xml:space="preserve">FACT vs RESEARCH CLAIM vs UNVERIFIED, with the URL to confirm each one.</t>
  </si>
  <si>
    <t xml:space="preserve">12_FOLDER_STANDARD</t>
  </si>
  <si>
    <t xml:space="preserve">The per-opportunity folder structure this workbook indexes.</t>
  </si>
  <si>
    <t xml:space="preserve">Sources: funder primary portals as at 3 Aug 2026. Figures carry an evidence grade in the register (column AK) and in 11_EVIDENCE_LOG. Anything graded UNVERIFIED must be confirmed at the URL given before it is used in a proposal, a board paper or any external document.</t>
  </si>
  <si>
    <t xml:space="preserve">PIPELINE DASHBOARD</t>
  </si>
  <si>
    <t xml:space="preserve">Everything below is live from the register. Nothing here is typed by hand.</t>
  </si>
  <si>
    <t xml:space="preserve">HEADLINE NUMBERS</t>
  </si>
  <si>
    <t xml:space="preserve">READ THIS FIRST</t>
  </si>
  <si>
    <t xml:space="preserve">CHANNELS TRACKED</t>
  </si>
  <si>
    <t xml:space="preserve">'DO NOW' PRIORITY</t>
  </si>
  <si>
    <t xml:space="preserve">URGENT (&lt;=30 DAYS)</t>
  </si>
  <si>
    <t xml:space="preserve">OPEN OR ROLLING NOW</t>
  </si>
  <si>
    <t xml:space="preserve">The pipeline is deliberately weighted to PROCUREMENT, not grants.</t>
  </si>
  <si>
    <t xml:space="preserve">That is not a lack of ambition - it is the eligibility map. A for-profit LLC is locked out of most grant windows and welcomed into most buying windows.</t>
  </si>
  <si>
    <t xml:space="preserve">LLC CAN LEAD DIRECTLY</t>
  </si>
  <si>
    <t xml:space="preserve">NEEDS K4Y OR NGO LEAD</t>
  </si>
  <si>
    <t xml:space="preserve">AVG COMPLIANCE READINESS</t>
  </si>
  <si>
    <t xml:space="preserve">MAX TICKET IN PIPELINE</t>
  </si>
  <si>
    <t xml:space="preserve">So the sequence is: earn through procurement, register for everything free, constitute K4Y to unlock the CSO-gated half of this register, and enter grants as a named partner rather than a rejected lead.</t>
  </si>
  <si>
    <t xml:space="preserve">Two hard walls to plan around:</t>
  </si>
  <si>
    <t xml:space="preserve">PIPELINE BY STAGE</t>
  </si>
  <si>
    <t xml:space="preserve">BY INSTRUMENT TYPE</t>
  </si>
  <si>
    <t xml:space="preserve">1. Three years of audited accounts (UNGM Level 2) - not before ~2029.</t>
  </si>
  <si>
    <t xml:space="preserve">Stage</t>
  </si>
  <si>
    <t xml:space="preserve">Count</t>
  </si>
  <si>
    <t xml:space="preserve">Weighted ticket (USD)</t>
  </si>
  <si>
    <t xml:space="preserve">Type</t>
  </si>
  <si>
    <t xml:space="preserve">Avg priority</t>
  </si>
  <si>
    <t xml:space="preserve">2. Single-country exclusion (Global Innovation Fund) - needs a regional thesis.</t>
  </si>
  <si>
    <t xml:space="preserve">Identified</t>
  </si>
  <si>
    <t xml:space="preserve">Procurement / Vendor</t>
  </si>
  <si>
    <t xml:space="preserve">Qualified</t>
  </si>
  <si>
    <t xml:space="preserve">Grant - Call for Proposals</t>
  </si>
  <si>
    <t xml:space="preserve">One wedge to press everywhere: the Absorption Ratio. Every buyer in this register reports training numbers. None of them can prove paid placement. We can.</t>
  </si>
  <si>
    <t xml:space="preserve">Go decision</t>
  </si>
  <si>
    <t xml:space="preserve">Accelerator</t>
  </si>
  <si>
    <t xml:space="preserve">Drafting</t>
  </si>
  <si>
    <t xml:space="preserve">Prize / Challenge</t>
  </si>
  <si>
    <t xml:space="preserve">Submitted</t>
  </si>
  <si>
    <t xml:space="preserve">Equity-free Investment</t>
  </si>
  <si>
    <t xml:space="preserve">In evaluation</t>
  </si>
  <si>
    <t xml:space="preserve">Impact Investment</t>
  </si>
  <si>
    <t xml:space="preserve">WON</t>
  </si>
  <si>
    <t xml:space="preserve">Corporate Sponsorship</t>
  </si>
  <si>
    <t xml:space="preserve">LOST</t>
  </si>
  <si>
    <t xml:space="preserve">Registration / Gateway</t>
  </si>
  <si>
    <t xml:space="preserve">Parked</t>
  </si>
  <si>
    <t xml:space="preserve">Sub-contract / Consortium</t>
  </si>
  <si>
    <t xml:space="preserve">Not eligible</t>
  </si>
  <si>
    <t xml:space="preserve">TOTAL</t>
  </si>
  <si>
    <t xml:space="preserve">BY KAYAN BUSINESS LINE</t>
  </si>
  <si>
    <t xml:space="preserve">Kayan line</t>
  </si>
  <si>
    <t xml:space="preserve">Channels</t>
  </si>
  <si>
    <t xml:space="preserve">Vehicle</t>
  </si>
  <si>
    <t xml:space="preserve">Managed Delivery</t>
  </si>
  <si>
    <t xml:space="preserve">Kayan LLC</t>
  </si>
  <si>
    <t xml:space="preserve">The Hub</t>
  </si>
  <si>
    <t xml:space="preserve">K4Y (non-profit)</t>
  </si>
  <si>
    <t xml:space="preserve">Kayan Forge</t>
  </si>
  <si>
    <t xml:space="preserve">Either</t>
  </si>
  <si>
    <t xml:space="preserve">Kayan for Yemen (K4Y)</t>
  </si>
  <si>
    <t xml:space="preserve">LLC via NGO lead</t>
  </si>
  <si>
    <t xml:space="preserve">Verification / Kayan Card</t>
  </si>
  <si>
    <t xml:space="preserve">Cross-cutting</t>
  </si>
  <si>
    <t xml:space="preserve">TOP 12 BY PRIORITY SCORE  (auto-ranked - work this list top-down)</t>
  </si>
  <si>
    <t xml:space="preserve">Rank</t>
  </si>
  <si>
    <t xml:space="preserve">Opp ID</t>
  </si>
  <si>
    <t xml:space="preserve">Funder</t>
  </si>
  <si>
    <t xml:space="preserve">Instrument</t>
  </si>
  <si>
    <t xml:space="preserve">Priority</t>
  </si>
  <si>
    <t xml:space="preserve">Owner</t>
  </si>
  <si>
    <t xml:space="preserve">Flag</t>
  </si>
  <si>
    <t xml:space="preserve">Deadline</t>
  </si>
  <si>
    <t xml:space="preserve">MASTER OPPORTUNITY REGISTER</t>
  </si>
  <si>
    <t xml:space="preserve">42 funding, procurement, investment and sponsorship channels - scored, ranked, owned and dated. This sheet is the company's pipeline of non-client revenue.</t>
  </si>
  <si>
    <t xml:space="preserve">Funder / Buyer</t>
  </si>
  <si>
    <t xml:space="preserve">Instrument / Programme</t>
  </si>
  <si>
    <t xml:space="preserve">Kayan line fed</t>
  </si>
  <si>
    <t xml:space="preserve">Vehicle to use</t>
  </si>
  <si>
    <t xml:space="preserve">Status</t>
  </si>
  <si>
    <t xml:space="preserve">Cycle history / next predicted window</t>
  </si>
  <si>
    <t xml:space="preserve">Ticket min (USD)</t>
  </si>
  <si>
    <t xml:space="preserve">Ticket max (USD)</t>
  </si>
  <si>
    <t xml:space="preserve">Envelope / notes</t>
  </si>
  <si>
    <t xml:space="preserve">Ccy</t>
  </si>
  <si>
    <t xml:space="preserve">Co-fin %</t>
  </si>
  <si>
    <t xml:space="preserve">LLC can LEAD?</t>
  </si>
  <si>
    <t xml:space="preserve">LLC can PARTNER / vend?</t>
  </si>
  <si>
    <t xml:space="preserve">Min yrs existence</t>
  </si>
  <si>
    <t xml:space="preserve">Registration required</t>
  </si>
  <si>
    <t xml:space="preserve">Portal / URL</t>
  </si>
  <si>
    <t xml:space="preserve">Application stages</t>
  </si>
  <si>
    <t xml:space="preserve">Key forms &amp; annexes</t>
  </si>
  <si>
    <t xml:space="preserve">What evaluators reward</t>
  </si>
  <si>
    <t xml:space="preserve">Fit 1-5</t>
  </si>
  <si>
    <t xml:space="preserve">Win prob %</t>
  </si>
  <si>
    <t xml:space="preserve">Strategic value 1-5</t>
  </si>
  <si>
    <t xml:space="preserve">Effort hrs</t>
  </si>
  <si>
    <t xml:space="preserve">PRIORITY</t>
  </si>
  <si>
    <t xml:space="preserve">Band</t>
  </si>
  <si>
    <t xml:space="preserve">Next action</t>
  </si>
  <si>
    <t xml:space="preserve">Next action date</t>
  </si>
  <si>
    <t xml:space="preserve">Days to deadline</t>
  </si>
  <si>
    <t xml:space="preserve">Compliance ready %</t>
  </si>
  <si>
    <t xml:space="preserve">Monitoring source</t>
  </si>
  <si>
    <t xml:space="preserve">Evidence grade</t>
  </si>
  <si>
    <t xml:space="preserve">Kayan hook / decisive note</t>
  </si>
  <si>
    <t xml:space="preserve">Rank key</t>
  </si>
  <si>
    <t xml:space="preserve">KAY-OPP-001</t>
  </si>
  <si>
    <t xml:space="preserve">UNGM (UN Global Marketplace)</t>
  </si>
  <si>
    <t xml:space="preserve">Supplier registration - Basic / Level 1 / Level 2</t>
  </si>
  <si>
    <t xml:space="preserve">ROLLING</t>
  </si>
  <si>
    <t xml:space="preserve">Continuous. Free. Gateway to 40+ UN agencies.</t>
  </si>
  <si>
    <t xml:space="preserve">No ticket - this is the key that unlocks all UN tenders</t>
  </si>
  <si>
    <t xml:space="preserve">USD</t>
  </si>
  <si>
    <t xml:space="preserve">Yes</t>
  </si>
  <si>
    <t xml:space="preserve">UNGM account; certified EN translation of CR 26667</t>
  </si>
  <si>
    <t xml:space="preserve">https://www.ungm.org</t>
  </si>
  <si>
    <t xml:space="preserve">Basic (instant) &gt; Level 1 (cert of incorporation, 3 independent refs, ownership) &gt; Level 2 (3 yrs audited accounts)</t>
  </si>
  <si>
    <t xml:space="preserve">Certificate of incorporation (EN), 3 non-affiliated client references, beneficial ownership, audited accounts (L2)</t>
  </si>
  <si>
    <t xml:space="preserve">N/A - registration, not scored</t>
  </si>
  <si>
    <t xml:space="preserve">COO / Registration Lead</t>
  </si>
  <si>
    <t xml:space="preserve">Complete Basic + Level 1 this week; commission certified EN translations of CR 26667 and Licence 109/2026</t>
  </si>
  <si>
    <t xml:space="preserve">UNGM notices (daily)</t>
  </si>
  <si>
    <t xml:space="preserve">FACT</t>
  </si>
  <si>
    <t xml:space="preserve">UN procurement hit USD 25.7bn in 2024 (+2.9%), of which USD 5.0bn from LDCs - Yemen suppliers are actively prioritised. Level 2 is blocked until ~2029 (needs 3 yrs audited accounts); Level 1 is enough for most tenders.</t>
  </si>
  <si>
    <t xml:space="preserve">KAY-OPP-002</t>
  </si>
  <si>
    <t xml:space="preserve">UNDP Yemen</t>
  </si>
  <si>
    <t xml:space="preserve">Procurement - Quantum supplier portal / procurement-notices</t>
  </si>
  <si>
    <t xml:space="preserve">Notices post continuously; each carries its own deadline.</t>
  </si>
  <si>
    <t xml:space="preserve">RFQ (low value) / ITB (goods) / RFP (services); LTAs for recurring services</t>
  </si>
  <si>
    <t xml:space="preserve">Quantum supplier registration + UNGM</t>
  </si>
  <si>
    <t xml:space="preserve">https://procurement-notices.undp.org</t>
  </si>
  <si>
    <t xml:space="preserve">Register in Quantum &gt; monitor notices &gt; submit via eTendering</t>
  </si>
  <si>
    <t xml:space="preserve">Company profile, financials, past-performance references, bid security on large ITBs</t>
  </si>
  <si>
    <t xml:space="preserve">Technical/financial split stated per RFP (commonly ~70/30); local presence and past performance</t>
  </si>
  <si>
    <t xml:space="preserve">Register in Quantum supplier portal; bid the first two low-value RFQs in translation / data collection</t>
  </si>
  <si>
    <t xml:space="preserve">UNDP procurement notices (daily)</t>
  </si>
  <si>
    <t xml:space="preserve">The single largest local buyer of services in Yemen and executor of ESPECRP and ERRY III. Our fastest realistic first contract. Win small, deliver clean, then push for an LTA.</t>
  </si>
  <si>
    <t xml:space="preserve">KAY-OPP-003</t>
  </si>
  <si>
    <t xml:space="preserve">WFP Yemen</t>
  </si>
  <si>
    <t xml:space="preserve">Country office procurement (goods, services, logistics)</t>
  </si>
  <si>
    <t xml:space="preserve">Rolling tenders; LTAs for recurring service lines.</t>
  </si>
  <si>
    <t xml:space="preserve">Vendor contracts and LTAs</t>
  </si>
  <si>
    <t xml:space="preserve">UNGM registration + WFP vendor forms</t>
  </si>
  <si>
    <t xml:space="preserve">https://www.wfp.org/procurement</t>
  </si>
  <si>
    <t xml:space="preserve">UNGM &gt; WFP solicitation &gt; technical + financial offer</t>
  </si>
  <si>
    <t xml:space="preserve">Corporate and financial documents; PSEA policy expected</t>
  </si>
  <si>
    <t xml:space="preserve">Price, capacity, delivery reliability, compliance</t>
  </si>
  <si>
    <t xml:space="preserve">BD Lead</t>
  </si>
  <si>
    <t xml:space="preserve">Register as vendor once UNGM Level 1 is live; target data collection and translation lines</t>
  </si>
  <si>
    <t xml:space="preserve">NGO partnership route (Field Level Agreements) runs through the UN Partner Portal and is CSO-only - so we come in as a commercial vendor, not a partner.</t>
  </si>
  <si>
    <t xml:space="preserve">KAY-OPP-004</t>
  </si>
  <si>
    <t xml:space="preserve">UNICEF Yemen</t>
  </si>
  <si>
    <t xml:space="preserve">Procurement and Long-Term Agreements</t>
  </si>
  <si>
    <t xml:space="preserve">Rolling; LTAs re-tendered periodically.</t>
  </si>
  <si>
    <t xml:space="preserve">LTAs for research, data, communications</t>
  </si>
  <si>
    <t xml:space="preserve">UNGM registration</t>
  </si>
  <si>
    <t xml:space="preserve">https://www.unicef.org/supply</t>
  </si>
  <si>
    <t xml:space="preserve">UNGM &gt; tender &gt; offer</t>
  </si>
  <si>
    <t xml:space="preserve">Standard corporate pack + child-safeguarding declaration</t>
  </si>
  <si>
    <t xml:space="preserve">Technical quality, safeguarding posture, price</t>
  </si>
  <si>
    <t xml:space="preserve">Draft child-safeguarding policy, then register interest for research and C4D content LTAs</t>
  </si>
  <si>
    <t xml:space="preserve">KAP surveys, C4D content and data work map directly onto our delivery teams. Our inclusion-by-design rule (&gt;=50% women and IDP) is a live differentiator here.</t>
  </si>
  <si>
    <t xml:space="preserve">KAY-OPP-005</t>
  </si>
  <si>
    <t xml:space="preserve">UNHCR Yemen</t>
  </si>
  <si>
    <t xml:space="preserve">Vendor procurement (partner route is CSO-only)</t>
  </si>
  <si>
    <t xml:space="preserve">Rolling; partner CFEIs post on the UN Partner Portal.</t>
  </si>
  <si>
    <t xml:space="preserve">Vendor tenders</t>
  </si>
  <si>
    <t xml:space="preserve">No</t>
  </si>
  <si>
    <t xml:space="preserve">UNGM; UNPP for the (CSO-only) partner route</t>
  </si>
  <si>
    <t xml:space="preserve">https://www.unhcr.org/procurement</t>
  </si>
  <si>
    <t xml:space="preserve">Corporate pack; PSEA mandatory for partners</t>
  </si>
  <si>
    <t xml:space="preserve">Capacity in IDP settings, protection sensitivity, price</t>
  </si>
  <si>
    <t xml:space="preserve">Position for translation and enumeration in IDP settings once first UN reference is banked</t>
  </si>
  <si>
    <t xml:space="preserve">Implementing-partner status is closed to an LLC. Vendor status is open. Do not confuse the two in outreach.</t>
  </si>
  <si>
    <t xml:space="preserve">KAY-OPP-006</t>
  </si>
  <si>
    <t xml:space="preserve">IOM Yemen</t>
  </si>
  <si>
    <t xml:space="preserve">Vendor procurement incl. DTM data operations</t>
  </si>
  <si>
    <t xml:space="preserve">Rolling.</t>
  </si>
  <si>
    <t xml:space="preserve">Vendor tenders; data collection at scale</t>
  </si>
  <si>
    <t xml:space="preserve">UNGM + IOM vendor registration</t>
  </si>
  <si>
    <t xml:space="preserve">https://www.iom.int/procurement</t>
  </si>
  <si>
    <t xml:space="preserve">UNGM &gt; IOM vendor registration &gt; tender</t>
  </si>
  <si>
    <t xml:space="preserve">Corporate pack, PSEA, data-protection policy</t>
  </si>
  <si>
    <t xml:space="preserve">Enumeration capacity, geographic reach, data quality</t>
  </si>
  <si>
    <t xml:space="preserve">Target Displacement Tracking Matrix enumeration and translation packages</t>
  </si>
  <si>
    <t xml:space="preserve">IOM's DTM is one of the largest continuous data-collection operations in Yemen. This is the closest match in the entire UN system to what our delivery teams already do.</t>
  </si>
  <si>
    <t xml:space="preserve">KAY-OPP-007</t>
  </si>
  <si>
    <t xml:space="preserve">UNOPS Yemen</t>
  </si>
  <si>
    <t xml:space="preserve">eSourcing procurement (also executes World Bank work)</t>
  </si>
  <si>
    <t xml:space="preserve">Works, goods and services tenders</t>
  </si>
  <si>
    <t xml:space="preserve">UNGM + UNOPS eSourcing</t>
  </si>
  <si>
    <t xml:space="preserve">https://www.unops.org</t>
  </si>
  <si>
    <t xml:space="preserve">UNGM &gt; eSourcing &gt; tender</t>
  </si>
  <si>
    <t xml:space="preserve">Corporate pack; bonding on works</t>
  </si>
  <si>
    <t xml:space="preserve">Compliance, price, capacity</t>
  </si>
  <si>
    <t xml:space="preserve">Register in eSourcing; screen for M&amp;E and data packages attached to infrastructure programmes</t>
  </si>
  <si>
    <t xml:space="preserve">UNGM notices (weekly)</t>
  </si>
  <si>
    <t xml:space="preserve">Mostly infrastructure, but the M&amp;E and third-party monitoring wrapped around it is ours. UNOPS also compiles the UN Annual Statistical Report - useful market intelligence.</t>
  </si>
  <si>
    <t xml:space="preserve">KAY-OPP-008</t>
  </si>
  <si>
    <t xml:space="preserve">UN Women Yemen</t>
  </si>
  <si>
    <t xml:space="preserve">Vendor procurement + women's economic empowerment CFPs</t>
  </si>
  <si>
    <t xml:space="preserve">Rolling vendor; periodic grant CFPs (CSO-oriented).</t>
  </si>
  <si>
    <t xml:space="preserve">Vendor contracts; grant CFPs</t>
  </si>
  <si>
    <t xml:space="preserve">UNGM (vendor); UNPP / portal (grant)</t>
  </si>
  <si>
    <t xml:space="preserve">https://www.unwomen.org/en/about-us/procurement</t>
  </si>
  <si>
    <t xml:space="preserve">UNGM &gt; tender; grants via CFP</t>
  </si>
  <si>
    <t xml:space="preserve">Gender policy strongly rewarded; PSEA</t>
  </si>
  <si>
    <t xml:space="preserve">Gender-transformative design, women's outcomes, safeguarding</t>
  </si>
  <si>
    <t xml:space="preserve">Partnerships Lead</t>
  </si>
  <si>
    <t xml:space="preserve">Write the formal Kayan gender and inclusion policy, then approach on training and data packages</t>
  </si>
  <si>
    <t xml:space="preserve">Our strongest narrative fit in the UN system: &gt;=50% women in sponsored cohorts, a women-inclusive Hub, and an Absorption Ratio that proves women reached paid work - not just training.</t>
  </si>
  <si>
    <t xml:space="preserve">KAY-OPP-009</t>
  </si>
  <si>
    <t xml:space="preserve">FAO / UNFPA / WHO Yemen</t>
  </si>
  <si>
    <t xml:space="preserve">Country office vendor procurement</t>
  </si>
  <si>
    <t xml:space="preserve">Rolling across three agencies.</t>
  </si>
  <si>
    <t xml:space="preserve">Survey, enumeration and data contracts</t>
  </si>
  <si>
    <t xml:space="preserve">UNGM</t>
  </si>
  <si>
    <t xml:space="preserve">UNGM &gt; agency tender</t>
  </si>
  <si>
    <t xml:space="preserve">Corporate pack; research-ethics and data-protection policies</t>
  </si>
  <si>
    <t xml:space="preserve">Sector references, methodology, ethics</t>
  </si>
  <si>
    <t xml:space="preserve">Add sector-specific methodology notes to the capability statement</t>
  </si>
  <si>
    <t xml:space="preserve">Lower value individually, but three more doors into the same building once the UNGM pack exists. Marginal effort per additional agency is near zero.</t>
  </si>
  <si>
    <t xml:space="preserve">KAY-OPP-010</t>
  </si>
  <si>
    <t xml:space="preserve">UN Partner Portal (UNPP)</t>
  </si>
  <si>
    <t xml:space="preserve">Implementing-partner registration (7+ UN agencies)</t>
  </si>
  <si>
    <t xml:space="preserve">Rolling registration; CFEIs posted per agency.</t>
  </si>
  <si>
    <t xml:space="preserve">Gateway to FLA / PPA / PCA partnership agreements</t>
  </si>
  <si>
    <t xml:space="preserve">CSO registration + harmonised due diligence + PSEA</t>
  </si>
  <si>
    <t xml:space="preserve">https://www.unpartnerportal.org/landing</t>
  </si>
  <si>
    <t xml:space="preserve">Create CSO profile &gt; due diligence &gt; apply to Calls for Expression of Interest</t>
  </si>
  <si>
    <t xml:space="preserve">Government registration decision, governance docs, financials, PSEA policy</t>
  </si>
  <si>
    <t xml:space="preserve">Due-diligence pass, PSEA, delivery capacity</t>
  </si>
  <si>
    <t xml:space="preserve">K4Y Lead</t>
  </si>
  <si>
    <t xml:space="preserve">BLOCKED until K4Y is constituted as a non-profit legal entity - put the constitution decision to the Founder</t>
  </si>
  <si>
    <t xml:space="preserve">UNPP (monthly)</t>
  </si>
  <si>
    <t xml:space="preserve">Mandatory for WFP NGO partnerships since 2023 and shared by UNICEF, UNHCR, WFP, UNFPA, IOM, UN Women, UNOPS and others. A for-profit LLC simply cannot register. This is the single strongest argument for constituting K4Y properly.</t>
  </si>
  <si>
    <t xml:space="preserve">KAY-OPP-011</t>
  </si>
  <si>
    <t xml:space="preserve">EU Delegation to Yemen</t>
  </si>
  <si>
    <t xml:space="preserve">EuropeAid/186235 - Economic empowerment of women</t>
  </si>
  <si>
    <t xml:space="preserve">CLOSED</t>
  </si>
  <si>
    <t xml:space="preserve">Announced 15 Apr 2026, closed 3 Jun 2026 12:00 Brussels. Expect an equivalent window ~Q2 2027.</t>
  </si>
  <si>
    <t xml:space="preserve">EUR 5,000,000 envelope; actions 36-48 months, implemented in Yemen</t>
  </si>
  <si>
    <t xml:space="preserve">EUR</t>
  </si>
  <si>
    <t xml:space="preserve">PIC + PADOR/PROSPECT on EU Funding &amp; Tenders Portal</t>
  </si>
  <si>
    <t xml:space="preserve">https://www.eeas.europa.eu/delegations/yemen</t>
  </si>
  <si>
    <t xml:space="preserve">Restricted: Concept Note &gt; Full Application</t>
  </si>
  <si>
    <t xml:space="preserve">Concept Note, Full Application Form, Budget, Logical Framework, Declaration of Honour, Legal Entity File, Financial Identification Form</t>
  </si>
  <si>
    <t xml:space="preserve">Relevance to women's economic empowerment, financial and operational capacity, design, sustainability, cost-effectiveness</t>
  </si>
  <si>
    <t xml:space="preserve">Secure a CSO or INGO lead now and be named as local partner in the 2027 equivalent; register PIC immediately</t>
  </si>
  <si>
    <t xml:space="preserve">EU F&amp;T Portal (weekly)</t>
  </si>
  <si>
    <t xml:space="preserve">The call's own words: creation of dignified job opportunities for women through gender-transformative skills development and equitable access to labour markets. That is Forge + Hub + K4Y described by the donor. We cannot lead (CSOs only) - so we must be somebody's named local partner well before the call opens.</t>
  </si>
  <si>
    <t xml:space="preserve">KAY-OPP-012</t>
  </si>
  <si>
    <t xml:space="preserve">EuropeAid/185125 - Support to civil society organisations</t>
  </si>
  <si>
    <t xml:space="preserve">Closed 29 Jan 2026 12:00 Brussels; info sessions Dec 2025 (incl. Aden). Expect ~Q1 2027 equivalent.</t>
  </si>
  <si>
    <t xml:space="preserve">EUR 4,084,330 envelope; actions 36-48 months</t>
  </si>
  <si>
    <t xml:space="preserve">PIC + PADOR</t>
  </si>
  <si>
    <t xml:space="preserve">Same PRAG annex set as 186235</t>
  </si>
  <si>
    <t xml:space="preserve">CSO capacity, relevance, sustainability</t>
  </si>
  <si>
    <t xml:space="preserve">Only actionable once K4Y is a registered non-profit; join the Delegation call mailing list now regardless</t>
  </si>
  <si>
    <t xml:space="preserve">Strictly CSO-only. Value here is not the money - it is that the EU ran an Aden info session, which means the Delegation is reachable in person.</t>
  </si>
  <si>
    <t xml:space="preserve">KAY-OPP-013</t>
  </si>
  <si>
    <t xml:space="preserve">European Commission</t>
  </si>
  <si>
    <t xml:space="preserve">PIC / Participant Register + PADOR registration</t>
  </si>
  <si>
    <t xml:space="preserve">Continuous. Free. Prerequisite for every EU grant and tender.</t>
  </si>
  <si>
    <t xml:space="preserve">No ticket - gateway</t>
  </si>
  <si>
    <t xml:space="preserve">EU Login &gt; Participant Register &gt; 9-digit PIC</t>
  </si>
  <si>
    <t xml:space="preserve">https://ec.europa.eu/info/funding-tenders/opportunities/portal</t>
  </si>
  <si>
    <t xml:space="preserve">EU Login &gt; Participant Register &gt; upload Legal Entity + Financial ID &gt; validation</t>
  </si>
  <si>
    <t xml:space="preserve">Registration certificate, statutes, tax/VAT, financial identification form, bank details</t>
  </si>
  <si>
    <t xml:space="preserve">N/A - registration</t>
  </si>
  <si>
    <t xml:space="preserve">Register a PIC for BOTH Kayan LLC and K4Y this month - zero cost, unlocks everything EU</t>
  </si>
  <si>
    <t xml:space="preserve">EU F&amp;T Portal</t>
  </si>
  <si>
    <t xml:space="preserve">Cheapest high-value action in the entire register. Six hours of work that permanently removes a blocker from every future EU opportunity.</t>
  </si>
  <si>
    <t xml:space="preserve">KAY-OPP-014</t>
  </si>
  <si>
    <t xml:space="preserve">EU / contracting authorities</t>
  </si>
  <si>
    <t xml:space="preserve">EU service contracts advertised on TED</t>
  </si>
  <si>
    <t xml:space="preserve">Rolling notices on TED and the F&amp;T Portal.</t>
  </si>
  <si>
    <t xml:space="preserve">Service and framework contracts</t>
  </si>
  <si>
    <t xml:space="preserve">PIC; consortium arrangements</t>
  </si>
  <si>
    <t xml:space="preserve">https://ted.europa.eu</t>
  </si>
  <si>
    <t xml:space="preserve">Tender dossier: technical + financial offer, usually within a consortium</t>
  </si>
  <si>
    <t xml:space="preserve">Corporate, financial and experience documents; exclusion declarations</t>
  </si>
  <si>
    <t xml:space="preserve">Best price-quality ratio; team CVs; methodology</t>
  </si>
  <si>
    <t xml:space="preserve">Build two consortium relationships with international firms bidding EU Yemen work</t>
  </si>
  <si>
    <t xml:space="preserve">TED API (weekly)</t>
  </si>
  <si>
    <t xml:space="preserve">The critical asymmetry: EU GRANTS exclude for-profits, EU SERVICE CONTRACTS do not. This is our legitimate EU money route and it is under-used by Yemeni firms.</t>
  </si>
  <si>
    <t xml:space="preserve">KAY-OPP-015</t>
  </si>
  <si>
    <t xml:space="preserve">EU + HSA Group (ROWAD / DeepRoot)</t>
  </si>
  <si>
    <t xml:space="preserve">WATHBA Accelerator - 6-month cohort programme</t>
  </si>
  <si>
    <t xml:space="preserve">RECURRING</t>
  </si>
  <si>
    <t xml:space="preserve">Cohort 1 Jan-Jun 2024 (9 startups); Cohort 2 Apr-Jul 2026 (10 startups). Cohort 3 window not yet posted.</t>
  </si>
  <si>
    <t xml:space="preserve">Programme is EUR 4.6m EU contribution over 5 yrs from Aug 2024; per-startup grant not published</t>
  </si>
  <si>
    <t xml:space="preserve">Online application via ROWAD</t>
  </si>
  <si>
    <t xml:space="preserve">https://rowad.org</t>
  </si>
  <si>
    <t xml:space="preserve">Application &gt; selection &gt; 6-month accelerator</t>
  </si>
  <si>
    <t xml:space="preserve">Registration, pitch deck, team CVs, financials</t>
  </si>
  <si>
    <t xml:space="preserve">Innovation, impact, scalability, team quality</t>
  </si>
  <si>
    <t xml:space="preserve">CEO</t>
  </si>
  <si>
    <t xml:space="preserve">Open a direct line to ROWAD and DeepRoot now; register interest ahead of the Cohort 3 call</t>
  </si>
  <si>
    <t xml:space="preserve">Google Alerts + ROWAD site (weekly)</t>
  </si>
  <si>
    <t xml:space="preserve">Best-fit accelerator on earth for us: Yemen-operating, innovative, youth and women job creation, digital sector. We are exactly the company this instrument was designed for. Per-startup grant size is unpublished - confirm at rowad.org.</t>
  </si>
  <si>
    <t xml:space="preserve">KAY-OPP-016</t>
  </si>
  <si>
    <t xml:space="preserve">WATHBA / ROWAD</t>
  </si>
  <si>
    <t xml:space="preserve">Yemen Angel Investment Network (YAIN)</t>
  </si>
  <si>
    <t xml:space="preserve">Pitch route open. First pitch event 'Almustathmer' Aden 23 Jul 2026; angel forum Aden Sep 2025.</t>
  </si>
  <si>
    <t xml:space="preserve">Targeting 25 champion angel investors; ticket sizes not published</t>
  </si>
  <si>
    <t xml:space="preserve">Pitch submission via wathba.ventures/yain</t>
  </si>
  <si>
    <t xml:space="preserve">https://wathba.ventures</t>
  </si>
  <si>
    <t xml:space="preserve">Submit pitch &gt; selection &gt; pitch event</t>
  </si>
  <si>
    <t xml:space="preserve">Pitch deck, financial model, cap table</t>
  </si>
  <si>
    <t xml:space="preserve">Traction, team, return potential</t>
  </si>
  <si>
    <t xml:space="preserve">Decide the capital question first: we are agent/net-fee and take no equity - is equity wanted at all?</t>
  </si>
  <si>
    <t xml:space="preserve">Google Alerts (weekly)</t>
  </si>
  <si>
    <t xml:space="preserve">RESEARCH CLAIM</t>
  </si>
  <si>
    <t xml:space="preserve">Strategic caution: Kayan's model is net-fee revenue, not equity dilution. YAIN may be more valuable to us as a relationship and referral channel for Kayan-verified founders than as a source of our own capital.</t>
  </si>
  <si>
    <t xml:space="preserve">KAY-OPP-017</t>
  </si>
  <si>
    <t xml:space="preserve">Wathba Impact Investment Fund (WIIF)</t>
  </si>
  <si>
    <t xml:space="preserve">PRE-OPERATIONAL</t>
  </si>
  <si>
    <t xml:space="preserve">Described in future tense on official pages; no fund size, manager or portfolio published.</t>
  </si>
  <si>
    <t xml:space="preserve">Stated intent: invest in up to 20 startups in agriculture, energy, digital innovation</t>
  </si>
  <si>
    <t xml:space="preserve">'Request a meeting' web form only</t>
  </si>
  <si>
    <t xml:space="preserve">Meeting request &gt; diligence</t>
  </si>
  <si>
    <t xml:space="preserve">Not published</t>
  </si>
  <si>
    <t xml:space="preserve">Job creation and women's participation stated as focus</t>
  </si>
  <si>
    <t xml:space="preserve">Monitor quarterly; offer WIIF a verification/diligence service on its own pipeline rather than seeking investment</t>
  </si>
  <si>
    <t xml:space="preserve">Google Alerts (monthly)</t>
  </si>
  <si>
    <t xml:space="preserve">Ticket range and 20-startup intent are published; fund size and manager are not. Treat as pre-operational until proven otherwise. The smarter play is selling Verification-as-a-Service into their diligence process.</t>
  </si>
  <si>
    <t xml:space="preserve">KAY-OPP-018</t>
  </si>
  <si>
    <t xml:space="preserve">World Bank Group</t>
  </si>
  <si>
    <t xml:space="preserve">IDA Yemen portfolio - consultant selection (QCBS / CQS / IC) via STEP</t>
  </si>
  <si>
    <t xml:space="preserve">Rolling notices tied to project implementation plans.</t>
  </si>
  <si>
    <t xml:space="preserve">ESPECRP alone: original ~USD 204m IDA, scaled to USD 232.9m, plus USD 207m additional financing (Mar 2023)</t>
  </si>
  <si>
    <t xml:space="preserve">STEP registration; project PIU prequalification</t>
  </si>
  <si>
    <t xml:space="preserve">https://step.worldbank.org</t>
  </si>
  <si>
    <t xml:space="preserve">EOI &gt; shortlist &gt; RFP &gt; contract</t>
  </si>
  <si>
    <t xml:space="preserve">Corporate, financial and experience records; consultant CVs</t>
  </si>
  <si>
    <t xml:space="preserve">QCBS technical/financial weighting per RFP; relevant assignments</t>
  </si>
  <si>
    <t xml:space="preserve">Register in STEP and monitor procurement notices tied to SFD, UNDP and UNOPS-executed IDA projects</t>
  </si>
  <si>
    <t xml:space="preserve">World Bank Procurement Notices API (weekly)</t>
  </si>
  <si>
    <t xml:space="preserve">We never bid the Bank directly - IDA money reaches Yemen through UNDP, UNICEF, UNOPS and the national agencies. So the Bank matters as intelligence: it tells us what SFD and SMEPS will be buying 6-12 months out.</t>
  </si>
  <si>
    <t xml:space="preserve">KAY-OPP-019</t>
  </si>
  <si>
    <t xml:space="preserve">Social Fund for Development (SFD)</t>
  </si>
  <si>
    <t xml:space="preserve">Consultancy, survey, training and community contracts</t>
  </si>
  <si>
    <t xml:space="preserve">Rolling tenders and consultancies.</t>
  </si>
  <si>
    <t xml:space="preserve">Contract-based; major World Bank implementer (ESPECRP)</t>
  </si>
  <si>
    <t xml:space="preserve">SFD vendor listing / tender response</t>
  </si>
  <si>
    <t xml:space="preserve">https://www.sfd-yemen.org</t>
  </si>
  <si>
    <t xml:space="preserve">Tender notice &gt; technical + financial offer</t>
  </si>
  <si>
    <t xml:space="preserve">Commercial registration, financials, references, methodology</t>
  </si>
  <si>
    <t xml:space="preserve">Local delivery capacity, cost, past performance</t>
  </si>
  <si>
    <t xml:space="preserve">Request vendor onboarding at the SFD Aden office; lead with beneficiary verification and M&amp;E</t>
  </si>
  <si>
    <t xml:space="preserve">Direct / DevelopmentAid (monthly)</t>
  </si>
  <si>
    <t xml:space="preserve">SFD is the spine of donor delivery in Yemen. Getting on its vendor list is worth more than any single grant, because it recurs. No public e-procurement portal was confirmed - go in person in Aden.</t>
  </si>
  <si>
    <t xml:space="preserve">KAY-OPP-020</t>
  </si>
  <si>
    <t xml:space="preserve">SMEPS (SFD subsidiary)</t>
  </si>
  <si>
    <t xml:space="preserve">Business development, training and value-chain contracts</t>
  </si>
  <si>
    <t xml:space="preserve">Rolling; runs EU/UNESCO creative-economy and World Bank MSME programmes.</t>
  </si>
  <si>
    <t xml:space="preserve">Service contracts and delivery partnerships</t>
  </si>
  <si>
    <t xml:space="preserve">SMEPS RFP response / partnering</t>
  </si>
  <si>
    <t xml:space="preserve">https://smeps.org.ye</t>
  </si>
  <si>
    <t xml:space="preserve">RFP &gt; technical + financial offer</t>
  </si>
  <si>
    <t xml:space="preserve">Commercial registration, financials, methodology</t>
  </si>
  <si>
    <t xml:space="preserve">BDS track record, outcome evidence, cost</t>
  </si>
  <si>
    <t xml:space="preserve">Pitch a Verification-as-a-Service pilot on an existing SMEPS cohort - prove the Absorption Ratio on their data</t>
  </si>
  <si>
    <t xml:space="preserve">Direct (monthly)</t>
  </si>
  <si>
    <t xml:space="preserve">The highest-strategy relationship in this register. SMEPS runs creative-industries and MSME training but cannot evidence placement outcomes. We can. Position as complementary rails, never as a rival trainer.</t>
  </si>
  <si>
    <t xml:space="preserve">KAY-OPP-021</t>
  </si>
  <si>
    <t xml:space="preserve">IFC (World Bank Group)</t>
  </si>
  <si>
    <t xml:space="preserve">She WINS Arabia - women-led startup programme</t>
  </si>
  <si>
    <t xml:space="preserve">Round 2 launched Nov 2022 targeting 100 women-led startups + 30 fund managers. Yemen eligible. Next round unposted.</t>
  </si>
  <si>
    <t xml:space="preserve">In-kind: training, mentorship, investor linkages, cloud credits - not a cash grant</t>
  </si>
  <si>
    <t xml:space="preserve">Online application (round-specific)</t>
  </si>
  <si>
    <t xml:space="preserve">https://www.ifc.org/en/where-we-work/middle-east/promoting-inclusion/she-wins-arabia</t>
  </si>
  <si>
    <t xml:space="preserve">Application &gt; jury selection &gt; programme</t>
  </si>
  <si>
    <t xml:space="preserve">Pitch, financials, cap table, evidence of women-led status</t>
  </si>
  <si>
    <t xml:space="preserve">Women-led governance, scalability, investment readiness</t>
  </si>
  <si>
    <t xml:space="preserve">Document women's share of ownership and leadership formally - it is the gate for this and several other windows</t>
  </si>
  <si>
    <t xml:space="preserve">IFC's own framing: only about 6% of regional private equity and venture funding goes to female-led enterprises. Eligibility turns entirely on whether Kayan can evidence women-led status - a governance decision, not a paperwork one.</t>
  </si>
  <si>
    <t xml:space="preserve">KAY-OPP-022</t>
  </si>
  <si>
    <t xml:space="preserve">IsDB / ISFD - Tadamon</t>
  </si>
  <si>
    <t xml:space="preserve">Tadamon Accelerator (CSO cohorts)</t>
  </si>
  <si>
    <t xml:space="preserve">Food Security edition deadline 20 Jan 2025; USD 850,000 awarded to 50 CSOs on 8 May 2026. Expect ~Jan cycle.</t>
  </si>
  <si>
    <t xml:space="preserve">Up to USD 40,000 per CSO; 100 shortlisted &gt; 55 &gt; 50 funded</t>
  </si>
  <si>
    <t xml:space="preserve">Free CSO profile on tadamon.community</t>
  </si>
  <si>
    <t xml:space="preserve">https://tadamon.community</t>
  </si>
  <si>
    <t xml:space="preserve">Register CSO profile &gt; apply &gt; 11-week programme &gt; grant</t>
  </si>
  <si>
    <t xml:space="preserve">CSO registration proof, project plan, video pitch</t>
  </si>
  <si>
    <t xml:space="preserve">Business model, impact, feasibility, team</t>
  </si>
  <si>
    <t xml:space="preserve">Create the K4Y profile on tadamon.community now so it is pre-verified when the next cohort opens</t>
  </si>
  <si>
    <t xml:space="preserve">Tadamon site + Google Alerts (monthly)</t>
  </si>
  <si>
    <t xml:space="preserve">Tadamon 1.0 turned a USD 15m IsDB seed into over USD 155m mobilised and mapped 5,520 CSOs. Yemen is eligible. Strictly CSO-only, so this is a K4Y instrument or nothing.</t>
  </si>
  <si>
    <t xml:space="preserve">KAY-OPP-023</t>
  </si>
  <si>
    <t xml:space="preserve">SDRPY (Saudi Development &amp; Reconstruction Programme for Yemen)</t>
  </si>
  <si>
    <t xml:space="preserve">Aden-area education, TVET and digital projects</t>
  </si>
  <si>
    <t xml:space="preserve">RELATIONSHIP-DRIVEN</t>
  </si>
  <si>
    <t xml:space="preserve">No open competitive portal. Works through implementers and government.</t>
  </si>
  <si>
    <t xml:space="preserve">Project-based. Co-funds EFE-Yemen Mustaqbal; runs teacher digital-skills work with universities</t>
  </si>
  <si>
    <t xml:space="preserve">Partnership / implementer route</t>
  </si>
  <si>
    <t xml:space="preserve">https://www.sdrpy.gov.sa</t>
  </si>
  <si>
    <t xml:space="preserve">Relationship &gt; proposal &gt; implementation agreement</t>
  </si>
  <si>
    <t xml:space="preserve">Corporate profile, delivery methodology</t>
  </si>
  <si>
    <t xml:space="preserve">Alignment to Saudi programme priorities; local delivery credibility</t>
  </si>
  <si>
    <t xml:space="preserve">Approach through existing SDRPY implementers in Aden rather than the programme directly</t>
  </si>
  <si>
    <t xml:space="preserve">Real money, opaque process. The route in is always an existing implementer - not a cold proposal. Project count circulating publicly is unverified; do not quote it.</t>
  </si>
  <si>
    <t xml:space="preserve">KAY-OPP-024</t>
  </si>
  <si>
    <t xml:space="preserve">KSrelief</t>
  </si>
  <si>
    <t xml:space="preserve">Suppliers Portal (contractors, consultancies, service providers)</t>
  </si>
  <si>
    <t xml:space="preserve">Rolling registration; procurement contacts registered suppliers.</t>
  </si>
  <si>
    <t xml:space="preserve">Portfolio scale: 4,183 projects, 344 partners, ~USD 8.33bn total cost</t>
  </si>
  <si>
    <t xml:space="preserve">Online supplier registration</t>
  </si>
  <si>
    <t xml:space="preserve">https://www.ksrelief.org/en/Services/AllServices</t>
  </si>
  <si>
    <t xml:space="preserve">Register &gt; document submission &gt; procurement contact</t>
  </si>
  <si>
    <t xml:space="preserve">Commercial registration, licence, financials, references (AR + EN)</t>
  </si>
  <si>
    <t xml:space="preserve">Capability, compliance, price</t>
  </si>
  <si>
    <t xml:space="preserve">Register on the Suppliers Portal this month - low effort, real pipeline</t>
  </si>
  <si>
    <t xml:space="preserve">Direct portal (monthly)</t>
  </si>
  <si>
    <t xml:space="preserve">Two separate KSrelief portals exist: one for suppliers (open to us) and one for humanitarian organisations (K4Y). Register on both, under the correct vehicle.</t>
  </si>
  <si>
    <t xml:space="preserve">KAY-OPP-025</t>
  </si>
  <si>
    <t xml:space="preserve">Humanitarian Organisations &amp; Institutions registration</t>
  </si>
  <si>
    <t xml:space="preserve">Rolling registration.</t>
  </si>
  <si>
    <t xml:space="preserve">Gateway to implementing-partner projects</t>
  </si>
  <si>
    <t xml:space="preserve">Online organisation registration</t>
  </si>
  <si>
    <t xml:space="preserve">Register &gt; vetting &gt; partnership</t>
  </si>
  <si>
    <t xml:space="preserve">Organisation registration, governance, financials</t>
  </si>
  <si>
    <t xml:space="preserve">Track record, compliance</t>
  </si>
  <si>
    <t xml:space="preserve">Register once K4Y has non-profit standing</t>
  </si>
  <si>
    <t xml:space="preserve">Direct portal (quarterly)</t>
  </si>
  <si>
    <t xml:space="preserve">Sequenced behind the K4Y constitution decision, like every other CSO-gated window in this register.</t>
  </si>
  <si>
    <t xml:space="preserve">KAY-OPP-026</t>
  </si>
  <si>
    <t xml:space="preserve">QFFD / Silatech / EFE / Al-Amal Bank</t>
  </si>
  <si>
    <t xml:space="preserve">Mustaqbalak &amp; SYEFI II delivery chain</t>
  </si>
  <si>
    <t xml:space="preserve">Multi-year programmes already running; entry is via the implementers.</t>
  </si>
  <si>
    <t xml:space="preserve">Mustaqbalak targets 25,200 youth (+16,400 rollover); with SYEFI II, over 98,385 young Yemenis</t>
  </si>
  <si>
    <t xml:space="preserve">Partnership with Silatech / EFE-Yemen</t>
  </si>
  <si>
    <t xml:space="preserve">https://www.silatech.org</t>
  </si>
  <si>
    <t xml:space="preserve">Relationship &gt; delivery partnership</t>
  </si>
  <si>
    <t xml:space="preserve">Corporate profile, delivery methodology, outcome evidence</t>
  </si>
  <si>
    <t xml:space="preserve">Placement outcomes, cost per youth, reach</t>
  </si>
  <si>
    <t xml:space="preserve">Open conversations with Silatech (Doha) and EFE-Yemen (Aden) offering absorption and verification</t>
  </si>
  <si>
    <t xml:space="preserve">These programmes have enormous training targets and a weak placement-evidence layer. We sell them exactly the thing they are missing: proof that trained youth reached paid, contracted work.</t>
  </si>
  <si>
    <t xml:space="preserve">KAY-OPP-027</t>
  </si>
  <si>
    <t xml:space="preserve">Qatar Charity / Islamic Relief / Alwaleed Philanthropies</t>
  </si>
  <si>
    <t xml:space="preserve">Yemen livelihoods and youth windows + vendor contracts</t>
  </si>
  <si>
    <t xml:space="preserve">Project-based; Alwaleed co-funds EFE Mustaqbal II/III and youth-with-disabilities work.</t>
  </si>
  <si>
    <t xml:space="preserve">Grants and vendor contracts</t>
  </si>
  <si>
    <t xml:space="preserve">Vendor registration / partnership</t>
  </si>
  <si>
    <t xml:space="preserve">https://www.alwaleedphilanthropies.org</t>
  </si>
  <si>
    <t xml:space="preserve">Relationship &gt; proposal or tender</t>
  </si>
  <si>
    <t xml:space="preserve">Corporate pack, PSEA</t>
  </si>
  <si>
    <t xml:space="preserve">Impact reach, inclusion, cost-effectiveness</t>
  </si>
  <si>
    <t xml:space="preserve">Map which of these already fund Aden delivery and approach as a sub-contracted delivery partner</t>
  </si>
  <si>
    <t xml:space="preserve">Alwaleed's disability-inclusion work is the natural hook for our inclusion-by-design rule and the first-paid-seat commitment.</t>
  </si>
  <si>
    <t xml:space="preserve">KAY-OPP-028</t>
  </si>
  <si>
    <t xml:space="preserve">UNICEF Office of Innovation</t>
  </si>
  <si>
    <t xml:space="preserve">UNICEF Venture Fund - equity-free frontier tech</t>
  </si>
  <si>
    <t xml:space="preserve">Thematic cohorts (FemTech, Blockchain, AI). A Blockchain call closed ~10 Mar 2026. Watch next theme.</t>
  </si>
  <si>
    <t xml:space="preserve">USD 50k-100k seed, equity-free; USD 200k-400k growth stage. Pooled fund USD 35m + 2,527 ETH + 8 BTC</t>
  </si>
  <si>
    <t xml:space="preserve">EOI &gt; RFP &gt; institutional contract</t>
  </si>
  <si>
    <t xml:space="preserve">https://www.unicefventurefund.org</t>
  </si>
  <si>
    <t xml:space="preserve">Expression of interest &gt; RFP &gt; contract; 2-3 tranches against a work plan</t>
  </si>
  <si>
    <t xml:space="preserve">Registration proof, open-source licence commitment, working prototype with real-time data</t>
  </si>
  <si>
    <t xml:space="preserve">Benefit to children, open-source commitment, technical maturity, traction</t>
  </si>
  <si>
    <t xml:space="preserve">Product Lead</t>
  </si>
  <si>
    <t xml:space="preserve">Decide whether 'Verified by Kayan' can be open-sourced without giving away the Kayan Score - founder call</t>
  </si>
  <si>
    <t xml:space="preserve">UNICEF innovation site (monthly)</t>
  </si>
  <si>
    <t xml:space="preserve">Hard gate: the solution must be open-sourced under GPL/MIT/BSD, and payment may come in ETH/BTC/USDC - which collides with our bank-only rule. Two structural conflicts to resolve before we spend a day on this.</t>
  </si>
  <si>
    <t xml:space="preserve">KAY-OPP-029</t>
  </si>
  <si>
    <t xml:space="preserve">WFP Innovation Accelerator</t>
  </si>
  <si>
    <t xml:space="preserve">Innovation Challenge / Sprint Programme</t>
  </si>
  <si>
    <t xml:space="preserve">Rolling challenges; priority intake cycles around end-January.</t>
  </si>
  <si>
    <t xml:space="preserve">Up to USD 100k equity-free (Challenge); Sprint up to USD 200k</t>
  </si>
  <si>
    <t xml:space="preserve">Online application</t>
  </si>
  <si>
    <t xml:space="preserve">https://innovation.wfp.org</t>
  </si>
  <si>
    <t xml:space="preserve">Application &gt; expert assessment &gt; bootcamp &gt; Sprint</t>
  </si>
  <si>
    <t xml:space="preserve">Pitch, traction evidence, team, country-office buy-in</t>
  </si>
  <si>
    <t xml:space="preserve">Contribution to Zero Hunger, feasibility, innovation, financial sustainability</t>
  </si>
  <si>
    <t xml:space="preserve">Only pursue with a genuine food-security framing (verified micro-work income to household food security)</t>
  </si>
  <si>
    <t xml:space="preserve">WFP innovation site (monthly)</t>
  </si>
  <si>
    <t xml:space="preserve">Seed-stage minimum and a hunger nexus required. Honest assessment: a stretch for us unless the livelihoods-to-food-security chain is argued rigorously and a WFP Yemen country office champions it.</t>
  </si>
  <si>
    <t xml:space="preserve">KAY-OPP-030</t>
  </si>
  <si>
    <t xml:space="preserve">Global Innovation Fund</t>
  </si>
  <si>
    <t xml:space="preserve">Pilot / Test &amp; Transition / Scale</t>
  </si>
  <si>
    <t xml:space="preserve">Rolling applications, venture-style staged assessment.</t>
  </si>
  <si>
    <t xml:space="preserve">Pilot up to USD 230,000; larger tickets at later stages</t>
  </si>
  <si>
    <t xml:space="preserve">https://www.globalinnovation.fund</t>
  </si>
  <si>
    <t xml:space="preserve">Application &gt; staged diligence</t>
  </si>
  <si>
    <t xml:space="preserve">Evidence of demand, scale plan, team, evaluation design</t>
  </si>
  <si>
    <t xml:space="preserve">Impact, scalability, cost-effectiveness, additionality, genuine novelty</t>
  </si>
  <si>
    <t xml:space="preserve">Do not apply until a credible multi-country scale thesis exists (other fragile labour markets)</t>
  </si>
  <si>
    <t xml:space="preserve">GIF site (quarterly)</t>
  </si>
  <si>
    <t xml:space="preserve">Disqualifying rule: GIF will not fund innovations applicable only in a single country. A Yemen-only Kayan is ineligible by design. This is only unlocked by the Hub-in-a-Box / regional credential thesis.</t>
  </si>
  <si>
    <t xml:space="preserve">KAY-OPP-031</t>
  </si>
  <si>
    <t xml:space="preserve">MIT Solve</t>
  </si>
  <si>
    <t xml:space="preserve">Global Challenges - Economic Prosperity pillar</t>
  </si>
  <si>
    <t xml:space="preserve">2026 10th Anniversary Challenge closed 21 May 2026; winners announced 22 Sep 2026. NEXT topic-specific challenges OPEN September 2026.</t>
  </si>
  <si>
    <t xml:space="preserve">At least USD 100,000 unrestricted per winner; AI for Humanity Prize USD 150,000</t>
  </si>
  <si>
    <t xml:space="preserve">Online solution submission</t>
  </si>
  <si>
    <t xml:space="preserve">https://solve.mit.edu</t>
  </si>
  <si>
    <t xml:space="preserve">Submit solution &gt; judging &gt; Solve Challenge Finals (New York, UNGA week)</t>
  </si>
  <si>
    <t xml:space="preserve">Solution narrative: impact, scalability, innovation, evidence</t>
  </si>
  <si>
    <t xml:space="preserve">Alignment to challenge pillar, tech-enabled, scalability, measurable outcomes</t>
  </si>
  <si>
    <t xml:space="preserve">Draft the Economic Prosperity submission in August so it is ready the day the September window opens</t>
  </si>
  <si>
    <t xml:space="preserve">MIT Solve site + Google Alerts (weekly)</t>
  </si>
  <si>
    <t xml:space="preserve">Open to anyone worldwide aged 13+, any stage - no eligibility barrier at all. Low probability, extraordinary payoff: unrestricted cash plus the global platform that would make the Frontier Economy narrative real.</t>
  </si>
  <si>
    <t xml:space="preserve">KAY-OPP-032</t>
  </si>
  <si>
    <t xml:space="preserve">HSA Group / Al-Saeed Foundation</t>
  </si>
  <si>
    <t xml:space="preserve">Strategic Partnership &amp; cohort sponsorship</t>
  </si>
  <si>
    <t xml:space="preserve">Rolling. HSA already co-funds WATHBA with the EU - an ecosystem builder, not just a donor.</t>
  </si>
  <si>
    <t xml:space="preserve">Kayan priced products: Strategic Partnership USD 100k-1m+; Multi-Cohort USD 30k-90k/yr</t>
  </si>
  <si>
    <t xml:space="preserve">Direct corporate proposal</t>
  </si>
  <si>
    <t xml:space="preserve">https://www.hsayemen.com</t>
  </si>
  <si>
    <t xml:space="preserve">Relationship &gt; proposal &gt; sponsorship or vendor agreement</t>
  </si>
  <si>
    <t xml:space="preserve">Company profile, proposal, budget, outcome commitments</t>
  </si>
  <si>
    <t xml:space="preserve">Internal CSR and business-development criteria</t>
  </si>
  <si>
    <t xml:space="preserve">Prepare a one-page Strategic Partnership offer for the HSA economic development unit</t>
  </si>
  <si>
    <t xml:space="preserve">The single strongest corporate target in Yemen: already partnered with the EU on private-sector job creation, so the thesis needs no explaining. Also our most likely first employer-partner for Forge placements.</t>
  </si>
  <si>
    <t xml:space="preserve">KAY-OPP-033</t>
  </si>
  <si>
    <t xml:space="preserve">Tadhamon / Al-Kuraimi / CAC / Yemen Kuwait Bank</t>
  </si>
  <si>
    <t xml:space="preserve">CSR sponsorship + employer partnership</t>
  </si>
  <si>
    <t xml:space="preserve">Rolling. Tadhamon is already Kayan's own bank - warm relationship exists.</t>
  </si>
  <si>
    <t xml:space="preserve">Single-Cohort USD 5k-15k; Multi-Cohort USD 30k-90k/yr</t>
  </si>
  <si>
    <t xml:space="preserve">Direct approach to CSR / foundation contacts</t>
  </si>
  <si>
    <t xml:space="preserve">Relationship &gt; sponsorship proposal</t>
  </si>
  <si>
    <t xml:space="preserve">Company profile, cohort proposal, impact reporting commitment</t>
  </si>
  <si>
    <t xml:space="preserve">Internal CSR criteria; visibility; local impact</t>
  </si>
  <si>
    <t xml:space="preserve">Convert the existing Tadamon Islamic International Bank relationship into a first Single-Cohort Sponsorship</t>
  </si>
  <si>
    <t xml:space="preserve">INFERENCE</t>
  </si>
  <si>
    <t xml:space="preserve">Our banking relationship is an unexploited asset. A bank that already knows our compliance discipline is the lowest-friction first sponsor we will ever find. Specific CSR programmes are unverified - confirm by direct contact.</t>
  </si>
  <si>
    <t xml:space="preserve">KAY-OPP-034</t>
  </si>
  <si>
    <t xml:space="preserve">Yemen Mobile / YOU / Sabafon</t>
  </si>
  <si>
    <t xml:space="preserve">Digital-skills CSR and Hub sponsorship</t>
  </si>
  <si>
    <t xml:space="preserve">Cohort and Hub sponsorship; possible connectivity in kind</t>
  </si>
  <si>
    <t xml:space="preserve">Direct approach to CSR contacts</t>
  </si>
  <si>
    <t xml:space="preserve">Company profile, sponsorship deck</t>
  </si>
  <si>
    <t xml:space="preserve">Brand visibility, digital-skills alignment</t>
  </si>
  <si>
    <t xml:space="preserve">Pitch Hub connectivity sponsorship plus a digital-skills cohort</t>
  </si>
  <si>
    <t xml:space="preserve">Direct (quarterly)</t>
  </si>
  <si>
    <t xml:space="preserve">Connectivity in kind may be worth more than cash to the Hub. Ask for bandwidth and devices before asking for money.</t>
  </si>
  <si>
    <t xml:space="preserve">KAY-OPP-035</t>
  </si>
  <si>
    <t xml:space="preserve">ILO</t>
  </si>
  <si>
    <t xml:space="preserve">ERRY III component / skills and employment work</t>
  </si>
  <si>
    <t xml:space="preserve">ERRY III: USD 49.37m, EU and Sweden funded, Mar 2022 start, 3 years (to ~Feb 2025). Successor programming expected.</t>
  </si>
  <si>
    <t xml:space="preserve">Consultancy and delivery sub-contracts</t>
  </si>
  <si>
    <t xml:space="preserve">UNGM + ILO procurement</t>
  </si>
  <si>
    <t xml:space="preserve">https://www.ilo.org</t>
  </si>
  <si>
    <t xml:space="preserve">Tender or implementing arrangement</t>
  </si>
  <si>
    <t xml:space="preserve">Corporate pack, methodology</t>
  </si>
  <si>
    <t xml:space="preserve">Skills-system expertise, local delivery</t>
  </si>
  <si>
    <t xml:space="preserve">Track the ERRY successor design - position before the delivery architecture is fixed</t>
  </si>
  <si>
    <t xml:space="preserve">UNGM + ReliefWeb (weekly)</t>
  </si>
  <si>
    <t xml:space="preserve">ERRY is the lineage that shaped Yemen's whole livelihoods architecture. Whoever gets designed into the successor early wins years of work. Being late here is expensive.</t>
  </si>
  <si>
    <t xml:space="preserve">KAY-OPP-036</t>
  </si>
  <si>
    <t xml:space="preserve">GIZ (BMZ)</t>
  </si>
  <si>
    <t xml:space="preserve">Yemen programme tenders and local service contracts</t>
  </si>
  <si>
    <t xml:space="preserve">Rolling tenders; GIZ operates Yemen with a reduced footprint and leans on local partners.</t>
  </si>
  <si>
    <t xml:space="preserve">Service contracts</t>
  </si>
  <si>
    <t xml:space="preserve">GIZ procurement portal registration</t>
  </si>
  <si>
    <t xml:space="preserve">https://www.giz.de</t>
  </si>
  <si>
    <t xml:space="preserve">Tender &gt; technical + financial offer</t>
  </si>
  <si>
    <t xml:space="preserve">Corporate pack, references</t>
  </si>
  <si>
    <t xml:space="preserve">Technical quality, local capacity, price</t>
  </si>
  <si>
    <t xml:space="preserve">Register on the GIZ procurement portal</t>
  </si>
  <si>
    <t xml:space="preserve">GIZ tenders (monthly)</t>
  </si>
  <si>
    <t xml:space="preserve">Reduced GIZ presence cuts both ways: fewer contracts, but a stronger structural need for capable local delivery partners.</t>
  </si>
  <si>
    <t xml:space="preserve">KAY-OPP-037</t>
  </si>
  <si>
    <t xml:space="preserve">Expertise France / Enabel / AFD</t>
  </si>
  <si>
    <t xml:space="preserve">Implementers of EU-delegated Yemen actions</t>
  </si>
  <si>
    <t xml:space="preserve">Project-based; sub-contracting route.</t>
  </si>
  <si>
    <t xml:space="preserve">Sub-contracts under delegated EU actions</t>
  </si>
  <si>
    <t xml:space="preserve">Direct BD to each agency's Yemen/regional office</t>
  </si>
  <si>
    <t xml:space="preserve">Relationship &gt; sub-contract</t>
  </si>
  <si>
    <t xml:space="preserve">Local delivery capacity, compliance</t>
  </si>
  <si>
    <t xml:space="preserve">Identify which agency holds EU-delegated Yemen actions in 2026-27 and introduce Kayan</t>
  </si>
  <si>
    <t xml:space="preserve">EU F&amp;T + Google Alerts (monthly)</t>
  </si>
  <si>
    <t xml:space="preserve">EU money often arrives in Yemen wearing a French or Belgian badge. Following the delegation chain finds contracts that never appear on TED.</t>
  </si>
  <si>
    <t xml:space="preserve">KAY-OPP-038</t>
  </si>
  <si>
    <t xml:space="preserve">UK FCDO</t>
  </si>
  <si>
    <t xml:space="preserve">Supplier routes: Contracts Finder / Find a Tender</t>
  </si>
  <si>
    <t xml:space="preserve">Rolling UK public tenders, some with Yemen delivery.</t>
  </si>
  <si>
    <t xml:space="preserve">GBP</t>
  </si>
  <si>
    <t xml:space="preserve">Supplier registration on UK portals</t>
  </si>
  <si>
    <t xml:space="preserve">https://www.find-tender.service.gov.uk</t>
  </si>
  <si>
    <t xml:space="preserve">Tender &gt; bid, usually via a UK-led consortium</t>
  </si>
  <si>
    <t xml:space="preserve">Corporate pack, financial standing, references</t>
  </si>
  <si>
    <t xml:space="preserve">Value for money, technical quality, delivery risk</t>
  </si>
  <si>
    <t xml:space="preserve">Monitor via the FTS API; realistic only as a sub-contractor to a UK prime</t>
  </si>
  <si>
    <t xml:space="preserve">UK FTS + Contracts Finder API (weekly)</t>
  </si>
  <si>
    <t xml:space="preserve">Low near-term probability, but the API is free and the monitoring cost is effectively zero once configured.</t>
  </si>
  <si>
    <t xml:space="preserve">KAY-OPP-039</t>
  </si>
  <si>
    <t xml:space="preserve">INGO country offices (Mercy Corps, NRC, DRC, IRC, Save, CARE, Oxfam)</t>
  </si>
  <si>
    <t xml:space="preserve">Local vendor rosters and service contracts</t>
  </si>
  <si>
    <t xml:space="preserve">Rolling vendor registration; frequent small service contracts.</t>
  </si>
  <si>
    <t xml:space="preserve">Vendor contracts: translation, data, design, print, enumeration</t>
  </si>
  <si>
    <t xml:space="preserve">Vendor registration per organisation</t>
  </si>
  <si>
    <t xml:space="preserve">Vendor registration &gt; quotation requests</t>
  </si>
  <si>
    <t xml:space="preserve">Commercial registration, bank details, references, PSEA acknowledgement</t>
  </si>
  <si>
    <t xml:space="preserve">Price, speed, reliability, compliance</t>
  </si>
  <si>
    <t xml:space="preserve">Register with five INGO country offices in Aden within 30 days</t>
  </si>
  <si>
    <t xml:space="preserve">Direct + ReliefWeb (weekly)</t>
  </si>
  <si>
    <t xml:space="preserve">Underrated and fastest of all. INGO procurement is lighter-touch than UN procurement, decisions are local, contracts are small and frequent - ideal for building the reference history that UNGM Level 2 and every RFP will later demand.</t>
  </si>
  <si>
    <t xml:space="preserve">KAY-OPP-040</t>
  </si>
  <si>
    <t xml:space="preserve">Chemonics / DAI / Palladium and similar implementers</t>
  </si>
  <si>
    <t xml:space="preserve">Sub-contracting on donor-funded programmes</t>
  </si>
  <si>
    <t xml:space="preserve">Rolling; depends on the donor programmes each holds in Yemen.</t>
  </si>
  <si>
    <t xml:space="preserve">Sub-contracts</t>
  </si>
  <si>
    <t xml:space="preserve">Implementer vendor portals</t>
  </si>
  <si>
    <t xml:space="preserve">Vendor registration &gt; sub-contract</t>
  </si>
  <si>
    <t xml:space="preserve">Corporate pack, references, compliance policies</t>
  </si>
  <si>
    <t xml:space="preserve">Compliance posture, cost, delivery record</t>
  </si>
  <si>
    <t xml:space="preserve">Register on implementer vendor portals; verify which still hold active Yemen programmes post-USAID</t>
  </si>
  <si>
    <t xml:space="preserve">Devex / direct (monthly)</t>
  </si>
  <si>
    <t xml:space="preserve">Caution: the US assistance architecture changed fundamentally in 2025. Verify a given implementer still has live Yemen funding before investing relationship time.</t>
  </si>
  <si>
    <t xml:space="preserve">KAY-OPP-041</t>
  </si>
  <si>
    <t xml:space="preserve">Drosos Foundation / Aga Khan Foundation</t>
  </si>
  <si>
    <t xml:space="preserve">Youth livelihoods and skills grant windows</t>
  </si>
  <si>
    <t xml:space="preserve">Windows vary; check current MENA priorities.</t>
  </si>
  <si>
    <t xml:space="preserve">Programme grants</t>
  </si>
  <si>
    <t xml:space="preserve">Direct enquiry / concept note</t>
  </si>
  <si>
    <t xml:space="preserve">Concept note &gt; dialogue &gt; proposal</t>
  </si>
  <si>
    <t xml:space="preserve">Organisational profile, financials, programme design</t>
  </si>
  <si>
    <t xml:space="preserve">Youth outcomes, sustainability, quality of design</t>
  </si>
  <si>
    <t xml:space="preserve">Verify current MENA and Yemen eligibility before investing proposal effort</t>
  </si>
  <si>
    <t xml:space="preserve">Google Alerts (quarterly)</t>
  </si>
  <si>
    <t xml:space="preserve">UNVERIFIED</t>
  </si>
  <si>
    <t xml:space="preserve">Both fund youth livelihoods in principle; neither Yemen eligibility nor current windows were confirmed. Verify before spending time.</t>
  </si>
  <si>
    <t xml:space="preserve">KAY-OPP-042</t>
  </si>
  <si>
    <t xml:space="preserve">Silatech</t>
  </si>
  <si>
    <t xml:space="preserve">Direct partnership (beyond the QFFD delivery chain)</t>
  </si>
  <si>
    <t xml:space="preserve">Rolling partnership development.</t>
  </si>
  <si>
    <t xml:space="preserve">Delivery partnership</t>
  </si>
  <si>
    <t xml:space="preserve">Direct partnership approach</t>
  </si>
  <si>
    <t xml:space="preserve">Relationship &gt; partnership agreement</t>
  </si>
  <si>
    <t xml:space="preserve">Corporate profile, outcome evidence, delivery model</t>
  </si>
  <si>
    <t xml:space="preserve">Youth employment outcomes, scale, cost per outcome</t>
  </si>
  <si>
    <t xml:space="preserve">Present the Absorption Ratio as the outcome metric Silatech reports but cannot currently verify</t>
  </si>
  <si>
    <t xml:space="preserve">Silatech's entire mandate is youth employment; ours is proving it happened. That is a partnership, not a pitch.</t>
  </si>
  <si>
    <t xml:space="preserve">PRIORITY = Fit x Win probability x Strategic value x 100 / Effort hours. Bands are calibrated to the live distribution: 45+ = DO NOW, 20-44 = PREPARE, under 20 = WATCH. Registrations score highest by design - they are near-certain, low-effort, and unlock everything downstream. Ticket figures are indicative and graded in column AK; anything marked UNVERIFIED must be confirmed at the portal in column S before external use.</t>
  </si>
  <si>
    <t xml:space="preserve">90-DAY ACTION SEQUENCE</t>
  </si>
  <si>
    <t xml:space="preserve">August - October 2026. Sequenced so that free registrations clear the way before any proposal effort is spent.</t>
  </si>
  <si>
    <t xml:space="preserve">#</t>
  </si>
  <si>
    <t xml:space="preserve">Window</t>
  </si>
  <si>
    <t xml:space="preserve">Action</t>
  </si>
  <si>
    <t xml:space="preserve">Linked Opp ID</t>
  </si>
  <si>
    <t xml:space="preserve">Due</t>
  </si>
  <si>
    <t xml:space="preserve">Cost</t>
  </si>
  <si>
    <t xml:space="preserve">Why this, in this order</t>
  </si>
  <si>
    <t xml:space="preserve">Week 1</t>
  </si>
  <si>
    <t xml:space="preserve">Register on UNGM (Basic then Level 1)</t>
  </si>
  <si>
    <t xml:space="preserve">Not started</t>
  </si>
  <si>
    <t xml:space="preserve">Free</t>
  </si>
  <si>
    <t xml:space="preserve">Unlocks 40+ UN agencies. Nothing else in the UN system moves until this exists.</t>
  </si>
  <si>
    <t xml:space="preserve">Commission certified English translations of CR 26667 and Licence 109/2026</t>
  </si>
  <si>
    <t xml:space="preserve">Low</t>
  </si>
  <si>
    <t xml:space="preserve">A hard blocker on UNGM, EU and KSrelief registration. Long lead time - start it first.</t>
  </si>
  <si>
    <t xml:space="preserve">Register a PIC for Kayan LLC AND for K4Y</t>
  </si>
  <si>
    <t xml:space="preserve">Six hours of work that permanently removes a blocker from every EU opportunity, forever.</t>
  </si>
  <si>
    <t xml:space="preserve">Week 2</t>
  </si>
  <si>
    <t xml:space="preserve">Register on the KSrelief Suppliers Portal</t>
  </si>
  <si>
    <t xml:space="preserve">Real Gulf pipeline, negligible effort.</t>
  </si>
  <si>
    <t xml:space="preserve">Select UNSPSC codes and finalise the UN service catalogue</t>
  </si>
  <si>
    <t xml:space="preserve">Codes determine which tenders ever reach our inbox. Choosing badly makes us invisible.</t>
  </si>
  <si>
    <t xml:space="preserve">Week 3</t>
  </si>
  <si>
    <t xml:space="preserve">Register in the UNDP Quantum supplier portal</t>
  </si>
  <si>
    <t xml:space="preserve">The largest local buyer of services in Yemen.</t>
  </si>
  <si>
    <t xml:space="preserve">Register with five INGO country offices in Aden</t>
  </si>
  <si>
    <t xml:space="preserve">Fastest realistic first contract. Light-touch, locally decided, frequent.</t>
  </si>
  <si>
    <t xml:space="preserve">Draft the Founder decision paper on constituting K4Y as a non-profit</t>
  </si>
  <si>
    <t xml:space="preserve">This single decision unlocks UNPP, EU CSO calls, Tadamon and KSrelief organisations - roughly a third of this register.</t>
  </si>
  <si>
    <t xml:space="preserve">Week 4</t>
  </si>
  <si>
    <t xml:space="preserve">Prepare the HSA Strategic Partnership one-pager</t>
  </si>
  <si>
    <t xml:space="preserve">Highest-value corporate target in Yemen and already an EU partner in job creation.</t>
  </si>
  <si>
    <t xml:space="preserve">Convert the Tadhamon banking relationship into a first Single-Cohort Sponsorship</t>
  </si>
  <si>
    <t xml:space="preserve">Warm relationship, small ticket, immediate proof point for every later sponsor.</t>
  </si>
  <si>
    <t xml:space="preserve">Draft the MIT Solve Economic Prosperity submission</t>
  </si>
  <si>
    <t xml:space="preserve">The window opens in September. Writing it in August is the difference between entering and missing.</t>
  </si>
  <si>
    <t xml:space="preserve">Week 5</t>
  </si>
  <si>
    <t xml:space="preserve">Open direct lines to ROWAD and DeepRoot on WATHBA</t>
  </si>
  <si>
    <t xml:space="preserve">Best-fit accelerator that exists for a company like ours. Be known before the cohort call opens.</t>
  </si>
  <si>
    <t xml:space="preserve">Request SFD and SMEPS vendor onboarding, in person in Aden</t>
  </si>
  <si>
    <t xml:space="preserve">No public portal was found. This is a walk-in-the-door relationship, not an online form.</t>
  </si>
  <si>
    <t xml:space="preserve">Week 6</t>
  </si>
  <si>
    <t xml:space="preserve">Pitch a Verification-as-a-Service pilot to SMEPS</t>
  </si>
  <si>
    <t xml:space="preserve">Prove the Absorption Ratio on somebody else's cohort. That single artefact sells everything downstream.</t>
  </si>
  <si>
    <t xml:space="preserve">Write the formal gender and inclusion policy</t>
  </si>
  <si>
    <t xml:space="preserve">Gates UN Women, IFC She WINS and every women's-empowerment window.</t>
  </si>
  <si>
    <t xml:space="preserve">Week 7</t>
  </si>
  <si>
    <t xml:space="preserve">Write the PSEA and safeguarding policy pack</t>
  </si>
  <si>
    <t xml:space="preserve">Mandatory across UN and INGO partnerships. Absence of it silently disqualifies us.</t>
  </si>
  <si>
    <t xml:space="preserve">Submit the first two UNDP or INGO low-value bids</t>
  </si>
  <si>
    <t xml:space="preserve">Revenue, and the reference history everything else later demands.</t>
  </si>
  <si>
    <t xml:space="preserve">Week 8</t>
  </si>
  <si>
    <t xml:space="preserve">Create the K4Y profile on tadamon.community</t>
  </si>
  <si>
    <t xml:space="preserve">Pre-verified before the next cohort call opens.</t>
  </si>
  <si>
    <t xml:space="preserve">Week 9</t>
  </si>
  <si>
    <t xml:space="preserve">Approach Silatech and EFE-Yemen on absorption and verification</t>
  </si>
  <si>
    <t xml:space="preserve">Huge training targets, weak placement evidence. We sell exactly the missing layer.</t>
  </si>
  <si>
    <t xml:space="preserve">Week 10</t>
  </si>
  <si>
    <t xml:space="preserve">Configure the daily monitoring stack (see 07_API_MONITORING)</t>
  </si>
  <si>
    <t xml:space="preserve">Stops opportunity discovery depending on anyone remembering to look.</t>
  </si>
  <si>
    <t xml:space="preserve">Week 11</t>
  </si>
  <si>
    <t xml:space="preserve">Secure a CSO or INGO lead willing to name Kayan as local partner for the 2027 EU window</t>
  </si>
  <si>
    <t xml:space="preserve">EU consortia form months before a call opens. Arriving when it opens is arriving late.</t>
  </si>
  <si>
    <t xml:space="preserve">Week 12</t>
  </si>
  <si>
    <t xml:space="preserve">Review this register, re-score, and report to the Founder</t>
  </si>
  <si>
    <t xml:space="preserve">Re-scoring is what stops this becoming a dead document.</t>
  </si>
  <si>
    <t xml:space="preserve">Sequencing logic: every free registration is cleared in weeks 1-4, because each one removes a blocker from several later opportunities. No proposal effort is spent before the paperwork that makes a proposal admissible exists.</t>
  </si>
  <si>
    <t xml:space="preserve">12-MONTH WINDOW CALENDAR</t>
  </si>
  <si>
    <t xml:space="preserve">August 2026 - August 2027. Verified cycles are marked FACT; predicted cycles are marked INFERENCE and must be confirmed on the portal.</t>
  </si>
  <si>
    <t xml:space="preserve">Month</t>
  </si>
  <si>
    <t xml:space="preserve">Window / event</t>
  </si>
  <si>
    <t xml:space="preserve">Prepare by</t>
  </si>
  <si>
    <t xml:space="preserve">What must already exist</t>
  </si>
  <si>
    <t xml:space="preserve">Confirm at</t>
  </si>
  <si>
    <t xml:space="preserve">Aug 2026</t>
  </si>
  <si>
    <t xml:space="preserve">Registration sprint: UNGM, PIC, Quantum, KSrelief, INGO rosters</t>
  </si>
  <si>
    <t xml:space="preserve">Multiple</t>
  </si>
  <si>
    <t xml:space="preserve">KAY-OPP-001/013/002/024/039</t>
  </si>
  <si>
    <t xml:space="preserve">Certified EN translations of CR and licence</t>
  </si>
  <si>
    <t xml:space="preserve">Each portal</t>
  </si>
  <si>
    <t xml:space="preserve">Sep 2026</t>
  </si>
  <si>
    <t xml:space="preserve">MIT Solve topic-specific Global Challenges OPEN</t>
  </si>
  <si>
    <t xml:space="preserve">Drafted Economic Prosperity submission</t>
  </si>
  <si>
    <t xml:space="preserve">solve.mit.edu</t>
  </si>
  <si>
    <t xml:space="preserve">MIT Solve 2026 winners announced (22 Sep) - intelligence on what wins</t>
  </si>
  <si>
    <t xml:space="preserve">Nothing - observe and learn</t>
  </si>
  <si>
    <t xml:space="preserve">Q4 2026</t>
  </si>
  <si>
    <t xml:space="preserve">WATHBA Accelerator Cohort 3 call expected</t>
  </si>
  <si>
    <t xml:space="preserve">EU / HSA / ROWAD</t>
  </si>
  <si>
    <t xml:space="preserve">Pitch deck, traction evidence, relationship with ROWAD</t>
  </si>
  <si>
    <t xml:space="preserve">rowad.org</t>
  </si>
  <si>
    <t xml:space="preserve">UNICEF Venture Fund next thematic cohort</t>
  </si>
  <si>
    <t xml:space="preserve">UNICEF</t>
  </si>
  <si>
    <t xml:space="preserve">Open-source decision resolved; working prototype</t>
  </si>
  <si>
    <t xml:space="preserve">unicefventurefund.org</t>
  </si>
  <si>
    <t xml:space="preserve">Nov 2026</t>
  </si>
  <si>
    <t xml:space="preserve">EU Delegation Yemen typically announces next-cycle calls</t>
  </si>
  <si>
    <t xml:space="preserve">EU</t>
  </si>
  <si>
    <t xml:space="preserve">KAY-OPP-011/012</t>
  </si>
  <si>
    <t xml:space="preserve">PIC registered; CSO or INGO lead secured</t>
  </si>
  <si>
    <t xml:space="preserve">eeas.europa.eu / EU F&amp;T Portal</t>
  </si>
  <si>
    <t xml:space="preserve">Dec 2026</t>
  </si>
  <si>
    <t xml:space="preserve">EU info sessions (a physical Aden session ran in Dec 2025)</t>
  </si>
  <si>
    <t xml:space="preserve">Registration on the Delegation call mailing list</t>
  </si>
  <si>
    <t xml:space="preserve">DELEGATION-YEMEN-CALL-FOR-PROPOSALS@eeas.europa.eu</t>
  </si>
  <si>
    <t xml:space="preserve">Jan 2027</t>
  </si>
  <si>
    <t xml:space="preserve">Tadamon Accelerator cohort call expected (prior cycle closed 20 Jan)</t>
  </si>
  <si>
    <t xml:space="preserve">IsDB / ISFD</t>
  </si>
  <si>
    <t xml:space="preserve">K4Y constituted and profile live on tadamon.community</t>
  </si>
  <si>
    <t xml:space="preserve">tadamon.community</t>
  </si>
  <si>
    <t xml:space="preserve">EU CSO call equivalent to 185125 expected (prior closed 29 Jan 2026)</t>
  </si>
  <si>
    <t xml:space="preserve">K4Y non-profit status; PADOR registration</t>
  </si>
  <si>
    <t xml:space="preserve">WFP Innovation Accelerator priority intake cycle</t>
  </si>
  <si>
    <t xml:space="preserve">WFP</t>
  </si>
  <si>
    <t xml:space="preserve">Food-security framing and a country-office champion</t>
  </si>
  <si>
    <t xml:space="preserve">innovation.wfp.org</t>
  </si>
  <si>
    <t xml:space="preserve">Mar 2027</t>
  </si>
  <si>
    <t xml:space="preserve">UNICEF Venture Fund thematic call (2026 blockchain call closed ~10 Mar)</t>
  </si>
  <si>
    <t xml:space="preserve">Open-source product ready</t>
  </si>
  <si>
    <t xml:space="preserve">May 2027</t>
  </si>
  <si>
    <t xml:space="preserve">MIT Solve annual Global Challenge deadline (2026 was 21 May)</t>
  </si>
  <si>
    <t xml:space="preserve">Refined submission plus a year of outcome data</t>
  </si>
  <si>
    <t xml:space="preserve">Jun 2027</t>
  </si>
  <si>
    <t xml:space="preserve">EU women's economic empowerment call equivalent (prior closed 3 Jun 2026)</t>
  </si>
  <si>
    <t xml:space="preserve">Consortium formed; Kayan named as local partner</t>
  </si>
  <si>
    <t xml:space="preserve">All year</t>
  </si>
  <si>
    <t xml:space="preserve">UN, INGO, SFD, SMEPS and KSrelief procurement - rolling</t>
  </si>
  <si>
    <t xml:space="preserve">KAY-OPP-002 to 009, 019, 020, 024, 039</t>
  </si>
  <si>
    <t xml:space="preserve">Live registrations and a current capability statement</t>
  </si>
  <si>
    <t xml:space="preserve">UNGM / agency portals</t>
  </si>
  <si>
    <t xml:space="preserve">Gold rows are PREDICTED from historical cadence, not published. They exist so that preparation starts early - never so that a date is quoted to a partner. Confirm every one at the URL in the final column before relying on it.</t>
  </si>
  <si>
    <t xml:space="preserve">COMPLIANCE DOCUMENT MASTER</t>
  </si>
  <si>
    <t xml:space="preserve">The 25 artefacts donors and buyers repeatedly demand. Build each once; reuse it everywhere. This is the real bottleneck on the whole register.</t>
  </si>
  <si>
    <t xml:space="preserve">Document / policy</t>
  </si>
  <si>
    <t xml:space="preserve">Category</t>
  </si>
  <si>
    <t xml:space="preserve">Demanded by</t>
  </si>
  <si>
    <t xml:space="preserve">Arabic needed</t>
  </si>
  <si>
    <t xml:space="preserve">English needed</t>
  </si>
  <si>
    <t xml:space="preserve">Certified / stamped</t>
  </si>
  <si>
    <t xml:space="preserve">Target date</t>
  </si>
  <si>
    <t xml:space="preserve">Commercial Registration (CR 26667)</t>
  </si>
  <si>
    <t xml:space="preserve">Legal identity</t>
  </si>
  <si>
    <t xml:space="preserve">UNGM, EU, KSrelief, all buyers</t>
  </si>
  <si>
    <t xml:space="preserve">Yes - certified translation</t>
  </si>
  <si>
    <t xml:space="preserve">Held - needs translation</t>
  </si>
  <si>
    <t xml:space="preserve">Licence 109/2026</t>
  </si>
  <si>
    <t xml:space="preserve">UNGM, KSrelief, INGOs</t>
  </si>
  <si>
    <t xml:space="preserve">Articles of Association (Companies Law 22/1997)</t>
  </si>
  <si>
    <t xml:space="preserve">EU, World Bank, UN</t>
  </si>
  <si>
    <t xml:space="preserve">Tax registration certificate</t>
  </si>
  <si>
    <t xml:space="preserve">EU, UN, INGOs</t>
  </si>
  <si>
    <t xml:space="preserve">To confirm</t>
  </si>
  <si>
    <t xml:space="preserve">Finance Lead</t>
  </si>
  <si>
    <t xml:space="preserve">Bank identification / Financial Identification Form</t>
  </si>
  <si>
    <t xml:space="preserve">Financial</t>
  </si>
  <si>
    <t xml:space="preserve">EU, UN, all payers</t>
  </si>
  <si>
    <t xml:space="preserve">Yes - bank stamped</t>
  </si>
  <si>
    <t xml:space="preserve">To prepare</t>
  </si>
  <si>
    <t xml:space="preserve">Audited financial statements</t>
  </si>
  <si>
    <t xml:space="preserve">UNGM Level 2, EU, World Bank</t>
  </si>
  <si>
    <t xml:space="preserve">Yes - auditor signed</t>
  </si>
  <si>
    <t xml:space="preserve">Year 1 pending</t>
  </si>
  <si>
    <t xml:space="preserve">Beneficial ownership declaration</t>
  </si>
  <si>
    <t xml:space="preserve">UNGM, EU, sanctions screening</t>
  </si>
  <si>
    <t xml:space="preserve">Organisation chart and key-staff CVs</t>
  </si>
  <si>
    <t xml:space="preserve">Capability</t>
  </si>
  <si>
    <t xml:space="preserve">EU, World Bank, RFPs</t>
  </si>
  <si>
    <t xml:space="preserve">PSEA and safeguarding policy</t>
  </si>
  <si>
    <t xml:space="preserve">Safeguarding</t>
  </si>
  <si>
    <t xml:space="preserve">UN (mandatory), INGOs, EU</t>
  </si>
  <si>
    <t xml:space="preserve">Signed by CEO</t>
  </si>
  <si>
    <t xml:space="preserve">To draft</t>
  </si>
  <si>
    <t xml:space="preserve">Child protection policy</t>
  </si>
  <si>
    <t xml:space="preserve">UNICEF, Save, INGOs</t>
  </si>
  <si>
    <t xml:space="preserve">Data protection and privacy policy</t>
  </si>
  <si>
    <t xml:space="preserve">UN, EU, IOM, research work</t>
  </si>
  <si>
    <t xml:space="preserve">Exists - to format</t>
  </si>
  <si>
    <t xml:space="preserve">Anti-fraud and anti-corruption policy</t>
  </si>
  <si>
    <t xml:space="preserve">Integrity</t>
  </si>
  <si>
    <t xml:space="preserve">EU, World Bank, UN, INGOs</t>
  </si>
  <si>
    <t xml:space="preserve">Anti-terrorism and sanctions screening policy</t>
  </si>
  <si>
    <t xml:space="preserve">All donors, banking</t>
  </si>
  <si>
    <t xml:space="preserve">Exists (AML Law 1/2010)</t>
  </si>
  <si>
    <t xml:space="preserve">Code of conduct</t>
  </si>
  <si>
    <t xml:space="preserve">UN, INGOs, EU</t>
  </si>
  <si>
    <t xml:space="preserve">Signed by all staff</t>
  </si>
  <si>
    <t xml:space="preserve">Whistleblowing policy</t>
  </si>
  <si>
    <t xml:space="preserve">EU, World Bank, INGOs</t>
  </si>
  <si>
    <t xml:space="preserve">Procurement policy (three-quote rule)</t>
  </si>
  <si>
    <t xml:space="preserve">EU, World Bank, grant compliance</t>
  </si>
  <si>
    <t xml:space="preserve">Gender and inclusion policy</t>
  </si>
  <si>
    <t xml:space="preserve">Inclusion</t>
  </si>
  <si>
    <t xml:space="preserve">UN Women, IFC, EU, all WEE windows</t>
  </si>
  <si>
    <t xml:space="preserve">Environmental and do-no-harm policy</t>
  </si>
  <si>
    <t xml:space="preserve">EU, World Bank</t>
  </si>
  <si>
    <t xml:space="preserve">Declaration of Honour (EU template)</t>
  </si>
  <si>
    <t xml:space="preserve">EU-specific</t>
  </si>
  <si>
    <t xml:space="preserve">Every EU call and tender</t>
  </si>
  <si>
    <t xml:space="preserve">Signed by legal rep</t>
  </si>
  <si>
    <t xml:space="preserve">Template to hold</t>
  </si>
  <si>
    <t xml:space="preserve">Legal Entity File / sheet (EU)</t>
  </si>
  <si>
    <t xml:space="preserve">EU PIC validation</t>
  </si>
  <si>
    <t xml:space="preserve">Signed and stamped</t>
  </si>
  <si>
    <t xml:space="preserve">Three independent client reference letters</t>
  </si>
  <si>
    <t xml:space="preserve">UNGM Level 2, RFPs</t>
  </si>
  <si>
    <t xml:space="preserve">On client letterhead</t>
  </si>
  <si>
    <t xml:space="preserve">To collect</t>
  </si>
  <si>
    <t xml:space="preserve">Registration ID log (UNGM, PIC, UEI, Quantum, UNPP)</t>
  </si>
  <si>
    <t xml:space="preserve">Administrative</t>
  </si>
  <si>
    <t xml:space="preserve">Internal control</t>
  </si>
  <si>
    <t xml:space="preserve">See 06_REGISTRATION_IDS</t>
  </si>
  <si>
    <t xml:space="preserve">Capability statement / corporate deck (EN + AR)</t>
  </si>
  <si>
    <t xml:space="preserve">Every buyer and sponsor</t>
  </si>
  <si>
    <t xml:space="preserve">To produce</t>
  </si>
  <si>
    <t xml:space="preserve">Standard budget template and cost narrative</t>
  </si>
  <si>
    <t xml:space="preserve">EU, UN, all proposals</t>
  </si>
  <si>
    <t xml:space="preserve">To build</t>
  </si>
  <si>
    <t xml:space="preserve">Verified by Kayan methodology note (Trust Ladder T0-T4)</t>
  </si>
  <si>
    <t xml:space="preserve">Credibility</t>
  </si>
  <si>
    <t xml:space="preserve">Every proposal - our differentiator</t>
  </si>
  <si>
    <t xml:space="preserve">To write</t>
  </si>
  <si>
    <t xml:space="preserve">COMPLETION</t>
  </si>
  <si>
    <t xml:space="preserve">Item 6 (audited accounts) and item 21 (client references) are time-gated, not effort-gated: they arrive only with trading history. Everything else can be finished inside 90 days, and until it is, otherwise-winnable bids will be ruled inadmissible on paperwork.</t>
  </si>
  <si>
    <t xml:space="preserve">REGISTRATION &amp; CREDENTIAL LOG</t>
  </si>
  <si>
    <t xml:space="preserve">Every portal Kayan must exist inside, the ID it issues, who holds it and when it must be renewed.</t>
  </si>
  <si>
    <t xml:space="preserve">Portal / system</t>
  </si>
  <si>
    <t xml:space="preserve">URL</t>
  </si>
  <si>
    <t xml:space="preserve">ID / reference issued</t>
  </si>
  <si>
    <t xml:space="preserve">Registered on</t>
  </si>
  <si>
    <t xml:space="preserve">Renewal / review</t>
  </si>
  <si>
    <t xml:space="preserve">Credential holder</t>
  </si>
  <si>
    <t xml:space="preserve">Unlocks</t>
  </si>
  <si>
    <t xml:space="preserve">(UNGM number)</t>
  </si>
  <si>
    <t xml:space="preserve">Annual review</t>
  </si>
  <si>
    <t xml:space="preserve">All UN agency tenders</t>
  </si>
  <si>
    <t xml:space="preserve">UNDP Quantum supplier portal</t>
  </si>
  <si>
    <t xml:space="preserve">(vendor code)</t>
  </si>
  <si>
    <t xml:space="preserve">Annual</t>
  </si>
  <si>
    <t xml:space="preserve">UNDP Yemen bidding</t>
  </si>
  <si>
    <t xml:space="preserve">EU Participant Register (PIC) - LLC</t>
  </si>
  <si>
    <t xml:space="preserve">(9-digit PIC)</t>
  </si>
  <si>
    <t xml:space="preserve">On change of details</t>
  </si>
  <si>
    <t xml:space="preserve">All EU grants and tenders</t>
  </si>
  <si>
    <t xml:space="preserve">EU Participant Register (PIC) - K4Y</t>
  </si>
  <si>
    <t xml:space="preserve">Blocked - needs K4Y</t>
  </si>
  <si>
    <t xml:space="preserve">EU CSO calls</t>
  </si>
  <si>
    <t xml:space="preserve">PADOR / PROSPECT</t>
  </si>
  <si>
    <t xml:space="preserve">(PADOR ID)</t>
  </si>
  <si>
    <t xml:space="preserve">Annual data update</t>
  </si>
  <si>
    <t xml:space="preserve">EU external-action grant calls</t>
  </si>
  <si>
    <t xml:space="preserve">KSrelief Suppliers Portal</t>
  </si>
  <si>
    <t xml:space="preserve">(supplier ref)</t>
  </si>
  <si>
    <t xml:space="preserve">KSrelief procurement</t>
  </si>
  <si>
    <t xml:space="preserve">KSrelief Humanitarian Organisations Portal</t>
  </si>
  <si>
    <t xml:space="preserve">(org ref)</t>
  </si>
  <si>
    <t xml:space="preserve">KSrelief partnership projects</t>
  </si>
  <si>
    <t xml:space="preserve">(UNPP ID)</t>
  </si>
  <si>
    <t xml:space="preserve">Annual due diligence</t>
  </si>
  <si>
    <t xml:space="preserve">UNICEF, UNHCR, WFP, UNFPA, IOM, UN Women partnerships</t>
  </si>
  <si>
    <t xml:space="preserve">World Bank STEP</t>
  </si>
  <si>
    <t xml:space="preserve">(firm ID)</t>
  </si>
  <si>
    <t xml:space="preserve">Per assignment</t>
  </si>
  <si>
    <t xml:space="preserve">IDA-financed consultancy</t>
  </si>
  <si>
    <t xml:space="preserve">Tadamon community platform</t>
  </si>
  <si>
    <t xml:space="preserve">(CSO profile)</t>
  </si>
  <si>
    <t xml:space="preserve">IsDB Tadamon accelerator cohorts</t>
  </si>
  <si>
    <t xml:space="preserve">GIZ procurement portal</t>
  </si>
  <si>
    <t xml:space="preserve">German-commissioned Yemen work</t>
  </si>
  <si>
    <t xml:space="preserve">UK Find a Tender / Contracts Finder</t>
  </si>
  <si>
    <t xml:space="preserve">FCDO-funded contracts</t>
  </si>
  <si>
    <t xml:space="preserve">SAM.gov + UEI</t>
  </si>
  <si>
    <t xml:space="preserve">https://sam.gov</t>
  </si>
  <si>
    <t xml:space="preserve">(UEI)</t>
  </si>
  <si>
    <t xml:space="preserve">Annual - mandatory</t>
  </si>
  <si>
    <t xml:space="preserve">Contingency only</t>
  </si>
  <si>
    <t xml:space="preserve">Any residual US-linked funding</t>
  </si>
  <si>
    <t xml:space="preserve">INGO vendor rosters (5 offices, Aden)</t>
  </si>
  <si>
    <t xml:space="preserve">(per organisation)</t>
  </si>
  <si>
    <t xml:space="preserve">(vendor refs)</t>
  </si>
  <si>
    <t xml:space="preserve">Fastest first contracts</t>
  </si>
  <si>
    <t xml:space="preserve">SFD / SMEPS vendor listing</t>
  </si>
  <si>
    <t xml:space="preserve">https://www.sfd-yemen.org  |  https://smeps.org.ye</t>
  </si>
  <si>
    <t xml:space="preserve">(vendor ref)</t>
  </si>
  <si>
    <t xml:space="preserve">Per programme</t>
  </si>
  <si>
    <t xml:space="preserve">World Bank-financed local delivery</t>
  </si>
  <si>
    <t xml:space="preserve">Five of these fifteen registrations are blocked by one unmade decision: whether K4Y is constituted as a non-profit legal entity. That decision is the highest-leverage item in this entire workbook.</t>
  </si>
  <si>
    <t xml:space="preserve">AUTOMATED MONITORING LAYER</t>
  </si>
  <si>
    <t xml:space="preserve">20 APIs and feeds that keep this register alive. Configure once; opportunity discovery stops depending on anyone remembering to look.</t>
  </si>
  <si>
    <t xml:space="preserve">Source</t>
  </si>
  <si>
    <t xml:space="preserve">Endpoint / URL</t>
  </si>
  <si>
    <t xml:space="preserve">Auth</t>
  </si>
  <si>
    <t xml:space="preserve">Format</t>
  </si>
  <si>
    <t xml:space="preserve">Rate limit</t>
  </si>
  <si>
    <t xml:space="preserve">Yemen / MENA coverage</t>
  </si>
  <si>
    <t xml:space="preserve">Usable by a small Aden team?</t>
  </si>
  <si>
    <t xml:space="preserve">In the core stack</t>
  </si>
  <si>
    <t xml:space="preserve">Cadence</t>
  </si>
  <si>
    <t xml:space="preserve">ReliefWeb API</t>
  </si>
  <si>
    <t xml:space="preserve">https://api.reliefweb.int/v1/ (reports, jobs, training)</t>
  </si>
  <si>
    <t xml:space="preserve">Open - appname parameter</t>
  </si>
  <si>
    <t xml:space="preserve">JSON</t>
  </si>
  <si>
    <t xml:space="preserve">1,000 calls/day; 1,000 entries/call</t>
  </si>
  <si>
    <t xml:space="preserve">Excellent - filter country=Yemen</t>
  </si>
  <si>
    <t xml:space="preserve">Yes - easiest and highest value</t>
  </si>
  <si>
    <t xml:space="preserve">CORE</t>
  </si>
  <si>
    <t xml:space="preserve">Daily</t>
  </si>
  <si>
    <t xml:space="preserve">UNGM tender notices</t>
  </si>
  <si>
    <t xml:space="preserve">https://www.ungm.org/Public/Notice</t>
  </si>
  <si>
    <t xml:space="preserve">Free to browse; alerts paid</t>
  </si>
  <si>
    <t xml:space="preserve">HTML</t>
  </si>
  <si>
    <t xml:space="preserve">-</t>
  </si>
  <si>
    <t xml:space="preserve">Free browse; legacy alert service USD 175/6mo, 250/1yr, 400/2yr</t>
  </si>
  <si>
    <t xml:space="preserve">Very strong</t>
  </si>
  <si>
    <t xml:space="preserve">Yes - browse manually plus one paid alert</t>
  </si>
  <si>
    <t xml:space="preserve">UNDP procurement notices</t>
  </si>
  <si>
    <t xml:space="preserve">No public API confirmed</t>
  </si>
  <si>
    <t xml:space="preserve">Strong</t>
  </si>
  <si>
    <t xml:space="preserve">Yes - manual or light scrape</t>
  </si>
  <si>
    <t xml:space="preserve">World Bank Procurement Notices API</t>
  </si>
  <si>
    <t xml:space="preserve">https://search.worldbank.org/api/procnotices</t>
  </si>
  <si>
    <t xml:space="preserve">Open</t>
  </si>
  <si>
    <t xml:space="preserve">JSON / bulk</t>
  </si>
  <si>
    <t xml:space="preserve">Weekly</t>
  </si>
  <si>
    <t xml:space="preserve">World Bank Projects API</t>
  </si>
  <si>
    <t xml:space="preserve">https://search.worldbank.org/api/v2/projects</t>
  </si>
  <si>
    <t xml:space="preserve">JSON / XML</t>
  </si>
  <si>
    <t xml:space="preserve">Optional</t>
  </si>
  <si>
    <t xml:space="preserve">Monthly</t>
  </si>
  <si>
    <t xml:space="preserve">World Bank Documents &amp; Reports API</t>
  </si>
  <si>
    <t xml:space="preserve">https://search.worldbank.org/api/v3/wds</t>
  </si>
  <si>
    <t xml:space="preserve">TED (Tenders Electronic Daily)</t>
  </si>
  <si>
    <t xml:space="preserve">https://api.ted.europa.eu</t>
  </si>
  <si>
    <t xml:space="preserve">Open (key only to submit)</t>
  </si>
  <si>
    <t xml:space="preserve">XML / CSV / JSON / RDF</t>
  </si>
  <si>
    <t xml:space="preserve">EU-funded work in Yemen</t>
  </si>
  <si>
    <t xml:space="preserve">Yes - moderate skill</t>
  </si>
  <si>
    <t xml:space="preserve">EU Funding &amp; Tenders Portal (SEDIA search)</t>
  </si>
  <si>
    <t xml:space="preserve">https://api.tech.ec.europa.eu/search-api/prod/rest/search (UNOFFICIAL)</t>
  </si>
  <si>
    <t xml:space="preserve">apiKey=SEDIA</t>
  </si>
  <si>
    <t xml:space="preserve">EU external action</t>
  </si>
  <si>
    <t xml:space="preserve">Partial - unofficial, may break</t>
  </si>
  <si>
    <t xml:space="preserve">IATI Datastore v3</t>
  </si>
  <si>
    <t xml:space="preserve">https://api.iatistandard.org/datastore/</t>
  </si>
  <si>
    <t xml:space="preserve">Free API key required</t>
  </si>
  <si>
    <t xml:space="preserve">XML / JSON / CSV</t>
  </si>
  <si>
    <t xml:space="preserve">Tier-based</t>
  </si>
  <si>
    <t xml:space="preserve">Excellent - recipient-country=YE</t>
  </si>
  <si>
    <t xml:space="preserve">Yes - or use d-portal.org with no code</t>
  </si>
  <si>
    <t xml:space="preserve">FCDO DevTracker</t>
  </si>
  <si>
    <t xml:space="preserve">https://devtracker.fcdo.gov.uk</t>
  </si>
  <si>
    <t xml:space="preserve">Open (plus IATI)</t>
  </si>
  <si>
    <t xml:space="preserve">JSON / CSV</t>
  </si>
  <si>
    <t xml:space="preserve">UK aid to Yemen</t>
  </si>
  <si>
    <t xml:space="preserve">UK Find a Tender (FTS)</t>
  </si>
  <si>
    <t xml:space="preserve">https://www.find-tender.service.gov.uk/api/1.0/ocdsReleasePackages</t>
  </si>
  <si>
    <t xml:space="preserve">OCDS JSON</t>
  </si>
  <si>
    <t xml:space="preserve">Retry-After on 429</t>
  </si>
  <si>
    <t xml:space="preserve">UK high-value contracts</t>
  </si>
  <si>
    <t xml:space="preserve">UK Contracts Finder</t>
  </si>
  <si>
    <t xml:space="preserve">https://www.contractsfinder.service.gov.uk/apidocumentation</t>
  </si>
  <si>
    <t xml:space="preserve">UK contracts delivered in Yemen</t>
  </si>
  <si>
    <t xml:space="preserve">SAM.gov Opportunities API</t>
  </si>
  <si>
    <t xml:space="preserve">https://api.sam.gov/prod/opportunities/v2/search</t>
  </si>
  <si>
    <t xml:space="preserve">API key required</t>
  </si>
  <si>
    <t xml:space="preserve">Low daily cap for non-federal users</t>
  </si>
  <si>
    <t xml:space="preserve">US federal opportunities</t>
  </si>
  <si>
    <t xml:space="preserve">Yes but capped</t>
  </si>
  <si>
    <t xml:space="preserve">Grants.gov Search2 API</t>
  </si>
  <si>
    <t xml:space="preserve">https://api.grants.gov/v1/api/search2</t>
  </si>
  <si>
    <t xml:space="preserve">US grants</t>
  </si>
  <si>
    <t xml:space="preserve">Yes - easy</t>
  </si>
  <si>
    <t xml:space="preserve">OECD CRS (SDMX)</t>
  </si>
  <si>
    <t xml:space="preserve">https://sdmx.oecd.org/public/rest/data/</t>
  </si>
  <si>
    <t xml:space="preserve">SDMX-JSON / XML / CSV</t>
  </si>
  <si>
    <t xml:space="preserve">Limited</t>
  </si>
  <si>
    <t xml:space="preserve">Strong - recipient=Yemen</t>
  </si>
  <si>
    <t xml:space="preserve">Moderate skill</t>
  </si>
  <si>
    <t xml:space="preserve">Quarterly</t>
  </si>
  <si>
    <t xml:space="preserve">ProPublica Nonprofit Explorer API</t>
  </si>
  <si>
    <t xml:space="preserve">https://projects.propublica.org/nonprofits/api/v2/</t>
  </si>
  <si>
    <t xml:space="preserve">Indirect - US funder intelligence</t>
  </si>
  <si>
    <t xml:space="preserve">Devex Pro</t>
  </si>
  <si>
    <t xml:space="preserve">https://www.devex.com/pro</t>
  </si>
  <si>
    <t xml:space="preserve">Subscription</t>
  </si>
  <si>
    <t xml:space="preserve">Web / alerts</t>
  </si>
  <si>
    <t xml:space="preserve">USD 499/yr or 67.99/mo; Pro Funding tier higher</t>
  </si>
  <si>
    <t xml:space="preserve">Global including Yemen</t>
  </si>
  <si>
    <t xml:space="preserve">Only once revenue justifies it</t>
  </si>
  <si>
    <t xml:space="preserve">Daily if bought</t>
  </si>
  <si>
    <t xml:space="preserve">DevelopmentAid</t>
  </si>
  <si>
    <t xml:space="preserve">https://www.developmentaid.org</t>
  </si>
  <si>
    <t xml:space="preserve">Quote-based, unpublished</t>
  </si>
  <si>
    <t xml:space="preserve">Only with budget</t>
  </si>
  <si>
    <t xml:space="preserve">Weekly if bought</t>
  </si>
  <si>
    <t xml:space="preserve">Opportunity Desk / fundsforNGOs</t>
  </si>
  <si>
    <t xml:space="preserve">https://opportunitydesk.org</t>
  </si>
  <si>
    <t xml:space="preserve">Open / freemium</t>
  </si>
  <si>
    <t xml:space="preserve">RSS / HTML</t>
  </si>
  <si>
    <t xml:space="preserve">Free / freemium</t>
  </si>
  <si>
    <t xml:space="preserve">MENA-relevant</t>
  </si>
  <si>
    <t xml:space="preserve">Yes - but aggregator, lower reliability</t>
  </si>
  <si>
    <t xml:space="preserve">Google Alerts + portal saved searches</t>
  </si>
  <si>
    <t xml:space="preserve">https://www.google.com/alerts</t>
  </si>
  <si>
    <t xml:space="preserve">Email / RSS</t>
  </si>
  <si>
    <t xml:space="preserve">All - catches prizes and accelerators no feed carries</t>
  </si>
  <si>
    <t xml:space="preserve">Yes - easiest automation of all</t>
  </si>
  <si>
    <t xml:space="preserve">Real-time</t>
  </si>
  <si>
    <t xml:space="preserve">THE CORE STACK - seven sources, all free, near-complete Yemen coverage</t>
  </si>
  <si>
    <t xml:space="preserve">DAILY (10 minutes): ReliefWeb API, UNGM notices, UNDP procurement notices. These three carry most of what we can actually win.</t>
  </si>
  <si>
    <t xml:space="preserve">WEEKLY (30 minutes): World Bank procurement notices, TED. These show what SFD and SMEPS will be buying six to twelve months out.</t>
  </si>
  <si>
    <t xml:space="preserve">MONTHLY (30 minutes): IATI Datastore or d-portal. This shows donor commitments to Yemen BEFORE calls are published - it is how we arrive early instead of on time.</t>
  </si>
  <si>
    <t xml:space="preserve">REAL-TIME (set once): Google Alerts on 'Yemen' plus each funder name. This is the only thing that reliably catches accelerators and prizes, which never appear in structured feeds.</t>
  </si>
  <si>
    <t xml:space="preserve">Buy nothing until procurement revenue justifies it. The free layer above already covers the great majority of Yemen-relevant opportunity flow.</t>
  </si>
  <si>
    <t xml:space="preserve">FUNDER PORTALS &amp; ENTRY POINTS</t>
  </si>
  <si>
    <t xml:space="preserve">Where each funder actually lives. Public channels only - no private individuals.</t>
  </si>
  <si>
    <t xml:space="preserve">Funder / body</t>
  </si>
  <si>
    <t xml:space="preserve">Entry point</t>
  </si>
  <si>
    <t xml:space="preserve">Public contact channel</t>
  </si>
  <si>
    <t xml:space="preserve">Location relevant to Aden</t>
  </si>
  <si>
    <t xml:space="preserve">Best first approach</t>
  </si>
  <si>
    <t xml:space="preserve">Supplier registration</t>
  </si>
  <si>
    <t xml:space="preserve">help.ungm.org (help centre)</t>
  </si>
  <si>
    <t xml:space="preserve">Global</t>
  </si>
  <si>
    <t xml:space="preserve">Register Basic then Level 1; no human contact needed</t>
  </si>
  <si>
    <t xml:space="preserve">Procurement notices</t>
  </si>
  <si>
    <t xml:space="preserve">Via each notice</t>
  </si>
  <si>
    <t xml:space="preserve">Country office</t>
  </si>
  <si>
    <t xml:space="preserve">Register in Quantum, then bid a low-value RFQ</t>
  </si>
  <si>
    <t xml:space="preserve">Calls for proposals</t>
  </si>
  <si>
    <t xml:space="preserve">Ran a physical info session in Aden, Dec 2025</t>
  </si>
  <si>
    <t xml:space="preserve">Join the call mailing list and attend the next Aden info session</t>
  </si>
  <si>
    <t xml:space="preserve">EU Funding &amp; Tenders Portal</t>
  </si>
  <si>
    <t xml:space="preserve">PIC registration</t>
  </si>
  <si>
    <t xml:space="preserve">Portal helpdesk</t>
  </si>
  <si>
    <t xml:space="preserve">Self-service registration</t>
  </si>
  <si>
    <t xml:space="preserve">TED</t>
  </si>
  <si>
    <t xml:space="preserve">EU service tenders</t>
  </si>
  <si>
    <t xml:space="preserve">Per contracting authority</t>
  </si>
  <si>
    <t xml:space="preserve">Monitor via API; bid within a consortium</t>
  </si>
  <si>
    <t xml:space="preserve">WATHBA / ROWAD Foundation</t>
  </si>
  <si>
    <t xml:space="preserve">Accelerator and ecosystem</t>
  </si>
  <si>
    <t xml:space="preserve">Via ROWAD</t>
  </si>
  <si>
    <t xml:space="preserve">Based at Inma, Aden</t>
  </si>
  <si>
    <t xml:space="preserve">Direct approach - they are locally present and locally run</t>
  </si>
  <si>
    <t xml:space="preserve">WATHBA / DeepRoot Consulting</t>
  </si>
  <si>
    <t xml:space="preserve">Programme implementation</t>
  </si>
  <si>
    <t xml:space="preserve">Via wathba.ventures</t>
  </si>
  <si>
    <t xml:space="preserve">Yemen</t>
  </si>
  <si>
    <t xml:space="preserve">Approach as an ecosystem verification partner, not as an applicant</t>
  </si>
  <si>
    <t xml:space="preserve">World Bank</t>
  </si>
  <si>
    <t xml:space="preserve">STEP and procurement notices</t>
  </si>
  <si>
    <t xml:space="preserve">Project implementing units</t>
  </si>
  <si>
    <t xml:space="preserve">Via UNDP, UNICEF, UNOPS, SFD, PWP</t>
  </si>
  <si>
    <t xml:space="preserve">Register in STEP; watch notices tied to SFD-executed projects</t>
  </si>
  <si>
    <t xml:space="preserve">Social Fund for Development</t>
  </si>
  <si>
    <t xml:space="preserve">Vendor and consultancy contracting</t>
  </si>
  <si>
    <t xml:space="preserve">SFD offices</t>
  </si>
  <si>
    <t xml:space="preserve">Aden office</t>
  </si>
  <si>
    <t xml:space="preserve">Walk in. No public e-procurement portal was confirmed</t>
  </si>
  <si>
    <t xml:space="preserve">SMEPS</t>
  </si>
  <si>
    <t xml:space="preserve">Service contracts and delivery partnership</t>
  </si>
  <si>
    <t xml:space="preserve">SMEPS offices</t>
  </si>
  <si>
    <t xml:space="preserve">Mansoura, Aden</t>
  </si>
  <si>
    <t xml:space="preserve">Pitch a Verification-as-a-Service pilot on an existing cohort</t>
  </si>
  <si>
    <t xml:space="preserve">IFC</t>
  </si>
  <si>
    <t xml:space="preserve">She WINS Arabia</t>
  </si>
  <si>
    <t xml:space="preserve">Programme page</t>
  </si>
  <si>
    <t xml:space="preserve">Regional</t>
  </si>
  <si>
    <t xml:space="preserve">Apply when the next round posts; evidence women-led status first</t>
  </si>
  <si>
    <t xml:space="preserve">IsDB Tadamon</t>
  </si>
  <si>
    <t xml:space="preserve">CSO platform and accelerator</t>
  </si>
  <si>
    <t xml:space="preserve">Platform sign-up</t>
  </si>
  <si>
    <t xml:space="preserve">Global (Yemen eligible)</t>
  </si>
  <si>
    <t xml:space="preserve">Register the K4Y profile so it is pre-verified</t>
  </si>
  <si>
    <t xml:space="preserve">Suppliers and organisations portals</t>
  </si>
  <si>
    <t xml:space="preserve">Portal registration</t>
  </si>
  <si>
    <t xml:space="preserve">Riyadh, operating across Yemen</t>
  </si>
  <si>
    <t xml:space="preserve">Register on the correct portal for each vehicle</t>
  </si>
  <si>
    <t xml:space="preserve">SDRPY</t>
  </si>
  <si>
    <t xml:space="preserve">Implementer partnerships</t>
  </si>
  <si>
    <t xml:space="preserve">Programme office</t>
  </si>
  <si>
    <t xml:space="preserve">Active in Aden</t>
  </si>
  <si>
    <t xml:space="preserve">Approach through an existing SDRPY implementer, not cold</t>
  </si>
  <si>
    <t xml:space="preserve">Youth employment partnerships</t>
  </si>
  <si>
    <t xml:space="preserve">Doha headquarters</t>
  </si>
  <si>
    <t xml:space="preserve">Programmes reach Aden</t>
  </si>
  <si>
    <t xml:space="preserve">Lead with the Absorption Ratio - the metric they lack</t>
  </si>
  <si>
    <t xml:space="preserve">UNICEF Venture Fund</t>
  </si>
  <si>
    <t xml:space="preserve">Equity-free frontier tech</t>
  </si>
  <si>
    <t xml:space="preserve">Office of Innovation</t>
  </si>
  <si>
    <t xml:space="preserve">Resolve the open-source question before applying</t>
  </si>
  <si>
    <t xml:space="preserve">Challenges and Sprint</t>
  </si>
  <si>
    <t xml:space="preserve">Accelerator team, Munich</t>
  </si>
  <si>
    <t xml:space="preserve">Secure a WFP Yemen country-office champion first</t>
  </si>
  <si>
    <t xml:space="preserve">Global Challenges</t>
  </si>
  <si>
    <t xml:space="preserve">Solve team</t>
  </si>
  <si>
    <t xml:space="preserve">Global - finals in New York</t>
  </si>
  <si>
    <t xml:space="preserve">Submit in the September 2026 window</t>
  </si>
  <si>
    <t xml:space="preserve">Staged innovation funding</t>
  </si>
  <si>
    <t xml:space="preserve">Application portal</t>
  </si>
  <si>
    <t xml:space="preserve">Do not approach without a multi-country scale thesis</t>
  </si>
  <si>
    <t xml:space="preserve">HSA Group</t>
  </si>
  <si>
    <t xml:space="preserve">Corporate partnership</t>
  </si>
  <si>
    <t xml:space="preserve">Corporate offices</t>
  </si>
  <si>
    <t xml:space="preserve">Yemen-wide, Aden present</t>
  </si>
  <si>
    <t xml:space="preserve">Approach the economic development unit; they already partner the EU</t>
  </si>
  <si>
    <t xml:space="preserve">MASTER LISTS</t>
  </si>
  <si>
    <t xml:space="preserve">Controlled vocabulary. Every dropdown in this workbook reads from here. Edit here - never free-type in the register.</t>
  </si>
  <si>
    <t xml:space="preserve">Kayan_Line</t>
  </si>
  <si>
    <t xml:space="preserve">Yes_No</t>
  </si>
  <si>
    <t xml:space="preserve">Evidence_Grade</t>
  </si>
  <si>
    <t xml:space="preserve">Priority_Band</t>
  </si>
  <si>
    <t xml:space="preserve">Deadline_Flag</t>
  </si>
  <si>
    <t xml:space="preserve">OPEN</t>
  </si>
  <si>
    <t xml:space="preserve">1 - DO NOW</t>
  </si>
  <si>
    <t xml:space="preserve">URGENT</t>
  </si>
  <si>
    <t xml:space="preserve">2 - PREPARE</t>
  </si>
  <si>
    <t xml:space="preserve">APPROACHING</t>
  </si>
  <si>
    <t xml:space="preserve">Partial</t>
  </si>
  <si>
    <t xml:space="preserve">3 - WATCH</t>
  </si>
  <si>
    <t xml:space="preserve">MONITOR</t>
  </si>
  <si>
    <t xml:space="preserve">Unverified</t>
  </si>
  <si>
    <t xml:space="preserve">NO FIXED DATE</t>
  </si>
  <si>
    <t xml:space="preserve">These lists are the spelling authority. If a value is missing, add it here first - the dropdown picks it up automatically and the dashboard keeps counting correctly.</t>
  </si>
  <si>
    <t xml:space="preserve">DATA DICTIONARY</t>
  </si>
  <si>
    <t xml:space="preserve">What every column means, who owns it, and exactly how each score is calculated. No interpretation required.</t>
  </si>
  <si>
    <t xml:space="preserve">Column</t>
  </si>
  <si>
    <t xml:space="preserve">Field</t>
  </si>
  <si>
    <t xml:space="preserve">Definition</t>
  </si>
  <si>
    <t xml:space="preserve">Allowed values / source</t>
  </si>
  <si>
    <t xml:space="preserve">Input or formula</t>
  </si>
  <si>
    <t xml:space="preserve">A</t>
  </si>
  <si>
    <t xml:space="preserve">Permanent identifier. Also the folder name in the opportunity estate.</t>
  </si>
  <si>
    <t xml:space="preserve">KAY-OPP-### (never reused)</t>
  </si>
  <si>
    <t xml:space="preserve">Input</t>
  </si>
  <si>
    <t xml:space="preserve">B</t>
  </si>
  <si>
    <t xml:space="preserve">The institution holding the money or buying the service.</t>
  </si>
  <si>
    <t xml:space="preserve">Free text</t>
  </si>
  <si>
    <t xml:space="preserve">C</t>
  </si>
  <si>
    <t xml:space="preserve">The specific vehicle, not the institution.</t>
  </si>
  <si>
    <t xml:space="preserve">D</t>
  </si>
  <si>
    <t xml:space="preserve">What kind of money this is - it determines eligibility more than any other field.</t>
  </si>
  <si>
    <t xml:space="preserve">09_MASTER_LISTS column A</t>
  </si>
  <si>
    <t xml:space="preserve">Input (dropdown)</t>
  </si>
  <si>
    <t xml:space="preserve">E</t>
  </si>
  <si>
    <t xml:space="preserve">Which business line the money lands in.</t>
  </si>
  <si>
    <t xml:space="preserve">09_MASTER_LISTS column B</t>
  </si>
  <si>
    <t xml:space="preserve">F</t>
  </si>
  <si>
    <t xml:space="preserve">Whether Kayan LLC or K4Y must be the applicant.</t>
  </si>
  <si>
    <t xml:space="preserve">09_MASTER_LISTS column C</t>
  </si>
  <si>
    <t xml:space="preserve">G</t>
  </si>
  <si>
    <t xml:space="preserve">Live state of the window as at the date in 00_START_HERE.</t>
  </si>
  <si>
    <t xml:space="preserve">09_MASTER_LISTS column D</t>
  </si>
  <si>
    <t xml:space="preserve">H</t>
  </si>
  <si>
    <t xml:space="preserve">Next known hard deadline. Blank means rolling or relationship-driven.</t>
  </si>
  <si>
    <t xml:space="preserve">Date</t>
  </si>
  <si>
    <t xml:space="preserve">I</t>
  </si>
  <si>
    <t xml:space="preserve">Cycle history</t>
  </si>
  <si>
    <t xml:space="preserve">Prior cycle dates, so the next window can be predicted rather than waited for.</t>
  </si>
  <si>
    <t xml:space="preserve">J-M</t>
  </si>
  <si>
    <t xml:space="preserve">Ticket min / max / envelope / currency</t>
  </si>
  <si>
    <t xml:space="preserve">Indicative value. Always read alongside the evidence grade in AK.</t>
  </si>
  <si>
    <t xml:space="preserve">Numeric / text</t>
  </si>
  <si>
    <t xml:space="preserve">N</t>
  </si>
  <si>
    <t xml:space="preserve">Co-financing %</t>
  </si>
  <si>
    <t xml:space="preserve">Share Kayan must fund itself.</t>
  </si>
  <si>
    <t xml:space="preserve">Percentage</t>
  </si>
  <si>
    <t xml:space="preserve">O</t>
  </si>
  <si>
    <t xml:space="preserve">Whether Kayan LLC can be the lead applicant. The single most decisive field in the register.</t>
  </si>
  <si>
    <t xml:space="preserve">Yes / No / Partial / Unverified</t>
  </si>
  <si>
    <t xml:space="preserve">P</t>
  </si>
  <si>
    <t xml:space="preserve">Whether Kayan LLC can participate as partner, sub-contractor or vendor.</t>
  </si>
  <si>
    <t xml:space="preserve">Q</t>
  </si>
  <si>
    <t xml:space="preserve">Min years existence</t>
  </si>
  <si>
    <t xml:space="preserve">Minimum trading history required. Kayan opened in 2026 - anything above 0 is time-gated.</t>
  </si>
  <si>
    <t xml:space="preserve">Integer</t>
  </si>
  <si>
    <t xml:space="preserve">R-V</t>
  </si>
  <si>
    <t xml:space="preserve">Registration, portal, stages, annexes, evaluation focus</t>
  </si>
  <si>
    <t xml:space="preserve">The operational detail needed to actually submit.</t>
  </si>
  <si>
    <t xml:space="preserve">W</t>
  </si>
  <si>
    <t xml:space="preserve">How well this matches what Kayan genuinely does. 5 = built for us.</t>
  </si>
  <si>
    <t xml:space="preserve">1 to 5</t>
  </si>
  <si>
    <t xml:space="preserve">X</t>
  </si>
  <si>
    <t xml:space="preserve">Win probability %</t>
  </si>
  <si>
    <t xml:space="preserve">Honest probability of success, stored as a fraction.</t>
  </si>
  <si>
    <t xml:space="preserve">0% to 100%</t>
  </si>
  <si>
    <t xml:space="preserve">Y</t>
  </si>
  <si>
    <t xml:space="preserve">Value beyond the money: credibility, references, doors opened.</t>
  </si>
  <si>
    <t xml:space="preserve">Z</t>
  </si>
  <si>
    <t xml:space="preserve">Effort hours</t>
  </si>
  <si>
    <t xml:space="preserve">Realistic total hours to pursue, including registration and drafting.</t>
  </si>
  <si>
    <t xml:space="preserve">Hours</t>
  </si>
  <si>
    <t xml:space="preserve">AA</t>
  </si>
  <si>
    <t xml:space="preserve">PRIORITY = Fit x Probability x Strategic value x 100 / Effort hours. Rewards high-value, low-effort, winnable work.</t>
  </si>
  <si>
    <t xml:space="preserve">Calculated</t>
  </si>
  <si>
    <t xml:space="preserve">Formula</t>
  </si>
  <si>
    <t xml:space="preserve">AB</t>
  </si>
  <si>
    <t xml:space="preserve">45+ = 1 DO NOW; 20-44 = 2 PREPARE; below 20 = 3 WATCH. Thresholds are calibrated to the live score distribution and should be re-checked whenever the register grows substantially.</t>
  </si>
  <si>
    <t xml:space="preserve">AC</t>
  </si>
  <si>
    <t xml:space="preserve">Where this sits in the pipeline. Update after every contact.</t>
  </si>
  <si>
    <t xml:space="preserve">09_MASTER_LISTS column E</t>
  </si>
  <si>
    <t xml:space="preserve">AD</t>
  </si>
  <si>
    <t xml:space="preserve">One named role. Never two.</t>
  </si>
  <si>
    <t xml:space="preserve">09_MASTER_LISTS column F</t>
  </si>
  <si>
    <t xml:space="preserve">AE-AF</t>
  </si>
  <si>
    <t xml:space="preserve">Next action and date</t>
  </si>
  <si>
    <t xml:space="preserve">The single next physical step and when it happens.</t>
  </si>
  <si>
    <t xml:space="preserve">Free text / date</t>
  </si>
  <si>
    <t xml:space="preserve">AG</t>
  </si>
  <si>
    <t xml:space="preserve">Days to deadline = Deadline minus the as-of date in 00_START_HERE cell C6.</t>
  </si>
  <si>
    <t xml:space="preserve">AH</t>
  </si>
  <si>
    <t xml:space="preserve">URGENT within 30 days; APPROACHING within 90; CLOSED if past; MONITOR otherwise.</t>
  </si>
  <si>
    <t xml:space="preserve">AI</t>
  </si>
  <si>
    <t xml:space="preserve">Share of the documents this opportunity demands that we already hold.</t>
  </si>
  <si>
    <t xml:space="preserve">AJ</t>
  </si>
  <si>
    <t xml:space="preserve">Which feed in 07_API_MONITORING keeps this row current.</t>
  </si>
  <si>
    <t xml:space="preserve">AK</t>
  </si>
  <si>
    <t xml:space="preserve">FACT = primary source. RESEARCH CLAIM = reliable secondary. INFERENCE = our judgement. UNVERIFIED = do not cite.</t>
  </si>
  <si>
    <t xml:space="preserve">09_MASTER_LISTS column H</t>
  </si>
  <si>
    <t xml:space="preserve">AL</t>
  </si>
  <si>
    <t xml:space="preserve">Kayan hook</t>
  </si>
  <si>
    <t xml:space="preserve">The decisive argument for this specific funder, in their language not ours.</t>
  </si>
  <si>
    <t xml:space="preserve">AM</t>
  </si>
  <si>
    <t xml:space="preserve">Priority plus a tiny row offset so the dashboard ranking never ties. Hidden.</t>
  </si>
  <si>
    <t xml:space="preserve">EVIDENCE LOG</t>
  </si>
  <si>
    <t xml:space="preserve">Truth discipline. Every figure in this workbook is graded. Nothing marked UNVERIFIED may be used externally until confirmed at the URL given.</t>
  </si>
  <si>
    <t xml:space="preserve">Claim</t>
  </si>
  <si>
    <t xml:space="preserve">Verified value</t>
  </si>
  <si>
    <t xml:space="preserve">Grade</t>
  </si>
  <si>
    <t xml:space="preserve">Source / confirm at</t>
  </si>
  <si>
    <t xml:space="preserve">Used where</t>
  </si>
  <si>
    <t xml:space="preserve">Note</t>
  </si>
  <si>
    <t xml:space="preserve">UN procurement total 2024</t>
  </si>
  <si>
    <t xml:space="preserve">USD 25.7bn total (+2.9% / USD 733m); LDC share USD 5.0bn (~19.4%)</t>
  </si>
  <si>
    <t xml:space="preserve">UNOPS Annual Statistical Report, ungm.org/Public/ASR</t>
  </si>
  <si>
    <t xml:space="preserve">Use in every UN-facing pitch - it evidences the LDC-supplier priority</t>
  </si>
  <si>
    <t xml:space="preserve">EuropeAid/186235 (women's economic empowerment)</t>
  </si>
  <si>
    <t xml:space="preserve">EUR 5,000,000; deadline 3 June 2026 12:00 Brussels; 36-48 months; NGOs, private-sector operators and international organisations</t>
  </si>
  <si>
    <t xml:space="preserve">eeas.europa.eu (EU Delegation to Yemen)</t>
  </si>
  <si>
    <t xml:space="preserve">CLOSED. Watch for the 2027 equivalent</t>
  </si>
  <si>
    <t xml:space="preserve">EuropeAid/185125 (CSO support)</t>
  </si>
  <si>
    <t xml:space="preserve">EUR 4,084,330; deadline 29 January 2026 12:00 Brussels; CSOs only</t>
  </si>
  <si>
    <t xml:space="preserve">eeas.europa.eu</t>
  </si>
  <si>
    <t xml:space="preserve">CLOSED. Aden info session held Dec 2025</t>
  </si>
  <si>
    <t xml:space="preserve">WATHBA programme</t>
  </si>
  <si>
    <t xml:space="preserve">EUR 4.6m EU contribution; started August 2024; 5-year duration; DeepRoot and ROWAD implementing</t>
  </si>
  <si>
    <t xml:space="preserve">KAY-OPP-015/016/017</t>
  </si>
  <si>
    <t xml:space="preserve">The EU's first joint partnership with the Yemeni private sector</t>
  </si>
  <si>
    <t xml:space="preserve">WATHBA components</t>
  </si>
  <si>
    <t xml:space="preserve">Social Innovation Labs; 6-month Accelerator; YAIN targeting 25 champion angels; WIIF to invest in up to 20 startups</t>
  </si>
  <si>
    <t xml:space="preserve">Component design is published; ticket sizes are not</t>
  </si>
  <si>
    <t xml:space="preserve">WATHBA per-startup grant and WIIF ticket</t>
  </si>
  <si>
    <t xml:space="preserve">Not published in sources reviewed</t>
  </si>
  <si>
    <t xml:space="preserve">Confirm at rowad.org and wathba.ventures</t>
  </si>
  <si>
    <t xml:space="preserve">KAY-OPP-015/017</t>
  </si>
  <si>
    <t xml:space="preserve">Do not quote any figure for these</t>
  </si>
  <si>
    <t xml:space="preserve">Tadamon accelerator grants</t>
  </si>
  <si>
    <t xml:space="preserve">Up to USD 40,000 per CSO; USD 850,000 awarded to 50 CSOs on 8 May 2026</t>
  </si>
  <si>
    <t xml:space="preserve">tadamon.community; isfd.isdb.org</t>
  </si>
  <si>
    <t xml:space="preserve">Yemen is an eligible country</t>
  </si>
  <si>
    <t xml:space="preserve">Tadamon 1.0 mobilisation</t>
  </si>
  <si>
    <t xml:space="preserve">USD 15m IsDB seed mobilised over USD 155m; 5,520 CSOs mapped across 34 countries</t>
  </si>
  <si>
    <t xml:space="preserve">IsDB Tadamon 1.0 brochure</t>
  </si>
  <si>
    <t xml:space="preserve">Useful credibility evidence for the K4Y case</t>
  </si>
  <si>
    <t xml:space="preserve">ESPECRP (World Bank)</t>
  </si>
  <si>
    <t xml:space="preserve">Original approx. USD 204m IDA, scaled to USD 232.9m, plus USD 207m additional financing (March 2023)</t>
  </si>
  <si>
    <t xml:space="preserve">worldbank.org; documents1.worldbank.org</t>
  </si>
  <si>
    <t xml:space="preserve">KAY-OPP-018/019/020</t>
  </si>
  <si>
    <t xml:space="preserve">Always specify which tranche is being cited</t>
  </si>
  <si>
    <t xml:space="preserve">ERRY III</t>
  </si>
  <si>
    <t xml:space="preserve">USD 49.37m; EU and Sweden funded; started March 2022; 3-year duration; FAO, ILO, UNDP, WFP</t>
  </si>
  <si>
    <t xml:space="preserve">undp.org/yemen; yemen.un.org</t>
  </si>
  <si>
    <t xml:space="preserve">Successor programming is the thing to track</t>
  </si>
  <si>
    <t xml:space="preserve">Mustaqbalak / SYEFI II</t>
  </si>
  <si>
    <t xml:space="preserve">Mustaqbalak targets 25,200 youth (plus 16,400 rollover); with SYEFI II, over 98,385 young Yemenis</t>
  </si>
  <si>
    <t xml:space="preserve">qatarfund.org.qa; Silatech</t>
  </si>
  <si>
    <t xml:space="preserve">Implementers are EFE and Al-Amal Microfinance Bank</t>
  </si>
  <si>
    <t xml:space="preserve">USD 50k-100k seed equity-free; USD 200k-400k growth; pooled fund USD 35m + 2,527 ETH + 8 BTC; open-source mandatory</t>
  </si>
  <si>
    <t xml:space="preserve">unicef.org/innovation</t>
  </si>
  <si>
    <t xml:space="preserve">Crypto disbursement conflicts with our bank-only rule</t>
  </si>
  <si>
    <t xml:space="preserve">Up to USD 100k equity-free (Challenge); Sprint up to USD 200k; seed-stage minimum</t>
  </si>
  <si>
    <t xml:space="preserve">Some cohorts cite USD 150k</t>
  </si>
  <si>
    <t xml:space="preserve">Pilot up to USD 230,000; will not fund single-country-only innovations; beneficiaries under USD 5 PPP/day</t>
  </si>
  <si>
    <t xml:space="preserve">globalinnovation.fund</t>
  </si>
  <si>
    <t xml:space="preserve">The single-country rule is disqualifying for a Yemen-only model</t>
  </si>
  <si>
    <t xml:space="preserve">MIT Solve 2026</t>
  </si>
  <si>
    <t xml:space="preserve">10th Anniversary Challenge closed 21 May 2026; winners 22 September 2026; at least USD 100,000 unrestricted per winner; next challenges open September 2026</t>
  </si>
  <si>
    <t xml:space="preserve">Open to anyone aged 13+, any stage, any country</t>
  </si>
  <si>
    <t xml:space="preserve">IFC She WINS Arabia</t>
  </si>
  <si>
    <t xml:space="preserve">Round 2 launched Nov 2022; 100 women-led startups and 30+ fund managers targeted; Yemen eligible; in-kind not cash</t>
  </si>
  <si>
    <t xml:space="preserve">ifc.org</t>
  </si>
  <si>
    <t xml:space="preserve">Next round status unconfirmed</t>
  </si>
  <si>
    <t xml:space="preserve">KSrelief portfolio</t>
  </si>
  <si>
    <t xml:space="preserve">4,183 projects; 344 partners; approx. USD 8.33bn total cost</t>
  </si>
  <si>
    <t xml:space="preserve">ksrelief.org</t>
  </si>
  <si>
    <t xml:space="preserve">KAY-OPP-024/025</t>
  </si>
  <si>
    <t xml:space="preserve">Two distinct registration portals exist</t>
  </si>
  <si>
    <t xml:space="preserve">UNGM Level 2 requirement</t>
  </si>
  <si>
    <t xml:space="preserve">Minimum 3 years' existence; 3 client reference letters; 3 years' audited financial statements</t>
  </si>
  <si>
    <t xml:space="preserve">help.ungm.org</t>
  </si>
  <si>
    <t xml:space="preserve">Blocks Kayan until approximately 2029</t>
  </si>
  <si>
    <t xml:space="preserve">UN Partner Portal</t>
  </si>
  <si>
    <t xml:space="preserve">CSO-only. Mandatory for WFP NGO partnerships since 2023. Shared by 7+ UN agencies</t>
  </si>
  <si>
    <t xml:space="preserve">unpartnerportal.org; wfp.org</t>
  </si>
  <si>
    <t xml:space="preserve">The core argument for constituting K4Y</t>
  </si>
  <si>
    <t xml:space="preserve">SDRPY project count</t>
  </si>
  <si>
    <t xml:space="preserve">Not verified</t>
  </si>
  <si>
    <t xml:space="preserve">Confirm at sdrpy.gov.sa</t>
  </si>
  <si>
    <t xml:space="preserve">Figures circulate publicly - do not repeat them</t>
  </si>
  <si>
    <t xml:space="preserve">IFC financing in Aden (Al-Mawarid)</t>
  </si>
  <si>
    <t xml:space="preserve">Not found in sources reviewed</t>
  </si>
  <si>
    <t xml:space="preserve">Confirm at ifc.org</t>
  </si>
  <si>
    <t xml:space="preserve">Previously circulated; could not be substantiated</t>
  </si>
  <si>
    <t xml:space="preserve">Re:Coded Yemen employment rate</t>
  </si>
  <si>
    <t xml:space="preserve">Self-reported in an 80-90% range; no audited methodology</t>
  </si>
  <si>
    <t xml:space="preserve">re-coded.com and partners</t>
  </si>
  <si>
    <t xml:space="preserve">Context / benchmarking</t>
  </si>
  <si>
    <t xml:space="preserve">Useful as sector context, never as our own benchmark</t>
  </si>
  <si>
    <t xml:space="preserve">Yemeni bank and telecom CSR programmes</t>
  </si>
  <si>
    <t xml:space="preserve">Specific programmes and budgets not published</t>
  </si>
  <si>
    <t xml:space="preserve">Direct contact required</t>
  </si>
  <si>
    <t xml:space="preserve">KAY-OPP-033/034</t>
  </si>
  <si>
    <t xml:space="preserve">Confirm by conversation, not by desk research</t>
  </si>
  <si>
    <t xml:space="preserve">All 2027 window dates</t>
  </si>
  <si>
    <t xml:space="preserve">Predicted from historical cadence</t>
  </si>
  <si>
    <t xml:space="preserve">Confirm on each funder portal</t>
  </si>
  <si>
    <t xml:space="preserve">Use for preparation only - never quote to a partner</t>
  </si>
  <si>
    <t xml:space="preserve">Discipline, plainly: a coral row must never appear in a proposal, a board paper, a partner conversation or a press line until it has been confirmed at the URL beside it and re-graded. Getting a number wrong in front of a donor costs more than not having the number at all.</t>
  </si>
  <si>
    <t xml:space="preserve">OPPORTUNITY FOLDER STANDARD</t>
  </si>
  <si>
    <t xml:space="preserve">Every Opp ID in the register has one folder, built to this identical structure. Same shape every time, so anyone can find anything.</t>
  </si>
  <si>
    <t xml:space="preserve">Sub-folder</t>
  </si>
  <si>
    <t xml:space="preserve">What lives inside</t>
  </si>
  <si>
    <t xml:space="preserve">Created when</t>
  </si>
  <si>
    <t xml:space="preserve">Why it exists</t>
  </si>
  <si>
    <t xml:space="preserve">00_README</t>
  </si>
  <si>
    <t xml:space="preserve">The one-page opportunity brief: status, ticket, eligibility, route in, hook, next action.</t>
  </si>
  <si>
    <t xml:space="preserve">At identification</t>
  </si>
  <si>
    <t xml:space="preserve">Anyone opening the folder understands the opportunity in sixty seconds.</t>
  </si>
  <si>
    <t xml:space="preserve">01_Guidelines</t>
  </si>
  <si>
    <t xml:space="preserve">Call PDF, annex library, FAQ, info-session slides, any funder template.</t>
  </si>
  <si>
    <t xml:space="preserve">The rules, held locally, so nobody bids from memory.</t>
  </si>
  <si>
    <t xml:space="preserve">02_Eligibility_Check</t>
  </si>
  <si>
    <t xml:space="preserve">Eligibility matrix, go/no-go memo, and the LLC-versus-K4Y decision with its reasoning.</t>
  </si>
  <si>
    <t xml:space="preserve">Before any drafting</t>
  </si>
  <si>
    <t xml:space="preserve">Stops effort being spent on windows we cannot legally enter.</t>
  </si>
  <si>
    <t xml:space="preserve">03_Registration_IDs</t>
  </si>
  <si>
    <t xml:space="preserve">Portal IDs relevant to this opportunity: UNGM number, PIC, vendor code, UNPP ID.</t>
  </si>
  <si>
    <t xml:space="preserve">At qualification</t>
  </si>
  <si>
    <t xml:space="preserve">Removes the recurring scramble for reference numbers at submission.</t>
  </si>
  <si>
    <t xml:space="preserve">04_Application_Forms</t>
  </si>
  <si>
    <t xml:space="preserve">Concept note, full form, budget, logframe - drafts numbered, final marked FINAL.</t>
  </si>
  <si>
    <t xml:space="preserve">At go decision</t>
  </si>
  <si>
    <t xml:space="preserve">Version confusion is the commonest cause of a botched submission.</t>
  </si>
  <si>
    <t xml:space="preserve">05_Supporting_Docs</t>
  </si>
  <si>
    <t xml:space="preserve">Pointer to the central compliance repository. Never a private copy.</t>
  </si>
  <si>
    <t xml:space="preserve">One source of truth for policies, so an expired document is never submitted.</t>
  </si>
  <si>
    <t xml:space="preserve">06_Budget</t>
  </si>
  <si>
    <t xml:space="preserve">Budget annex, cost narrative, co-financing evidence.</t>
  </si>
  <si>
    <t xml:space="preserve">Budget errors are the most common technical rejection.</t>
  </si>
  <si>
    <t xml:space="preserve">07_Submission</t>
  </si>
  <si>
    <t xml:space="preserve">The exact package submitted, plus confirmation receipts and timestamps.</t>
  </si>
  <si>
    <t xml:space="preserve">At submission</t>
  </si>
  <si>
    <t xml:space="preserve">Proof of what was sent and when, if anything is later disputed.</t>
  </si>
  <si>
    <t xml:space="preserve">08_Correspondence</t>
  </si>
  <si>
    <t xml:space="preserve">Funder questions and answers, clarifications, contact records.</t>
  </si>
  <si>
    <t xml:space="preserve">Throughout</t>
  </si>
  <si>
    <t xml:space="preserve">Institutional memory of the relationship, not just the transaction.</t>
  </si>
  <si>
    <t xml:space="preserve">09_Evaluation_Award</t>
  </si>
  <si>
    <t xml:space="preserve">Score feedback, award letter or rejection, and the lessons noted.</t>
  </si>
  <si>
    <t xml:space="preserve">After decision</t>
  </si>
  <si>
    <t xml:space="preserve">Rejections are training data. Unread, they are wasted.</t>
  </si>
  <si>
    <t xml:space="preserve">10_Contract_Reporting</t>
  </si>
  <si>
    <t xml:space="preserve">Signed contract, reporting templates, audit records, visibility rules.</t>
  </si>
  <si>
    <t xml:space="preserve">On award</t>
  </si>
  <si>
    <t xml:space="preserve">Where compliance obligations live once the money is real.</t>
  </si>
  <si>
    <t xml:space="preserve">NAMING CONVENTION</t>
  </si>
  <si>
    <t xml:space="preserve">Folder:   [Opp ID]_[Funder]_[Instrument]        e.g.  KAY-OPP-015_ROWAD_WATHBA-Accelerator</t>
  </si>
  <si>
    <t xml:space="preserve">Document: [Opp ID]_[DocType]_[vN]_[YYYY-MM-DD]  e.g.  KAY-OPP-015_ConceptNote_v3_2026-09-12</t>
  </si>
  <si>
    <t xml:space="preserve">Final:    replace the version number with FINAL  e.g.  KAY-OPP-015_ConceptNote_FINAL_2026-09-15</t>
  </si>
  <si>
    <t xml:space="preserve">One folder per Opp ID. One Opp ID per folder. The register is the index; the folders are the evidence. If the two ever disagree, the register is wrong and must be corrected - never the other way round.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</si>
</sst>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General"/>
    <numFmt numFmtId="167" formatCode="0%"/>
    <numFmt numFmtId="168" formatCode="\$#,##0;&quot;($&quot;#,##0\);\-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6F2E9"/>
      <name val="Arial"/>
      <family val="0"/>
      <charset val="1"/>
    </font>
    <font>
      <sz val="10"/>
      <color rgb="FFEAE4D6"/>
      <name val="Arial"/>
      <family val="0"/>
      <charset val="1"/>
    </font>
    <font>
      <sz val="8"/>
      <color rgb="FFC39A28"/>
      <name val="Arial"/>
      <family val="0"/>
      <charset val="1"/>
    </font>
    <font>
      <b val="true"/>
      <sz val="13"/>
      <color rgb="FF1F242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F8A8A"/>
      <name val="Arial"/>
      <family val="0"/>
      <charset val="1"/>
    </font>
    <font>
      <i val="true"/>
      <sz val="8"/>
      <color rgb="FF8A8F94"/>
      <name val="Arial"/>
      <family val="0"/>
      <charset val="1"/>
    </font>
    <font>
      <sz val="10"/>
      <name val="Arial"/>
      <family val="2"/>
    </font>
    <font>
      <b val="true"/>
      <sz val="8"/>
      <color rgb="FF8A8F94"/>
      <name val="Arial"/>
      <family val="0"/>
      <charset val="1"/>
    </font>
    <font>
      <b val="true"/>
      <sz val="22"/>
      <color rgb="FF1F2429"/>
      <name val="Arial"/>
      <family val="0"/>
      <charset val="1"/>
    </font>
    <font>
      <b val="true"/>
      <sz val="9"/>
      <color rgb="FFF6F2E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429"/>
        <bgColor rgb="FF343B42"/>
      </patternFill>
    </fill>
    <fill>
      <patternFill patternType="solid">
        <fgColor rgb="FFFFF9DB"/>
        <bgColor rgb="FFF6F2E9"/>
      </patternFill>
    </fill>
    <fill>
      <patternFill patternType="solid">
        <fgColor rgb="FFCFE6E6"/>
        <bgColor rgb="FFEAE4D6"/>
      </patternFill>
    </fill>
    <fill>
      <patternFill patternType="solid">
        <fgColor rgb="FFF2E4BE"/>
        <bgColor rgb="FFEAE4D6"/>
      </patternFill>
    </fill>
    <fill>
      <patternFill patternType="solid">
        <fgColor rgb="FFF7D5CD"/>
        <bgColor rgb="FFF2E4BE"/>
      </patternFill>
    </fill>
    <fill>
      <patternFill patternType="solid">
        <fgColor rgb="FFF6F2E9"/>
        <bgColor rgb="FFFFF9DB"/>
      </patternFill>
    </fill>
    <fill>
      <patternFill patternType="solid">
        <fgColor rgb="FF343B42"/>
        <bgColor rgb="FF1F2429"/>
      </patternFill>
    </fill>
    <fill>
      <patternFill patternType="solid">
        <fgColor rgb="FFEAE4D6"/>
        <bgColor rgb="FFF2E4B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3B6"/>
      </left>
      <right style="thin">
        <color rgb="FFC9C3B6"/>
      </right>
      <top style="thin">
        <color rgb="FFC9C3B6"/>
      </top>
      <bottom style="thin">
        <color rgb="FFC9C3B6"/>
      </bottom>
      <diagonal/>
    </border>
    <border diagonalUp="false" diagonalDown="false">
      <left style="thin">
        <color rgb="FFC9C3B6"/>
      </left>
      <right/>
      <top style="thin">
        <color rgb="FFC9C3B6"/>
      </top>
      <bottom style="thin">
        <color rgb="FFC9C3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5">
    <dxf>
      <fill>
        <patternFill patternType="solid">
          <fgColor rgb="FF343B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6F2E9"/>
          <bgColor rgb="FF000000"/>
        </patternFill>
      </fill>
    </dxf>
    <dxf>
      <fill>
        <patternFill patternType="solid">
          <fgColor rgb="FFCFE6E6"/>
          <bgColor rgb="FF000000"/>
        </patternFill>
      </fill>
    </dxf>
    <dxf>
      <fill>
        <patternFill patternType="solid">
          <fgColor rgb="FFF7D5CD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FD4D4"/>
          <bgColor rgb="FF000000"/>
        </patternFill>
      </fill>
    </dxf>
    <dxf>
      <fill>
        <patternFill patternType="solid">
          <fgColor rgb="FFC1DBCB"/>
          <bgColor rgb="FF000000"/>
        </patternFill>
      </fill>
    </dxf>
    <dxf>
      <fill>
        <patternFill patternType="solid">
          <fgColor rgb="FFE7E2C1"/>
          <bgColor rgb="FF000000"/>
        </patternFill>
      </fill>
    </dxf>
    <dxf>
      <fill>
        <patternFill patternType="solid">
          <fgColor rgb="FFE8E3C0"/>
          <bgColor rgb="FF000000"/>
        </patternFill>
      </fill>
    </dxf>
    <dxf>
      <fill>
        <patternFill patternType="solid">
          <fgColor rgb="FFEAE3C0"/>
          <bgColor rgb="FF000000"/>
        </patternFill>
      </fill>
    </dxf>
    <dxf>
      <fill>
        <patternFill patternType="solid">
          <fgColor rgb="FFEAE4D4"/>
          <bgColor rgb="FF000000"/>
        </patternFill>
      </fill>
    </dxf>
    <dxf>
      <fill>
        <patternFill patternType="solid">
          <fgColor rgb="FFEAE4D6"/>
          <bgColor rgb="FF000000"/>
        </patternFill>
      </fill>
    </dxf>
    <dxf>
      <fill>
        <patternFill patternType="solid">
          <fgColor rgb="FFEBE3BF"/>
          <bgColor rgb="FF000000"/>
        </patternFill>
      </fill>
    </dxf>
    <dxf>
      <fill>
        <patternFill patternType="solid">
          <fgColor rgb="FFEBE4D1"/>
          <bgColor rgb="FF000000"/>
        </patternFill>
      </fill>
    </dxf>
    <dxf>
      <fill>
        <patternFill patternType="solid">
          <fgColor rgb="FFEBE4D3"/>
          <bgColor rgb="FF000000"/>
        </patternFill>
      </fill>
    </dxf>
    <dxf>
      <fill>
        <patternFill patternType="solid">
          <fgColor rgb="FFECE3BF"/>
          <bgColor rgb="FF000000"/>
        </patternFill>
      </fill>
    </dxf>
    <dxf>
      <fill>
        <patternFill patternType="solid">
          <fgColor rgb="FFECE4CE"/>
          <bgColor rgb="FF000000"/>
        </patternFill>
      </fill>
    </dxf>
    <dxf>
      <fill>
        <patternFill patternType="solid">
          <fgColor rgb="FFEDE4CC"/>
          <bgColor rgb="FF000000"/>
        </patternFill>
      </fill>
    </dxf>
    <dxf>
      <fill>
        <patternFill patternType="solid">
          <fgColor rgb="FFEDE4CD"/>
          <bgColor rgb="FF000000"/>
        </patternFill>
      </fill>
    </dxf>
    <dxf>
      <fill>
        <patternFill patternType="solid">
          <fgColor rgb="FFEEE4C8"/>
          <bgColor rgb="FF000000"/>
        </patternFill>
      </fill>
    </dxf>
    <dxf>
      <fill>
        <patternFill patternType="solid">
          <fgColor rgb="FFEEE4C9"/>
          <bgColor rgb="FF000000"/>
        </patternFill>
      </fill>
    </dxf>
    <dxf>
      <fill>
        <patternFill patternType="solid">
          <fgColor rgb="FFEEE4CA"/>
          <bgColor rgb="FF000000"/>
        </patternFill>
      </fill>
    </dxf>
    <dxf>
      <fill>
        <patternFill patternType="solid">
          <fgColor rgb="FFEFE4BF"/>
          <bgColor rgb="FF000000"/>
        </patternFill>
      </fill>
    </dxf>
    <dxf>
      <fill>
        <patternFill patternType="solid">
          <fgColor rgb="FFEFE4C7"/>
          <bgColor rgb="FF000000"/>
        </patternFill>
      </fill>
    </dxf>
    <dxf>
      <fill>
        <patternFill patternType="solid">
          <fgColor rgb="FFF0E4BE"/>
          <bgColor rgb="FF000000"/>
        </patternFill>
      </fill>
    </dxf>
    <dxf>
      <fill>
        <patternFill patternType="solid">
          <fgColor rgb="FFF0E4C3"/>
          <bgColor rgb="FF000000"/>
        </patternFill>
      </fill>
    </dxf>
    <dxf>
      <fill>
        <patternFill patternType="solid">
          <fgColor rgb="FFF1E4BE"/>
          <bgColor rgb="FF000000"/>
        </patternFill>
      </fill>
    </dxf>
    <dxf>
      <fill>
        <patternFill patternType="solid">
          <fgColor rgb="FFF1E4BF"/>
          <bgColor rgb="FF000000"/>
        </patternFill>
      </fill>
    </dxf>
    <dxf>
      <fill>
        <patternFill patternType="solid">
          <fgColor rgb="FFF2E4BE"/>
          <bgColor rgb="FF000000"/>
        </patternFill>
      </fill>
    </dxf>
    <dxf>
      <fill>
        <patternFill patternType="solid">
          <fgColor rgb="FF8A8F94"/>
          <bgColor rgb="FF000000"/>
        </patternFill>
      </fill>
    </dxf>
    <dxf>
      <fill>
        <patternFill patternType="solid">
          <fgColor rgb="FFF3E1C1"/>
          <bgColor rgb="FF000000"/>
        </patternFill>
      </fill>
    </dxf>
    <dxf>
      <fill>
        <patternFill patternType="solid">
          <fgColor rgb="FFF4DEC4"/>
          <bgColor rgb="FF000000"/>
        </patternFill>
      </fill>
    </dxf>
    <dxf>
      <fill>
        <patternFill patternType="solid">
          <fgColor rgb="FFF4DFC3"/>
          <bgColor rgb="FF000000"/>
        </patternFill>
      </fill>
    </dxf>
    <dxf>
      <fill>
        <patternFill patternType="solid">
          <fgColor rgb="FFF5DBC7"/>
          <bgColor rgb="FF000000"/>
        </patternFill>
      </fill>
    </dxf>
    <dxf>
      <fill>
        <patternFill patternType="solid">
          <fgColor rgb="FFF5DCC6"/>
          <bgColor rgb="FF000000"/>
        </patternFill>
      </fill>
    </dxf>
    <dxf>
      <fill>
        <patternFill patternType="solid">
          <fgColor rgb="FFF6D9C9"/>
          <bgColor rgb="FF000000"/>
        </patternFill>
      </fill>
    </dxf>
    <dxf>
      <font>
        <name val="Arial"/>
        <charset val="1"/>
        <family val="0"/>
        <b val="1"/>
        <color rgb="FF000000"/>
        <sz val="9"/>
      </font>
      <fill>
        <patternFill>
          <bgColor rgb="FFCFE6E6"/>
        </patternFill>
      </fill>
    </dxf>
    <dxf>
      <fill>
        <patternFill>
          <bgColor rgb="FFF2E4BE"/>
        </patternFill>
      </fill>
    </dxf>
    <dxf>
      <font>
        <name val="Arial"/>
        <charset val="1"/>
        <family val="0"/>
        <b val="1"/>
        <color rgb="FF000000"/>
        <sz val="9"/>
      </font>
      <fill>
        <patternFill>
          <bgColor rgb="FFF7D5CD"/>
        </patternFill>
      </fill>
    </dxf>
    <dxf>
      <font>
        <name val="Arial"/>
        <charset val="1"/>
        <family val="0"/>
        <color rgb="FF8A8F94"/>
        <sz val="9"/>
      </font>
      <fill>
        <patternFill>
          <bgColor rgb="FFEAE4D6"/>
        </patternFill>
      </fill>
    </dxf>
    <dxf>
      <fill>
        <patternFill>
          <bgColor rgb="FFF7D5CD"/>
        </patternFill>
      </fill>
    </dxf>
    <dxf>
      <fill>
        <patternFill>
          <bgColor rgb="FFCFE6E6"/>
        </patternFill>
      </fill>
    </dxf>
  </dxfs>
  <colors>
    <indexedColors>
      <rgbColor rgb="FF000000"/>
      <rgbColor rgb="FFF6F2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8A8A"/>
      <rgbColor rgb="FFC9C3B6"/>
      <rgbColor rgb="FF808080"/>
      <rgbColor rgb="FF9999FF"/>
      <rgbColor rgb="FF993366"/>
      <rgbColor rgb="FFFFF9DB"/>
      <rgbColor rgb="FFCF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E4D6"/>
      <rgbColor rgb="FFF2E4BE"/>
      <rgbColor rgb="FF99CCFF"/>
      <rgbColor rgb="FFFF99CC"/>
      <rgbColor rgb="FFCC99FF"/>
      <rgbColor rgb="FFF7D5CD"/>
      <rgbColor rgb="FF3366FF"/>
      <rgbColor rgb="FF33CCCC"/>
      <rgbColor rgb="FF99CC00"/>
      <rgbColor rgb="FFFFCC00"/>
      <rgbColor rgb="FFC39A28"/>
      <rgbColor rgb="FFE4674A"/>
      <rgbColor rgb="FF666699"/>
      <rgbColor rgb="FF8A8F94"/>
      <rgbColor rgb="FF003366"/>
      <rgbColor rgb="FF339966"/>
      <rgbColor rgb="FF003300"/>
      <rgbColor rgb="FF1F2429"/>
      <rgbColor rgb="FF993300"/>
      <rgbColor rgb="FF993366"/>
      <rgbColor rgb="FF333399"/>
      <rgbColor rgb="FF343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29"/>
    <pageSetUpPr fitToPage="true"/>
  </sheetPr>
  <dimension ref="A1:AM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78"/>
    <col collapsed="false" customWidth="true" hidden="false" outlineLevel="0" max="4" min="4" style="1" width="3"/>
    <col collapsed="false" customWidth="true" hidden="false" outlineLevel="0" max="5" min="5" style="1" width="26"/>
    <col collapsed="false" customWidth="true" hidden="false" outlineLevel="0" max="6" min="6" style="1" width="6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15.75" hidden="false" customHeight="true" outlineLevel="0" collapsed="false">
      <c r="B5" s="6" t="s">
        <v>3</v>
      </c>
      <c r="E5" s="6" t="s">
        <v>4</v>
      </c>
    </row>
    <row r="6" customFormat="false" ht="15" hidden="false" customHeight="true" outlineLevel="0" collapsed="false">
      <c r="B6" s="7" t="s">
        <v>5</v>
      </c>
      <c r="C6" s="8" t="n">
        <v>46237</v>
      </c>
      <c r="E6" s="9" t="s">
        <v>6</v>
      </c>
      <c r="F6" s="10" t="s">
        <v>7</v>
      </c>
    </row>
    <row r="7" customFormat="false" ht="15" hidden="false" customHeight="true" outlineLevel="0" collapsed="false">
      <c r="B7" s="7" t="s">
        <v>8</v>
      </c>
      <c r="C7" s="11" t="s">
        <v>9</v>
      </c>
      <c r="E7" s="7" t="s">
        <v>10</v>
      </c>
      <c r="F7" s="10" t="s">
        <v>11</v>
      </c>
    </row>
    <row r="8" customFormat="false" ht="15" hidden="false" customHeight="true" outlineLevel="0" collapsed="false">
      <c r="B8" s="7" t="s">
        <v>12</v>
      </c>
      <c r="C8" s="11" t="s">
        <v>13</v>
      </c>
      <c r="E8" s="12" t="s">
        <v>14</v>
      </c>
      <c r="F8" s="10" t="s">
        <v>15</v>
      </c>
    </row>
    <row r="9" customFormat="false" ht="15" hidden="false" customHeight="true" outlineLevel="0" collapsed="false">
      <c r="B9" s="7" t="s">
        <v>16</v>
      </c>
      <c r="C9" s="11" t="s">
        <v>17</v>
      </c>
      <c r="E9" s="13" t="s">
        <v>18</v>
      </c>
      <c r="F9" s="10" t="s">
        <v>19</v>
      </c>
    </row>
    <row r="10" customFormat="false" ht="15" hidden="false" customHeight="true" outlineLevel="0" collapsed="false">
      <c r="B10" s="7" t="s">
        <v>20</v>
      </c>
      <c r="C10" s="11" t="s">
        <v>21</v>
      </c>
      <c r="E10" s="14" t="s">
        <v>22</v>
      </c>
      <c r="F10" s="10" t="s">
        <v>23</v>
      </c>
    </row>
    <row r="11" customFormat="false" ht="15" hidden="false" customHeight="true" outlineLevel="0" collapsed="false">
      <c r="E11" s="15" t="s">
        <v>24</v>
      </c>
      <c r="F11" s="10" t="s">
        <v>25</v>
      </c>
    </row>
    <row r="12" customFormat="false" ht="15.75" hidden="false" customHeight="true" outlineLevel="0" collapsed="false">
      <c r="B12" s="6" t="s">
        <v>26</v>
      </c>
    </row>
    <row r="13" customFormat="false" ht="15" hidden="false" customHeight="true" outlineLevel="0" collapsed="false">
      <c r="B13" s="16" t="s">
        <v>27</v>
      </c>
      <c r="C13" s="16"/>
    </row>
    <row r="14" customFormat="false" ht="15.75" hidden="false" customHeight="true" outlineLevel="0" collapsed="false">
      <c r="B14" s="16" t="s">
        <v>28</v>
      </c>
      <c r="C14" s="16"/>
      <c r="E14" s="6" t="s">
        <v>29</v>
      </c>
    </row>
    <row r="15" customFormat="false" ht="15" hidden="false" customHeight="true" outlineLevel="0" collapsed="false">
      <c r="B15" s="16" t="s">
        <v>30</v>
      </c>
      <c r="C15" s="16"/>
      <c r="E15" s="16" t="s">
        <v>31</v>
      </c>
      <c r="F15" s="16"/>
    </row>
    <row r="16" customFormat="false" ht="15" hidden="false" customHeight="true" outlineLevel="0" collapsed="false">
      <c r="B16" s="16" t="s">
        <v>32</v>
      </c>
      <c r="C16" s="16"/>
      <c r="E16" s="16" t="s">
        <v>33</v>
      </c>
      <c r="F16" s="16"/>
    </row>
    <row r="17" customFormat="false" ht="15" hidden="false" customHeight="true" outlineLevel="0" collapsed="false">
      <c r="B17" s="16" t="s">
        <v>34</v>
      </c>
      <c r="C17" s="16"/>
      <c r="E17" s="16" t="s">
        <v>35</v>
      </c>
      <c r="F17" s="16"/>
    </row>
    <row r="18" customFormat="false" ht="15" hidden="false" customHeight="true" outlineLevel="0" collapsed="false">
      <c r="B18" s="16" t="s">
        <v>36</v>
      </c>
      <c r="C18" s="16"/>
      <c r="E18" s="16" t="s">
        <v>37</v>
      </c>
      <c r="F18" s="16"/>
    </row>
    <row r="19" customFormat="false" ht="15" hidden="false" customHeight="true" outlineLevel="0" collapsed="false">
      <c r="B19" s="16" t="s">
        <v>38</v>
      </c>
      <c r="C19" s="16"/>
      <c r="E19" s="16" t="s">
        <v>39</v>
      </c>
      <c r="F19" s="16"/>
    </row>
    <row r="20" customFormat="false" ht="15" hidden="false" customHeight="true" outlineLevel="0" collapsed="false">
      <c r="B20" s="16" t="s">
        <v>40</v>
      </c>
      <c r="C20" s="16"/>
      <c r="E20" s="16" t="s">
        <v>41</v>
      </c>
      <c r="F20" s="16"/>
    </row>
    <row r="21" customFormat="false" ht="15" hidden="false" customHeight="true" outlineLevel="0" collapsed="false">
      <c r="B21" s="16" t="s">
        <v>42</v>
      </c>
      <c r="C21" s="16"/>
    </row>
    <row r="22" customFormat="false" ht="15" hidden="false" customHeight="true" outlineLevel="0" collapsed="false">
      <c r="B22" s="16" t="s">
        <v>43</v>
      </c>
      <c r="C22" s="16"/>
    </row>
    <row r="24" customFormat="false" ht="15.75" hidden="false" customHeight="true" outlineLevel="0" collapsed="false">
      <c r="B24" s="6" t="s">
        <v>44</v>
      </c>
    </row>
    <row r="25" customFormat="false" ht="15" hidden="false" customHeight="true" outlineLevel="0" collapsed="false">
      <c r="B25" s="7" t="s">
        <v>45</v>
      </c>
      <c r="C25" s="10" t="s">
        <v>46</v>
      </c>
    </row>
    <row r="26" customFormat="false" ht="15" hidden="false" customHeight="true" outlineLevel="0" collapsed="false">
      <c r="B26" s="7" t="s">
        <v>47</v>
      </c>
      <c r="C26" s="10" t="s">
        <v>48</v>
      </c>
    </row>
    <row r="27" customFormat="false" ht="15" hidden="false" customHeight="true" outlineLevel="0" collapsed="false">
      <c r="B27" s="7" t="s">
        <v>49</v>
      </c>
      <c r="C27" s="10" t="s">
        <v>50</v>
      </c>
    </row>
    <row r="28" customFormat="false" ht="15" hidden="false" customHeight="true" outlineLevel="0" collapsed="false">
      <c r="B28" s="7" t="s">
        <v>51</v>
      </c>
      <c r="C28" s="10" t="s">
        <v>52</v>
      </c>
    </row>
    <row r="29" customFormat="false" ht="15" hidden="false" customHeight="true" outlineLevel="0" collapsed="false">
      <c r="B29" s="7" t="s">
        <v>53</v>
      </c>
      <c r="C29" s="10" t="s">
        <v>54</v>
      </c>
    </row>
    <row r="30" customFormat="false" ht="15" hidden="false" customHeight="true" outlineLevel="0" collapsed="false">
      <c r="B30" s="7" t="s">
        <v>55</v>
      </c>
      <c r="C30" s="10" t="s">
        <v>56</v>
      </c>
    </row>
    <row r="31" customFormat="false" ht="15" hidden="false" customHeight="true" outlineLevel="0" collapsed="false">
      <c r="B31" s="7" t="s">
        <v>57</v>
      </c>
      <c r="C31" s="10" t="s">
        <v>58</v>
      </c>
    </row>
    <row r="32" customFormat="false" ht="15" hidden="false" customHeight="true" outlineLevel="0" collapsed="false">
      <c r="B32" s="7" t="s">
        <v>59</v>
      </c>
      <c r="C32" s="10" t="s">
        <v>60</v>
      </c>
    </row>
    <row r="33" customFormat="false" ht="15" hidden="false" customHeight="true" outlineLevel="0" collapsed="false">
      <c r="B33" s="7" t="s">
        <v>61</v>
      </c>
      <c r="C33" s="10" t="s">
        <v>62</v>
      </c>
    </row>
    <row r="34" customFormat="false" ht="15" hidden="false" customHeight="true" outlineLevel="0" collapsed="false">
      <c r="B34" s="7" t="s">
        <v>63</v>
      </c>
      <c r="C34" s="10" t="s">
        <v>64</v>
      </c>
    </row>
    <row r="35" customFormat="false" ht="15" hidden="false" customHeight="true" outlineLevel="0" collapsed="false">
      <c r="B35" s="7" t="s">
        <v>65</v>
      </c>
      <c r="C35" s="10" t="s">
        <v>66</v>
      </c>
    </row>
    <row r="36" customFormat="false" ht="15" hidden="false" customHeight="true" outlineLevel="0" collapsed="false">
      <c r="B36" s="7" t="s">
        <v>67</v>
      </c>
      <c r="C36" s="10" t="s">
        <v>68</v>
      </c>
    </row>
    <row r="38" customFormat="false" ht="15" hidden="false" customHeight="true" outlineLevel="0" collapsed="false">
      <c r="B38" s="17" t="s">
        <v>69</v>
      </c>
      <c r="C38" s="17"/>
      <c r="D38" s="17"/>
      <c r="E38" s="17"/>
      <c r="F38" s="17"/>
    </row>
    <row r="39" customFormat="false" ht="15" hidden="false" customHeight="true" outlineLevel="0" collapsed="false">
      <c r="B39" s="17"/>
      <c r="C39" s="17"/>
      <c r="D39" s="17"/>
      <c r="E39" s="17"/>
      <c r="F39" s="17"/>
    </row>
  </sheetData>
  <mergeCells count="20">
    <mergeCell ref="A1:H1"/>
    <mergeCell ref="A2:H2"/>
    <mergeCell ref="A3:H3"/>
    <mergeCell ref="B13:C13"/>
    <mergeCell ref="B14:C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B22:C22"/>
    <mergeCell ref="B38:F39"/>
  </mergeCell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&amp;L&amp;8 KAYAN  |  KAY-FUND-OPS-001&amp;R&amp;8 00_START_HERE</oddHeader>
    <oddFooter>&amp;L&amp;7 INTERNAL - KAYAN CONFIDENTIAL&amp;R&amp;7 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true"/>
  </sheetPr>
  <dimension ref="A1:A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4"/>
    <col collapsed="false" customWidth="true" hidden="false" outlineLevel="0" max="12" min="11" style="1" width="26"/>
  </cols>
  <sheetData>
    <row r="1" customFormat="false" ht="25.5" hidden="false" customHeight="true" outlineLevel="0" collapsed="false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15.75" hidden="false" customHeight="true" outlineLevel="0" collapsed="false">
      <c r="A5" s="6" t="s">
        <v>72</v>
      </c>
      <c r="K5" s="6" t="s">
        <v>73</v>
      </c>
    </row>
    <row r="6" customFormat="false" ht="25.5" hidden="false" customHeight="true" outlineLevel="0" collapsed="false">
      <c r="A6" s="18" t="s">
        <v>74</v>
      </c>
      <c r="B6" s="18"/>
      <c r="C6" s="18" t="s">
        <v>75</v>
      </c>
      <c r="D6" s="18"/>
      <c r="F6" s="18" t="s">
        <v>76</v>
      </c>
      <c r="G6" s="18"/>
      <c r="H6" s="18" t="s">
        <v>77</v>
      </c>
      <c r="I6" s="18"/>
      <c r="K6" s="19" t="s">
        <v>78</v>
      </c>
      <c r="L6" s="19"/>
    </row>
    <row r="7" customFormat="false" ht="6" hidden="false" customHeight="true" outlineLevel="0" collapsed="false">
      <c r="A7" s="20" t="n">
        <f aca="false">COUNTA(02_OPPORTUNITY_REGISTER!$A$6:$A$47)</f>
        <v>42</v>
      </c>
      <c r="B7" s="20"/>
      <c r="C7" s="20" t="n">
        <f aca="false">COUNTIF(02_OPPORTUNITY_REGISTER!$AB$6:$AB$47,"1 - DO NOW")</f>
        <v>10</v>
      </c>
      <c r="D7" s="20"/>
      <c r="F7" s="20" t="n">
        <f aca="false">COUNTIF(02_OPPORTUNITY_REGISTER!$AH$6:$AH$47,"URGENT")</f>
        <v>0</v>
      </c>
      <c r="G7" s="20"/>
      <c r="H7" s="20" t="n">
        <f aca="false">COUNTIF(02_OPPORTUNITY_REGISTER!$G$6:$G$47,"ROLLING")+COUNTIF(02_OPPORTUNITY_REGISTER!$G$6:$G$47,"OPEN")+COUNTIF(02_OPPORTUNITY_REGISTER!$G$6:$G$47,"RECURRING")</f>
        <v>29</v>
      </c>
      <c r="I7" s="20"/>
      <c r="K7" s="17"/>
      <c r="L7" s="17"/>
    </row>
    <row r="8" customFormat="false" ht="25.5" hidden="false" customHeight="true" outlineLevel="0" collapsed="false">
      <c r="K8" s="19" t="s">
        <v>79</v>
      </c>
      <c r="L8" s="19"/>
    </row>
    <row r="9" customFormat="false" ht="6" hidden="false" customHeight="true" outlineLevel="0" collapsed="false">
      <c r="A9" s="18" t="s">
        <v>80</v>
      </c>
      <c r="B9" s="18"/>
      <c r="C9" s="18" t="s">
        <v>81</v>
      </c>
      <c r="D9" s="18"/>
      <c r="F9" s="18" t="s">
        <v>82</v>
      </c>
      <c r="G9" s="18"/>
      <c r="H9" s="18" t="s">
        <v>83</v>
      </c>
      <c r="I9" s="18"/>
      <c r="K9" s="17"/>
      <c r="L9" s="17"/>
    </row>
    <row r="10" customFormat="false" ht="25.5" hidden="false" customHeight="true" outlineLevel="0" collapsed="false">
      <c r="A10" s="20" t="n">
        <f aca="false">COUNTIF(02_OPPORTUNITY_REGISTER!$O$6:$O$47,"Yes")</f>
        <v>27</v>
      </c>
      <c r="B10" s="20"/>
      <c r="C10" s="20" t="n">
        <f aca="false">COUNTIF(02_OPPORTUNITY_REGISTER!$O$6:$O$47,"No")</f>
        <v>15</v>
      </c>
      <c r="D10" s="20"/>
      <c r="F10" s="21" t="n">
        <f aca="false">IFERROR(AVERAGE(02_OPPORTUNITY_REGISTER!$AI$6:$AI$47),0)</f>
        <v>0.320238095238095</v>
      </c>
      <c r="G10" s="21"/>
      <c r="H10" s="22" t="n">
        <f aca="false">MAX(02_OPPORTUNITY_REGISTER!$K$6:$K$47)</f>
        <v>1000000</v>
      </c>
      <c r="I10" s="22"/>
      <c r="K10" s="19" t="s">
        <v>84</v>
      </c>
      <c r="L10" s="19"/>
    </row>
    <row r="11" customFormat="false" ht="6" hidden="false" customHeight="true" outlineLevel="0" collapsed="false">
      <c r="K11" s="17"/>
      <c r="L11" s="17"/>
    </row>
    <row r="12" customFormat="false" ht="25.5" hidden="false" customHeight="true" outlineLevel="0" collapsed="false">
      <c r="K12" s="19" t="s">
        <v>85</v>
      </c>
      <c r="L12" s="19"/>
    </row>
    <row r="13" customFormat="false" ht="25.5" hidden="false" customHeight="true" outlineLevel="0" collapsed="false">
      <c r="A13" s="6" t="s">
        <v>86</v>
      </c>
      <c r="F13" s="6" t="s">
        <v>87</v>
      </c>
      <c r="K13" s="19" t="s">
        <v>88</v>
      </c>
      <c r="L13" s="19"/>
    </row>
    <row r="14" customFormat="false" ht="25.5" hidden="false" customHeight="true" outlineLevel="0" collapsed="false">
      <c r="A14" s="23" t="s">
        <v>89</v>
      </c>
      <c r="B14" s="23" t="s">
        <v>90</v>
      </c>
      <c r="C14" s="23" t="s">
        <v>91</v>
      </c>
      <c r="F14" s="23" t="s">
        <v>92</v>
      </c>
      <c r="G14" s="23" t="s">
        <v>90</v>
      </c>
      <c r="H14" s="23" t="s">
        <v>93</v>
      </c>
      <c r="K14" s="19" t="s">
        <v>94</v>
      </c>
      <c r="L14" s="19"/>
    </row>
    <row r="15" customFormat="false" ht="6" hidden="false" customHeight="true" outlineLevel="0" collapsed="false">
      <c r="A15" s="24" t="s">
        <v>95</v>
      </c>
      <c r="B15" s="24" t="n">
        <f aca="false">COUNTIF(02_OPPORTUNITY_REGISTER!$AC$6:$AC$47,$A15)</f>
        <v>24</v>
      </c>
      <c r="C15" s="25" t="n">
        <f aca="false">SUMPRODUCT((02_OPPORTUNITY_REGISTER!$AC$6:$AC$47=$A15)*02_OPPORTUNITY_REGISTER!$K$6:$K$47*02_OPPORTUNITY_REGISTER!$X$6:$X$47)</f>
        <v>1353000</v>
      </c>
      <c r="F15" s="26" t="s">
        <v>96</v>
      </c>
      <c r="G15" s="26" t="n">
        <f aca="false">COUNTIF(02_OPPORTUNITY_REGISTER!$D$6:$D$47,$F15)</f>
        <v>14</v>
      </c>
      <c r="H15" s="27" t="n">
        <f aca="false">IFERROR(AVERAGEIF(02_OPPORTUNITY_REGISTER!$D$6:$D$47,$F15,02_OPPORTUNITY_REGISTER!$AA$6:$AA$47),"-")</f>
        <v>34.5071428571429</v>
      </c>
      <c r="K15" s="17"/>
      <c r="L15" s="17"/>
    </row>
    <row r="16" customFormat="false" ht="25.5" hidden="false" customHeight="true" outlineLevel="0" collapsed="false">
      <c r="A16" s="24" t="s">
        <v>97</v>
      </c>
      <c r="B16" s="24" t="n">
        <f aca="false">COUNTIF(02_OPPORTUNITY_REGISTER!$AC$6:$AC$47,$A16)</f>
        <v>8</v>
      </c>
      <c r="C16" s="25" t="n">
        <f aca="false">SUMPRODUCT((02_OPPORTUNITY_REGISTER!$AC$6:$AC$47=$A16)*02_OPPORTUNITY_REGISTER!$K$6:$K$47*02_OPPORTUNITY_REGISTER!$X$6:$X$47)</f>
        <v>768000</v>
      </c>
      <c r="F16" s="26" t="s">
        <v>98</v>
      </c>
      <c r="G16" s="26" t="n">
        <f aca="false">COUNTIF(02_OPPORTUNITY_REGISTER!$D$6:$D$47,$F16)</f>
        <v>4</v>
      </c>
      <c r="H16" s="27" t="n">
        <f aca="false">IFERROR(AVERAGEIF(02_OPPORTUNITY_REGISTER!$D$6:$D$47,$F16,02_OPPORTUNITY_REGISTER!$AA$6:$AA$47),"-")</f>
        <v>7.2</v>
      </c>
      <c r="K16" s="19" t="s">
        <v>99</v>
      </c>
      <c r="L16" s="19"/>
    </row>
    <row r="17" customFormat="false" ht="15" hidden="false" customHeight="true" outlineLevel="0" collapsed="false">
      <c r="A17" s="24" t="s">
        <v>100</v>
      </c>
      <c r="B17" s="24" t="n">
        <f aca="false">COUNTIF(02_OPPORTUNITY_REGISTER!$AC$6:$AC$47,$A17)</f>
        <v>4</v>
      </c>
      <c r="C17" s="25" t="n">
        <f aca="false">SUMPRODUCT((02_OPPORTUNITY_REGISTER!$AC$6:$AC$47=$A17)*02_OPPORTUNITY_REGISTER!$K$6:$K$47*02_OPPORTUNITY_REGISTER!$X$6:$X$47)</f>
        <v>58500</v>
      </c>
      <c r="F17" s="26" t="s">
        <v>101</v>
      </c>
      <c r="G17" s="26" t="n">
        <f aca="false">COUNTIF(02_OPPORTUNITY_REGISTER!$D$6:$D$47,$F17)</f>
        <v>2</v>
      </c>
      <c r="H17" s="27" t="n">
        <f aca="false">IFERROR(AVERAGEIF(02_OPPORTUNITY_REGISTER!$D$6:$D$47,$F17,02_OPPORTUNITY_REGISTER!$AA$6:$AA$47),"-")</f>
        <v>37</v>
      </c>
    </row>
    <row r="18" customFormat="false" ht="15" hidden="false" customHeight="true" outlineLevel="0" collapsed="false">
      <c r="A18" s="24" t="s">
        <v>102</v>
      </c>
      <c r="B18" s="24" t="n">
        <f aca="false">COUNTIF(02_OPPORTUNITY_REGISTER!$AC$6:$AC$47,$A18)</f>
        <v>0</v>
      </c>
      <c r="C18" s="25" t="n">
        <f aca="false">SUMPRODUCT((02_OPPORTUNITY_REGISTER!$AC$6:$AC$47=$A18)*02_OPPORTUNITY_REGISTER!$K$6:$K$47*02_OPPORTUNITY_REGISTER!$X$6:$X$47)</f>
        <v>0</v>
      </c>
      <c r="F18" s="26" t="s">
        <v>103</v>
      </c>
      <c r="G18" s="26" t="n">
        <f aca="false">COUNTIF(02_OPPORTUNITY_REGISTER!$D$6:$D$47,$F18)</f>
        <v>1</v>
      </c>
      <c r="H18" s="27" t="n">
        <f aca="false">IFERROR(AVERAGEIF(02_OPPORTUNITY_REGISTER!$D$6:$D$47,$F18,02_OPPORTUNITY_REGISTER!$AA$6:$AA$47),"-")</f>
        <v>8.6</v>
      </c>
    </row>
    <row r="19" customFormat="false" ht="15" hidden="false" customHeight="true" outlineLevel="0" collapsed="false">
      <c r="A19" s="24" t="s">
        <v>104</v>
      </c>
      <c r="B19" s="24" t="n">
        <f aca="false">COUNTIF(02_OPPORTUNITY_REGISTER!$AC$6:$AC$47,$A19)</f>
        <v>0</v>
      </c>
      <c r="C19" s="25" t="n">
        <f aca="false">SUMPRODUCT((02_OPPORTUNITY_REGISTER!$AC$6:$AC$47=$A19)*02_OPPORTUNITY_REGISTER!$K$6:$K$47*02_OPPORTUNITY_REGISTER!$X$6:$X$47)</f>
        <v>0</v>
      </c>
      <c r="F19" s="26" t="s">
        <v>105</v>
      </c>
      <c r="G19" s="26" t="n">
        <f aca="false">COUNTIF(02_OPPORTUNITY_REGISTER!$D$6:$D$47,$F19)</f>
        <v>3</v>
      </c>
      <c r="H19" s="27" t="n">
        <f aca="false">IFERROR(AVERAGEIF(02_OPPORTUNITY_REGISTER!$D$6:$D$47,$F19,02_OPPORTUNITY_REGISTER!$AA$6:$AA$47),"-")</f>
        <v>3.53333333333333</v>
      </c>
    </row>
    <row r="20" customFormat="false" ht="15" hidden="false" customHeight="true" outlineLevel="0" collapsed="false">
      <c r="A20" s="24" t="s">
        <v>106</v>
      </c>
      <c r="B20" s="24" t="n">
        <f aca="false">COUNTIF(02_OPPORTUNITY_REGISTER!$AC$6:$AC$47,$A20)</f>
        <v>0</v>
      </c>
      <c r="C20" s="25" t="n">
        <f aca="false">SUMPRODUCT((02_OPPORTUNITY_REGISTER!$AC$6:$AC$47=$A20)*02_OPPORTUNITY_REGISTER!$K$6:$K$47*02_OPPORTUNITY_REGISTER!$X$6:$X$47)</f>
        <v>0</v>
      </c>
      <c r="F20" s="26" t="s">
        <v>107</v>
      </c>
      <c r="G20" s="26" t="n">
        <f aca="false">COUNTIF(02_OPPORTUNITY_REGISTER!$D$6:$D$47,$F20)</f>
        <v>2</v>
      </c>
      <c r="H20" s="27" t="n">
        <f aca="false">IFERROR(AVERAGEIF(02_OPPORTUNITY_REGISTER!$D$6:$D$47,$F20,02_OPPORTUNITY_REGISTER!$AA$6:$AA$47),"-")</f>
        <v>15</v>
      </c>
    </row>
    <row r="21" customFormat="false" ht="15" hidden="false" customHeight="true" outlineLevel="0" collapsed="false">
      <c r="A21" s="24" t="s">
        <v>108</v>
      </c>
      <c r="B21" s="24" t="n">
        <f aca="false">COUNTIF(02_OPPORTUNITY_REGISTER!$AC$6:$AC$47,$A21)</f>
        <v>0</v>
      </c>
      <c r="C21" s="25" t="n">
        <f aca="false">SUMPRODUCT((02_OPPORTUNITY_REGISTER!$AC$6:$AC$47=$A21)*02_OPPORTUNITY_REGISTER!$K$6:$K$47*02_OPPORTUNITY_REGISTER!$X$6:$X$47)</f>
        <v>0</v>
      </c>
      <c r="F21" s="26" t="s">
        <v>109</v>
      </c>
      <c r="G21" s="26" t="n">
        <f aca="false">COUNTIF(02_OPPORTUNITY_REGISTER!$D$6:$D$47,$F21)</f>
        <v>3</v>
      </c>
      <c r="H21" s="27" t="n">
        <f aca="false">IFERROR(AVERAGEIF(02_OPPORTUNITY_REGISTER!$D$6:$D$47,$F21,02_OPPORTUNITY_REGISTER!$AA$6:$AA$47),"-")</f>
        <v>38.1</v>
      </c>
    </row>
    <row r="22" customFormat="false" ht="15" hidden="false" customHeight="true" outlineLevel="0" collapsed="false">
      <c r="A22" s="24" t="s">
        <v>110</v>
      </c>
      <c r="B22" s="24" t="n">
        <f aca="false">COUNTIF(02_OPPORTUNITY_REGISTER!$AC$6:$AC$47,$A22)</f>
        <v>0</v>
      </c>
      <c r="C22" s="25" t="n">
        <f aca="false">SUMPRODUCT((02_OPPORTUNITY_REGISTER!$AC$6:$AC$47=$A22)*02_OPPORTUNITY_REGISTER!$K$6:$K$47*02_OPPORTUNITY_REGISTER!$X$6:$X$47)</f>
        <v>0</v>
      </c>
      <c r="F22" s="26" t="s">
        <v>111</v>
      </c>
      <c r="G22" s="26" t="n">
        <f aca="false">COUNTIF(02_OPPORTUNITY_REGISTER!$D$6:$D$47,$F22)</f>
        <v>4</v>
      </c>
      <c r="H22" s="27" t="n">
        <f aca="false">IFERROR(AVERAGEIF(02_OPPORTUNITY_REGISTER!$D$6:$D$47,$F22,02_OPPORTUNITY_REGISTER!$AA$6:$AA$47),"-")</f>
        <v>136.475</v>
      </c>
    </row>
    <row r="23" customFormat="false" ht="15" hidden="false" customHeight="true" outlineLevel="0" collapsed="false">
      <c r="A23" s="24" t="s">
        <v>112</v>
      </c>
      <c r="B23" s="24" t="n">
        <f aca="false">COUNTIF(02_OPPORTUNITY_REGISTER!$AC$6:$AC$47,$A23)</f>
        <v>6</v>
      </c>
      <c r="C23" s="25" t="n">
        <f aca="false">SUMPRODUCT((02_OPPORTUNITY_REGISTER!$AC$6:$AC$47=$A23)*02_OPPORTUNITY_REGISTER!$K$6:$K$47*02_OPPORTUNITY_REGISTER!$X$6:$X$47)</f>
        <v>75000</v>
      </c>
      <c r="F23" s="26" t="s">
        <v>113</v>
      </c>
      <c r="G23" s="26" t="n">
        <f aca="false">COUNTIF(02_OPPORTUNITY_REGISTER!$D$6:$D$47,$F23)</f>
        <v>9</v>
      </c>
      <c r="H23" s="27" t="n">
        <f aca="false">IFERROR(AVERAGEIF(02_OPPORTUNITY_REGISTER!$D$6:$D$47,$F23,02_OPPORTUNITY_REGISTER!$AA$6:$AA$47),"-")</f>
        <v>14.8111111111111</v>
      </c>
    </row>
    <row r="24" customFormat="false" ht="15" hidden="false" customHeight="true" outlineLevel="0" collapsed="false">
      <c r="A24" s="24" t="s">
        <v>114</v>
      </c>
      <c r="B24" s="24" t="n">
        <f aca="false">COUNTIF(02_OPPORTUNITY_REGISTER!$AC$6:$AC$47,$A24)</f>
        <v>0</v>
      </c>
      <c r="C24" s="25" t="n">
        <f aca="false">SUMPRODUCT((02_OPPORTUNITY_REGISTER!$AC$6:$AC$47=$A24)*02_OPPORTUNITY_REGISTER!$K$6:$K$47*02_OPPORTUNITY_REGISTER!$X$6:$X$47)</f>
        <v>0</v>
      </c>
    </row>
    <row r="25" customFormat="false" ht="15" hidden="false" customHeight="true" outlineLevel="0" collapsed="false">
      <c r="A25" s="28" t="s">
        <v>115</v>
      </c>
      <c r="B25" s="28" t="n">
        <f aca="false">SUM(B15:B24)</f>
        <v>42</v>
      </c>
      <c r="C25" s="29" t="n">
        <f aca="false">SUM(C15:C24)</f>
        <v>2254500</v>
      </c>
    </row>
    <row r="28" customFormat="false" ht="15.75" hidden="false" customHeight="true" outlineLevel="0" collapsed="false">
      <c r="A28" s="6" t="s">
        <v>116</v>
      </c>
    </row>
    <row r="29" customFormat="false" ht="25.5" hidden="false" customHeight="true" outlineLevel="0" collapsed="false">
      <c r="A29" s="23" t="s">
        <v>117</v>
      </c>
      <c r="B29" s="23" t="s">
        <v>118</v>
      </c>
      <c r="C29" s="23" t="s">
        <v>93</v>
      </c>
      <c r="D29" s="23"/>
      <c r="E29" s="23"/>
      <c r="F29" s="23" t="s">
        <v>119</v>
      </c>
      <c r="G29" s="23" t="s">
        <v>118</v>
      </c>
    </row>
    <row r="30" customFormat="false" ht="15" hidden="false" customHeight="true" outlineLevel="0" collapsed="false">
      <c r="A30" s="26" t="s">
        <v>120</v>
      </c>
      <c r="B30" s="26" t="n">
        <f aca="false">COUNTIF(02_OPPORTUNITY_REGISTER!$E$6:$E$47,$A30)</f>
        <v>16</v>
      </c>
      <c r="C30" s="27" t="n">
        <f aca="false">IFERROR(AVERAGEIF(02_OPPORTUNITY_REGISTER!$E$6:$E$47,$A30,02_OPPORTUNITY_REGISTER!$AA$6:$AA$47),"-")</f>
        <v>36.875</v>
      </c>
      <c r="F30" s="26" t="s">
        <v>121</v>
      </c>
      <c r="G30" s="26" t="n">
        <f aca="false">COUNTIF(02_OPPORTUNITY_REGISTER!$F$6:$F$47,$F30)</f>
        <v>30</v>
      </c>
    </row>
    <row r="31" customFormat="false" ht="15" hidden="false" customHeight="true" outlineLevel="0" collapsed="false">
      <c r="A31" s="26" t="s">
        <v>122</v>
      </c>
      <c r="B31" s="26" t="n">
        <f aca="false">COUNTIF(02_OPPORTUNITY_REGISTER!$E$6:$E$47,$A31)</f>
        <v>1</v>
      </c>
      <c r="C31" s="27" t="n">
        <f aca="false">IFERROR(AVERAGEIF(02_OPPORTUNITY_REGISTER!$E$6:$E$47,$A31,02_OPPORTUNITY_REGISTER!$AA$6:$AA$47),"-")</f>
        <v>26.3</v>
      </c>
      <c r="F31" s="26" t="s">
        <v>123</v>
      </c>
      <c r="G31" s="26" t="n">
        <f aca="false">COUNTIF(02_OPPORTUNITY_REGISTER!$F$6:$F$47,$F31)</f>
        <v>4</v>
      </c>
    </row>
    <row r="32" customFormat="false" ht="15" hidden="false" customHeight="true" outlineLevel="0" collapsed="false">
      <c r="A32" s="26" t="s">
        <v>124</v>
      </c>
      <c r="B32" s="26" t="n">
        <f aca="false">COUNTIF(02_OPPORTUNITY_REGISTER!$E$6:$E$47,$A32)</f>
        <v>11</v>
      </c>
      <c r="C32" s="27" t="n">
        <f aca="false">IFERROR(AVERAGEIF(02_OPPORTUNITY_REGISTER!$E$6:$E$47,$A32,02_OPPORTUNITY_REGISTER!$AA$6:$AA$47),"-")</f>
        <v>29.8909090909091</v>
      </c>
      <c r="F32" s="26" t="s">
        <v>125</v>
      </c>
      <c r="G32" s="26" t="n">
        <f aca="false">COUNTIF(02_OPPORTUNITY_REGISTER!$F$6:$F$47,$F32)</f>
        <v>7</v>
      </c>
    </row>
    <row r="33" customFormat="false" ht="15" hidden="false" customHeight="true" outlineLevel="0" collapsed="false">
      <c r="A33" s="26" t="s">
        <v>126</v>
      </c>
      <c r="B33" s="26" t="n">
        <f aca="false">COUNTIF(02_OPPORTUNITY_REGISTER!$E$6:$E$47,$A33)</f>
        <v>6</v>
      </c>
      <c r="C33" s="27" t="n">
        <f aca="false">IFERROR(AVERAGEIF(02_OPPORTUNITY_REGISTER!$E$6:$E$47,$A33,02_OPPORTUNITY_REGISTER!$AA$6:$AA$47),"-")</f>
        <v>15.6</v>
      </c>
      <c r="F33" s="26" t="s">
        <v>127</v>
      </c>
      <c r="G33" s="26" t="n">
        <f aca="false">COUNTIF(02_OPPORTUNITY_REGISTER!$F$6:$F$47,$F33)</f>
        <v>1</v>
      </c>
    </row>
    <row r="34" customFormat="false" ht="15" hidden="false" customHeight="true" outlineLevel="0" collapsed="false">
      <c r="A34" s="26" t="s">
        <v>128</v>
      </c>
      <c r="B34" s="26" t="n">
        <f aca="false">COUNTIF(02_OPPORTUNITY_REGISTER!$E$6:$E$47,$A34)</f>
        <v>4</v>
      </c>
      <c r="C34" s="27" t="n">
        <f aca="false">IFERROR(AVERAGEIF(02_OPPORTUNITY_REGISTER!$E$6:$E$47,$A34,02_OPPORTUNITY_REGISTER!$AA$6:$AA$47),"-")</f>
        <v>10.425</v>
      </c>
    </row>
    <row r="35" customFormat="false" ht="15" hidden="false" customHeight="true" outlineLevel="0" collapsed="false">
      <c r="A35" s="26" t="s">
        <v>129</v>
      </c>
      <c r="B35" s="26" t="n">
        <f aca="false">COUNTIF(02_OPPORTUNITY_REGISTER!$E$6:$E$47,$A35)</f>
        <v>4</v>
      </c>
      <c r="C35" s="27" t="n">
        <f aca="false">IFERROR(AVERAGEIF(02_OPPORTUNITY_REGISTER!$E$6:$E$47,$A35,02_OPPORTUNITY_REGISTER!$AA$6:$AA$47),"-")</f>
        <v>87.05</v>
      </c>
    </row>
    <row r="38" customFormat="false" ht="15.75" hidden="false" customHeight="true" outlineLevel="0" collapsed="false">
      <c r="A38" s="6" t="s">
        <v>130</v>
      </c>
    </row>
    <row r="39" customFormat="false" ht="25.5" hidden="false" customHeight="true" outlineLevel="0" collapsed="false">
      <c r="A39" s="23" t="s">
        <v>131</v>
      </c>
      <c r="B39" s="23" t="s">
        <v>132</v>
      </c>
      <c r="C39" s="23" t="s">
        <v>133</v>
      </c>
      <c r="D39" s="23" t="s">
        <v>134</v>
      </c>
      <c r="E39" s="23" t="s">
        <v>135</v>
      </c>
      <c r="F39" s="23" t="s">
        <v>89</v>
      </c>
      <c r="G39" s="23" t="s">
        <v>136</v>
      </c>
      <c r="H39" s="23" t="s">
        <v>137</v>
      </c>
      <c r="I39" s="23" t="s">
        <v>138</v>
      </c>
    </row>
    <row r="40" customFormat="false" ht="21.75" hidden="false" customHeight="true" outlineLevel="0" collapsed="false">
      <c r="A40" s="30" t="n">
        <v>1</v>
      </c>
      <c r="B40" s="31" t="str">
        <f aca="false">IFERROR(INDEX(02_OPPORTUNITY_REGISTER!$A$6:$A$47,MATCH(LARGE(02_OPPORTUNITY_REGISTER!$AM$6:$AM$47,1),02_OPPORTUNITY_REGISTER!$AM$6:$AM$47,0)),"")</f>
        <v>KAY-OPP-013</v>
      </c>
      <c r="C40" s="31" t="str">
        <f aca="false">IFERROR(INDEX(02_OPPORTUNITY_REGISTER!$B$6:$B$47,MATCH(LARGE(02_OPPORTUNITY_REGISTER!$AM$6:$AM$47,1),02_OPPORTUNITY_REGISTER!$AM$6:$AM$47,0)),"")</f>
        <v>European Commission</v>
      </c>
      <c r="D40" s="31" t="str">
        <f aca="false">IFERROR(INDEX(02_OPPORTUNITY_REGISTER!$C$6:$C$47,MATCH(LARGE(02_OPPORTUNITY_REGISTER!$AM$6:$AM$47,1),02_OPPORTUNITY_REGISTER!$AM$6:$AM$47,0)),"")</f>
        <v>PIC / Participant Register + PADOR registration</v>
      </c>
      <c r="E40" s="32" t="n">
        <f aca="false">IFERROR(INDEX(02_OPPORTUNITY_REGISTER!$AA$6:$AA$47,MATCH(LARGE(02_OPPORTUNITY_REGISTER!$AM$6:$AM$47,1),02_OPPORTUNITY_REGISTER!$AM$6:$AM$47,0)),"")</f>
        <v>316.7</v>
      </c>
      <c r="F40" s="31" t="str">
        <f aca="false">IFERROR(INDEX(02_OPPORTUNITY_REGISTER!$AC$6:$AC$47,MATCH(LARGE(02_OPPORTUNITY_REGISTER!$AM$6:$AM$47,1),02_OPPORTUNITY_REGISTER!$AM$6:$AM$47,0)),"")</f>
        <v>Go decision</v>
      </c>
      <c r="G40" s="31" t="str">
        <f aca="false">IFERROR(INDEX(02_OPPORTUNITY_REGISTER!$AD$6:$AD$47,MATCH(LARGE(02_OPPORTUNITY_REGISTER!$AM$6:$AM$47,1),02_OPPORTUNITY_REGISTER!$AM$6:$AM$47,0)),"")</f>
        <v>COO / Registration Lead</v>
      </c>
      <c r="H40" s="31" t="str">
        <f aca="false">IFERROR(INDEX(02_OPPORTUNITY_REGISTER!$AH$6:$AH$47,MATCH(LARGE(02_OPPORTUNITY_REGISTER!$AM$6:$AM$47,1),02_OPPORTUNITY_REGISTER!$AM$6:$AM$47,0)),"")</f>
        <v>NO FIXED DATE</v>
      </c>
      <c r="I40" s="33" t="n">
        <f aca="false">IFERROR(INDEX(02_OPPORTUNITY_REGISTER!$H$6:$H$47,MATCH(LARGE(02_OPPORTUNITY_REGISTER!$AM$6:$AM$47,1),02_OPPORTUNITY_REGISTER!$AM$6:$AM$47,0)),"")</f>
        <v>0</v>
      </c>
    </row>
    <row r="41" customFormat="false" ht="21.75" hidden="false" customHeight="true" outlineLevel="0" collapsed="false">
      <c r="A41" s="34" t="n">
        <v>2</v>
      </c>
      <c r="B41" s="35" t="str">
        <f aca="false">IFERROR(INDEX(02_OPPORTUNITY_REGISTER!$A$6:$A$47,MATCH(LARGE(02_OPPORTUNITY_REGISTER!$AM$6:$AM$47,2),02_OPPORTUNITY_REGISTER!$AM$6:$AM$47,0)),"")</f>
        <v>KAY-OPP-001</v>
      </c>
      <c r="C41" s="35" t="str">
        <f aca="false">IFERROR(INDEX(02_OPPORTUNITY_REGISTER!$B$6:$B$47,MATCH(LARGE(02_OPPORTUNITY_REGISTER!$AM$6:$AM$47,2),02_OPPORTUNITY_REGISTER!$AM$6:$AM$47,0)),"")</f>
        <v>UNGM (UN Global Marketplace)</v>
      </c>
      <c r="D41" s="35" t="str">
        <f aca="false">IFERROR(INDEX(02_OPPORTUNITY_REGISTER!$C$6:$C$47,MATCH(LARGE(02_OPPORTUNITY_REGISTER!$AM$6:$AM$47,2),02_OPPORTUNITY_REGISTER!$AM$6:$AM$47,0)),"")</f>
        <v>Supplier registration - Basic / Level 1 / Level 2</v>
      </c>
      <c r="E41" s="36" t="n">
        <f aca="false">IFERROR(INDEX(02_OPPORTUNITY_REGISTER!$AA$6:$AA$47,MATCH(LARGE(02_OPPORTUNITY_REGISTER!$AM$6:$AM$47,2),02_OPPORTUNITY_REGISTER!$AM$6:$AM$47,0)),"")</f>
        <v>197.9</v>
      </c>
      <c r="F41" s="35" t="str">
        <f aca="false">IFERROR(INDEX(02_OPPORTUNITY_REGISTER!$AC$6:$AC$47,MATCH(LARGE(02_OPPORTUNITY_REGISTER!$AM$6:$AM$47,2),02_OPPORTUNITY_REGISTER!$AM$6:$AM$47,0)),"")</f>
        <v>Go decision</v>
      </c>
      <c r="G41" s="35" t="str">
        <f aca="false">IFERROR(INDEX(02_OPPORTUNITY_REGISTER!$AD$6:$AD$47,MATCH(LARGE(02_OPPORTUNITY_REGISTER!$AM$6:$AM$47,2),02_OPPORTUNITY_REGISTER!$AM$6:$AM$47,0)),"")</f>
        <v>COO / Registration Lead</v>
      </c>
      <c r="H41" s="35" t="str">
        <f aca="false">IFERROR(INDEX(02_OPPORTUNITY_REGISTER!$AH$6:$AH$47,MATCH(LARGE(02_OPPORTUNITY_REGISTER!$AM$6:$AM$47,2),02_OPPORTUNITY_REGISTER!$AM$6:$AM$47,0)),"")</f>
        <v>NO FIXED DATE</v>
      </c>
      <c r="I41" s="37" t="n">
        <f aca="false">IFERROR(INDEX(02_OPPORTUNITY_REGISTER!$H$6:$H$47,MATCH(LARGE(02_OPPORTUNITY_REGISTER!$AM$6:$AM$47,2),02_OPPORTUNITY_REGISTER!$AM$6:$AM$47,0)),"")</f>
        <v>0</v>
      </c>
    </row>
    <row r="42" customFormat="false" ht="32.25" hidden="false" customHeight="true" outlineLevel="0" collapsed="false">
      <c r="A42" s="30" t="n">
        <v>3</v>
      </c>
      <c r="B42" s="31" t="str">
        <f aca="false">IFERROR(INDEX(02_OPPORTUNITY_REGISTER!$A$6:$A$47,MATCH(LARGE(02_OPPORTUNITY_REGISTER!$AM$6:$AM$47,3),02_OPPORTUNITY_REGISTER!$AM$6:$AM$47,0)),"")</f>
        <v>KAY-OPP-039</v>
      </c>
      <c r="C42" s="31" t="str">
        <f aca="false">IFERROR(INDEX(02_OPPORTUNITY_REGISTER!$B$6:$B$47,MATCH(LARGE(02_OPPORTUNITY_REGISTER!$AM$6:$AM$47,3),02_OPPORTUNITY_REGISTER!$AM$6:$AM$47,0)),"")</f>
        <v>INGO country offices (Mercy Corps, NRC, DRC, IRC, Save, CARE, Oxfam)</v>
      </c>
      <c r="D42" s="31" t="str">
        <f aca="false">IFERROR(INDEX(02_OPPORTUNITY_REGISTER!$C$6:$C$47,MATCH(LARGE(02_OPPORTUNITY_REGISTER!$AM$6:$AM$47,3),02_OPPORTUNITY_REGISTER!$AM$6:$AM$47,0)),"")</f>
        <v>Local vendor rosters and service contracts</v>
      </c>
      <c r="E42" s="32" t="n">
        <f aca="false">IFERROR(INDEX(02_OPPORTUNITY_REGISTER!$AA$6:$AA$47,MATCH(LARGE(02_OPPORTUNITY_REGISTER!$AM$6:$AM$47,3),02_OPPORTUNITY_REGISTER!$AM$6:$AM$47,0)),"")</f>
        <v>60</v>
      </c>
      <c r="F42" s="31" t="str">
        <f aca="false">IFERROR(INDEX(02_OPPORTUNITY_REGISTER!$AC$6:$AC$47,MATCH(LARGE(02_OPPORTUNITY_REGISTER!$AM$6:$AM$47,3),02_OPPORTUNITY_REGISTER!$AM$6:$AM$47,0)),"")</f>
        <v>Go decision</v>
      </c>
      <c r="G42" s="31" t="str">
        <f aca="false">IFERROR(INDEX(02_OPPORTUNITY_REGISTER!$AD$6:$AD$47,MATCH(LARGE(02_OPPORTUNITY_REGISTER!$AM$6:$AM$47,3),02_OPPORTUNITY_REGISTER!$AM$6:$AM$47,0)),"")</f>
        <v>BD Lead</v>
      </c>
      <c r="H42" s="31" t="str">
        <f aca="false">IFERROR(INDEX(02_OPPORTUNITY_REGISTER!$AH$6:$AH$47,MATCH(LARGE(02_OPPORTUNITY_REGISTER!$AM$6:$AM$47,3),02_OPPORTUNITY_REGISTER!$AM$6:$AM$47,0)),"")</f>
        <v>NO FIXED DATE</v>
      </c>
      <c r="I42" s="33" t="n">
        <f aca="false">IFERROR(INDEX(02_OPPORTUNITY_REGISTER!$H$6:$H$47,MATCH(LARGE(02_OPPORTUNITY_REGISTER!$AM$6:$AM$47,3),02_OPPORTUNITY_REGISTER!$AM$6:$AM$47,0)),"")</f>
        <v>0</v>
      </c>
    </row>
    <row r="43" customFormat="false" ht="21.75" hidden="false" customHeight="true" outlineLevel="0" collapsed="false">
      <c r="A43" s="34" t="n">
        <v>4</v>
      </c>
      <c r="B43" s="35" t="str">
        <f aca="false">IFERROR(INDEX(02_OPPORTUNITY_REGISTER!$A$6:$A$47,MATCH(LARGE(02_OPPORTUNITY_REGISTER!$AM$6:$AM$47,4),02_OPPORTUNITY_REGISTER!$AM$6:$AM$47,0)),"")</f>
        <v>KAY-OPP-002</v>
      </c>
      <c r="C43" s="35" t="str">
        <f aca="false">IFERROR(INDEX(02_OPPORTUNITY_REGISTER!$B$6:$B$47,MATCH(LARGE(02_OPPORTUNITY_REGISTER!$AM$6:$AM$47,4),02_OPPORTUNITY_REGISTER!$AM$6:$AM$47,0)),"")</f>
        <v>UNDP Yemen</v>
      </c>
      <c r="D43" s="35" t="str">
        <f aca="false">IFERROR(INDEX(02_OPPORTUNITY_REGISTER!$C$6:$C$47,MATCH(LARGE(02_OPPORTUNITY_REGISTER!$AM$6:$AM$47,4),02_OPPORTUNITY_REGISTER!$AM$6:$AM$47,0)),"")</f>
        <v>Procurement - Quantum supplier portal / procurement-notices</v>
      </c>
      <c r="E43" s="36" t="n">
        <f aca="false">IFERROR(INDEX(02_OPPORTUNITY_REGISTER!$AA$6:$AA$47,MATCH(LARGE(02_OPPORTUNITY_REGISTER!$AM$6:$AM$47,4),02_OPPORTUNITY_REGISTER!$AM$6:$AM$47,0)),"")</f>
        <v>55</v>
      </c>
      <c r="F43" s="35" t="str">
        <f aca="false">IFERROR(INDEX(02_OPPORTUNITY_REGISTER!$AC$6:$AC$47,MATCH(LARGE(02_OPPORTUNITY_REGISTER!$AM$6:$AM$47,4),02_OPPORTUNITY_REGISTER!$AM$6:$AM$47,0)),"")</f>
        <v>Qualified</v>
      </c>
      <c r="G43" s="35" t="str">
        <f aca="false">IFERROR(INDEX(02_OPPORTUNITY_REGISTER!$AD$6:$AD$47,MATCH(LARGE(02_OPPORTUNITY_REGISTER!$AM$6:$AM$47,4),02_OPPORTUNITY_REGISTER!$AM$6:$AM$47,0)),"")</f>
        <v>COO / Registration Lead</v>
      </c>
      <c r="H43" s="35" t="str">
        <f aca="false">IFERROR(INDEX(02_OPPORTUNITY_REGISTER!$AH$6:$AH$47,MATCH(LARGE(02_OPPORTUNITY_REGISTER!$AM$6:$AM$47,4),02_OPPORTUNITY_REGISTER!$AM$6:$AM$47,0)),"")</f>
        <v>NO FIXED DATE</v>
      </c>
      <c r="I43" s="37" t="n">
        <f aca="false">IFERROR(INDEX(02_OPPORTUNITY_REGISTER!$H$6:$H$47,MATCH(LARGE(02_OPPORTUNITY_REGISTER!$AM$6:$AM$47,4),02_OPPORTUNITY_REGISTER!$AM$6:$AM$47,0)),"")</f>
        <v>0</v>
      </c>
    </row>
    <row r="44" customFormat="false" ht="21.75" hidden="false" customHeight="true" outlineLevel="0" collapsed="false">
      <c r="A44" s="30" t="n">
        <v>5</v>
      </c>
      <c r="B44" s="31" t="str">
        <f aca="false">IFERROR(INDEX(02_OPPORTUNITY_REGISTER!$A$6:$A$47,MATCH(LARGE(02_OPPORTUNITY_REGISTER!$AM$6:$AM$47,5),02_OPPORTUNITY_REGISTER!$AM$6:$AM$47,0)),"")</f>
        <v>KAY-OPP-020</v>
      </c>
      <c r="C44" s="31" t="str">
        <f aca="false">IFERROR(INDEX(02_OPPORTUNITY_REGISTER!$B$6:$B$47,MATCH(LARGE(02_OPPORTUNITY_REGISTER!$AM$6:$AM$47,5),02_OPPORTUNITY_REGISTER!$AM$6:$AM$47,0)),"")</f>
        <v>SMEPS (SFD subsidiary)</v>
      </c>
      <c r="D44" s="31" t="str">
        <f aca="false">IFERROR(INDEX(02_OPPORTUNITY_REGISTER!$C$6:$C$47,MATCH(LARGE(02_OPPORTUNITY_REGISTER!$AM$6:$AM$47,5),02_OPPORTUNITY_REGISTER!$AM$6:$AM$47,0)),"")</f>
        <v>Business development, training and value-chain contracts</v>
      </c>
      <c r="E44" s="32" t="n">
        <f aca="false">IFERROR(INDEX(02_OPPORTUNITY_REGISTER!$AA$6:$AA$47,MATCH(LARGE(02_OPPORTUNITY_REGISTER!$AM$6:$AM$47,5),02_OPPORTUNITY_REGISTER!$AM$6:$AM$47,0)),"")</f>
        <v>50</v>
      </c>
      <c r="F44" s="31" t="str">
        <f aca="false">IFERROR(INDEX(02_OPPORTUNITY_REGISTER!$AC$6:$AC$47,MATCH(LARGE(02_OPPORTUNITY_REGISTER!$AM$6:$AM$47,5),02_OPPORTUNITY_REGISTER!$AM$6:$AM$47,0)),"")</f>
        <v>Qualified</v>
      </c>
      <c r="G44" s="31" t="str">
        <f aca="false">IFERROR(INDEX(02_OPPORTUNITY_REGISTER!$AD$6:$AD$47,MATCH(LARGE(02_OPPORTUNITY_REGISTER!$AM$6:$AM$47,5),02_OPPORTUNITY_REGISTER!$AM$6:$AM$47,0)),"")</f>
        <v>Partnerships Lead</v>
      </c>
      <c r="H44" s="31" t="str">
        <f aca="false">IFERROR(INDEX(02_OPPORTUNITY_REGISTER!$AH$6:$AH$47,MATCH(LARGE(02_OPPORTUNITY_REGISTER!$AM$6:$AM$47,5),02_OPPORTUNITY_REGISTER!$AM$6:$AM$47,0)),"")</f>
        <v>NO FIXED DATE</v>
      </c>
      <c r="I44" s="33" t="n">
        <f aca="false">IFERROR(INDEX(02_OPPORTUNITY_REGISTER!$H$6:$H$47,MATCH(LARGE(02_OPPORTUNITY_REGISTER!$AM$6:$AM$47,5),02_OPPORTUNITY_REGISTER!$AM$6:$AM$47,0)),"")</f>
        <v>0</v>
      </c>
    </row>
    <row r="45" customFormat="false" ht="21.75" hidden="false" customHeight="true" outlineLevel="0" collapsed="false">
      <c r="A45" s="34" t="n">
        <v>6</v>
      </c>
      <c r="B45" s="35" t="str">
        <f aca="false">IFERROR(INDEX(02_OPPORTUNITY_REGISTER!$A$6:$A$47,MATCH(LARGE(02_OPPORTUNITY_REGISTER!$AM$6:$AM$47,6),02_OPPORTUNITY_REGISTER!$AM$6:$AM$47,0)),"")</f>
        <v>KAY-OPP-015</v>
      </c>
      <c r="C45" s="35" t="str">
        <f aca="false">IFERROR(INDEX(02_OPPORTUNITY_REGISTER!$B$6:$B$47,MATCH(LARGE(02_OPPORTUNITY_REGISTER!$AM$6:$AM$47,6),02_OPPORTUNITY_REGISTER!$AM$6:$AM$47,0)),"")</f>
        <v>EU + HSA Group (ROWAD / DeepRoot)</v>
      </c>
      <c r="D45" s="35" t="str">
        <f aca="false">IFERROR(INDEX(02_OPPORTUNITY_REGISTER!$C$6:$C$47,MATCH(LARGE(02_OPPORTUNITY_REGISTER!$AM$6:$AM$47,6),02_OPPORTUNITY_REGISTER!$AM$6:$AM$47,0)),"")</f>
        <v>WATHBA Accelerator - 6-month cohort programme</v>
      </c>
      <c r="E45" s="36" t="n">
        <f aca="false">IFERROR(INDEX(02_OPPORTUNITY_REGISTER!$AA$6:$AA$47,MATCH(LARGE(02_OPPORTUNITY_REGISTER!$AM$6:$AM$47,6),02_OPPORTUNITY_REGISTER!$AM$6:$AM$47,0)),"")</f>
        <v>50</v>
      </c>
      <c r="F45" s="35" t="str">
        <f aca="false">IFERROR(INDEX(02_OPPORTUNITY_REGISTER!$AC$6:$AC$47,MATCH(LARGE(02_OPPORTUNITY_REGISTER!$AM$6:$AM$47,6),02_OPPORTUNITY_REGISTER!$AM$6:$AM$47,0)),"")</f>
        <v>Qualified</v>
      </c>
      <c r="G45" s="35" t="str">
        <f aca="false">IFERROR(INDEX(02_OPPORTUNITY_REGISTER!$AD$6:$AD$47,MATCH(LARGE(02_OPPORTUNITY_REGISTER!$AM$6:$AM$47,6),02_OPPORTUNITY_REGISTER!$AM$6:$AM$47,0)),"")</f>
        <v>CEO</v>
      </c>
      <c r="H45" s="35" t="str">
        <f aca="false">IFERROR(INDEX(02_OPPORTUNITY_REGISTER!$AH$6:$AH$47,MATCH(LARGE(02_OPPORTUNITY_REGISTER!$AM$6:$AM$47,6),02_OPPORTUNITY_REGISTER!$AM$6:$AM$47,0)),"")</f>
        <v>NO FIXED DATE</v>
      </c>
      <c r="I45" s="37" t="n">
        <f aca="false">IFERROR(INDEX(02_OPPORTUNITY_REGISTER!$H$6:$H$47,MATCH(LARGE(02_OPPORTUNITY_REGISTER!$AM$6:$AM$47,6),02_OPPORTUNITY_REGISTER!$AM$6:$AM$47,0)),"")</f>
        <v>0</v>
      </c>
    </row>
    <row r="46" customFormat="false" ht="21.75" hidden="false" customHeight="true" outlineLevel="0" collapsed="false">
      <c r="A46" s="30" t="n">
        <v>7</v>
      </c>
      <c r="B46" s="31" t="str">
        <f aca="false">IFERROR(INDEX(02_OPPORTUNITY_REGISTER!$A$6:$A$47,MATCH(LARGE(02_OPPORTUNITY_REGISTER!$AM$6:$AM$47,7),02_OPPORTUNITY_REGISTER!$AM$6:$AM$47,0)),"")</f>
        <v>KAY-OPP-033</v>
      </c>
      <c r="C46" s="31" t="str">
        <f aca="false">IFERROR(INDEX(02_OPPORTUNITY_REGISTER!$B$6:$B$47,MATCH(LARGE(02_OPPORTUNITY_REGISTER!$AM$6:$AM$47,7),02_OPPORTUNITY_REGISTER!$AM$6:$AM$47,0)),"")</f>
        <v>Tadhamon / Al-Kuraimi / CAC / Yemen Kuwait Bank</v>
      </c>
      <c r="D46" s="31" t="str">
        <f aca="false">IFERROR(INDEX(02_OPPORTUNITY_REGISTER!$C$6:$C$47,MATCH(LARGE(02_OPPORTUNITY_REGISTER!$AM$6:$AM$47,7),02_OPPORTUNITY_REGISTER!$AM$6:$AM$47,0)),"")</f>
        <v>CSR sponsorship + employer partnership</v>
      </c>
      <c r="E46" s="32" t="n">
        <f aca="false">IFERROR(INDEX(02_OPPORTUNITY_REGISTER!$AA$6:$AA$47,MATCH(LARGE(02_OPPORTUNITY_REGISTER!$AM$6:$AM$47,7),02_OPPORTUNITY_REGISTER!$AM$6:$AM$47,0)),"")</f>
        <v>48</v>
      </c>
      <c r="F46" s="31" t="str">
        <f aca="false">IFERROR(INDEX(02_OPPORTUNITY_REGISTER!$AC$6:$AC$47,MATCH(LARGE(02_OPPORTUNITY_REGISTER!$AM$6:$AM$47,7),02_OPPORTUNITY_REGISTER!$AM$6:$AM$47,0)),"")</f>
        <v>Qualified</v>
      </c>
      <c r="G46" s="31" t="str">
        <f aca="false">IFERROR(INDEX(02_OPPORTUNITY_REGISTER!$AD$6:$AD$47,MATCH(LARGE(02_OPPORTUNITY_REGISTER!$AM$6:$AM$47,7),02_OPPORTUNITY_REGISTER!$AM$6:$AM$47,0)),"")</f>
        <v>CEO</v>
      </c>
      <c r="H46" s="31" t="str">
        <f aca="false">IFERROR(INDEX(02_OPPORTUNITY_REGISTER!$AH$6:$AH$47,MATCH(LARGE(02_OPPORTUNITY_REGISTER!$AM$6:$AM$47,7),02_OPPORTUNITY_REGISTER!$AM$6:$AM$47,0)),"")</f>
        <v>NO FIXED DATE</v>
      </c>
      <c r="I46" s="33" t="n">
        <f aca="false">IFERROR(INDEX(02_OPPORTUNITY_REGISTER!$H$6:$H$47,MATCH(LARGE(02_OPPORTUNITY_REGISTER!$AM$6:$AM$47,7),02_OPPORTUNITY_REGISTER!$AM$6:$AM$47,0)),"")</f>
        <v>0</v>
      </c>
    </row>
    <row r="47" customFormat="false" ht="21.75" hidden="false" customHeight="true" outlineLevel="0" collapsed="false">
      <c r="A47" s="34" t="n">
        <v>8</v>
      </c>
      <c r="B47" s="35" t="str">
        <f aca="false">IFERROR(INDEX(02_OPPORTUNITY_REGISTER!$A$6:$A$47,MATCH(LARGE(02_OPPORTUNITY_REGISTER!$AM$6:$AM$47,8),02_OPPORTUNITY_REGISTER!$AM$6:$AM$47,0)),"")</f>
        <v>KAY-OPP-008</v>
      </c>
      <c r="C47" s="35" t="str">
        <f aca="false">IFERROR(INDEX(02_OPPORTUNITY_REGISTER!$B$6:$B$47,MATCH(LARGE(02_OPPORTUNITY_REGISTER!$AM$6:$AM$47,8),02_OPPORTUNITY_REGISTER!$AM$6:$AM$47,0)),"")</f>
        <v>UN Women Yemen</v>
      </c>
      <c r="D47" s="35" t="str">
        <f aca="false">IFERROR(INDEX(02_OPPORTUNITY_REGISTER!$C$6:$C$47,MATCH(LARGE(02_OPPORTUNITY_REGISTER!$AM$6:$AM$47,8),02_OPPORTUNITY_REGISTER!$AM$6:$AM$47,0)),"")</f>
        <v>Vendor procurement + women's economic empowerment CFPs</v>
      </c>
      <c r="E47" s="36" t="n">
        <f aca="false">IFERROR(INDEX(02_OPPORTUNITY_REGISTER!$AA$6:$AA$47,MATCH(LARGE(02_OPPORTUNITY_REGISTER!$AM$6:$AM$47,8),02_OPPORTUNITY_REGISTER!$AM$6:$AM$47,0)),"")</f>
        <v>45.5</v>
      </c>
      <c r="F47" s="35" t="str">
        <f aca="false">IFERROR(INDEX(02_OPPORTUNITY_REGISTER!$AC$6:$AC$47,MATCH(LARGE(02_OPPORTUNITY_REGISTER!$AM$6:$AM$47,8),02_OPPORTUNITY_REGISTER!$AM$6:$AM$47,0)),"")</f>
        <v>Identified</v>
      </c>
      <c r="G47" s="35" t="str">
        <f aca="false">IFERROR(INDEX(02_OPPORTUNITY_REGISTER!$AD$6:$AD$47,MATCH(LARGE(02_OPPORTUNITY_REGISTER!$AM$6:$AM$47,8),02_OPPORTUNITY_REGISTER!$AM$6:$AM$47,0)),"")</f>
        <v>Partnerships Lead</v>
      </c>
      <c r="H47" s="35" t="str">
        <f aca="false">IFERROR(INDEX(02_OPPORTUNITY_REGISTER!$AH$6:$AH$47,MATCH(LARGE(02_OPPORTUNITY_REGISTER!$AM$6:$AM$47,8),02_OPPORTUNITY_REGISTER!$AM$6:$AM$47,0)),"")</f>
        <v>NO FIXED DATE</v>
      </c>
      <c r="I47" s="37" t="n">
        <f aca="false">IFERROR(INDEX(02_OPPORTUNITY_REGISTER!$H$6:$H$47,MATCH(LARGE(02_OPPORTUNITY_REGISTER!$AM$6:$AM$47,8),02_OPPORTUNITY_REGISTER!$AM$6:$AM$47,0)),"")</f>
        <v>0</v>
      </c>
    </row>
    <row r="48" customFormat="false" ht="21.75" hidden="false" customHeight="true" outlineLevel="0" collapsed="false">
      <c r="A48" s="30" t="n">
        <v>9</v>
      </c>
      <c r="B48" s="31" t="str">
        <f aca="false">IFERROR(INDEX(02_OPPORTUNITY_REGISTER!$A$6:$A$47,MATCH(LARGE(02_OPPORTUNITY_REGISTER!$AM$6:$AM$47,9),02_OPPORTUNITY_REGISTER!$AM$6:$AM$47,0)),"")</f>
        <v>KAY-OPP-019</v>
      </c>
      <c r="C48" s="31" t="str">
        <f aca="false">IFERROR(INDEX(02_OPPORTUNITY_REGISTER!$B$6:$B$47,MATCH(LARGE(02_OPPORTUNITY_REGISTER!$AM$6:$AM$47,9),02_OPPORTUNITY_REGISTER!$AM$6:$AM$47,0)),"")</f>
        <v>Social Fund for Development (SFD)</v>
      </c>
      <c r="D48" s="31" t="str">
        <f aca="false">IFERROR(INDEX(02_OPPORTUNITY_REGISTER!$C$6:$C$47,MATCH(LARGE(02_OPPORTUNITY_REGISTER!$AM$6:$AM$47,9),02_OPPORTUNITY_REGISTER!$AM$6:$AM$47,0)),"")</f>
        <v>Consultancy, survey, training and community contracts</v>
      </c>
      <c r="E48" s="32" t="n">
        <f aca="false">IFERROR(INDEX(02_OPPORTUNITY_REGISTER!$AA$6:$AA$47,MATCH(LARGE(02_OPPORTUNITY_REGISTER!$AM$6:$AM$47,9),02_OPPORTUNITY_REGISTER!$AM$6:$AM$47,0)),"")</f>
        <v>45</v>
      </c>
      <c r="F48" s="31" t="str">
        <f aca="false">IFERROR(INDEX(02_OPPORTUNITY_REGISTER!$AC$6:$AC$47,MATCH(LARGE(02_OPPORTUNITY_REGISTER!$AM$6:$AM$47,9),02_OPPORTUNITY_REGISTER!$AM$6:$AM$47,0)),"")</f>
        <v>Qualified</v>
      </c>
      <c r="G48" s="31" t="str">
        <f aca="false">IFERROR(INDEX(02_OPPORTUNITY_REGISTER!$AD$6:$AD$47,MATCH(LARGE(02_OPPORTUNITY_REGISTER!$AM$6:$AM$47,9),02_OPPORTUNITY_REGISTER!$AM$6:$AM$47,0)),"")</f>
        <v>Partnerships Lead</v>
      </c>
      <c r="H48" s="31" t="str">
        <f aca="false">IFERROR(INDEX(02_OPPORTUNITY_REGISTER!$AH$6:$AH$47,MATCH(LARGE(02_OPPORTUNITY_REGISTER!$AM$6:$AM$47,9),02_OPPORTUNITY_REGISTER!$AM$6:$AM$47,0)),"")</f>
        <v>NO FIXED DATE</v>
      </c>
      <c r="I48" s="33" t="n">
        <f aca="false">IFERROR(INDEX(02_OPPORTUNITY_REGISTER!$H$6:$H$47,MATCH(LARGE(02_OPPORTUNITY_REGISTER!$AM$6:$AM$47,9),02_OPPORTUNITY_REGISTER!$AM$6:$AM$47,0)),"")</f>
        <v>0</v>
      </c>
    </row>
    <row r="49" customFormat="false" ht="21.75" hidden="false" customHeight="true" outlineLevel="0" collapsed="false">
      <c r="A49" s="34" t="n">
        <v>10</v>
      </c>
      <c r="B49" s="35" t="str">
        <f aca="false">IFERROR(INDEX(02_OPPORTUNITY_REGISTER!$A$6:$A$47,MATCH(LARGE(02_OPPORTUNITY_REGISTER!$AM$6:$AM$47,10),02_OPPORTUNITY_REGISTER!$AM$6:$AM$47,0)),"")</f>
        <v>KAY-OPP-006</v>
      </c>
      <c r="C49" s="35" t="str">
        <f aca="false">IFERROR(INDEX(02_OPPORTUNITY_REGISTER!$B$6:$B$47,MATCH(LARGE(02_OPPORTUNITY_REGISTER!$AM$6:$AM$47,10),02_OPPORTUNITY_REGISTER!$AM$6:$AM$47,0)),"")</f>
        <v>IOM Yemen</v>
      </c>
      <c r="D49" s="35" t="str">
        <f aca="false">IFERROR(INDEX(02_OPPORTUNITY_REGISTER!$C$6:$C$47,MATCH(LARGE(02_OPPORTUNITY_REGISTER!$AM$6:$AM$47,10),02_OPPORTUNITY_REGISTER!$AM$6:$AM$47,0)),"")</f>
        <v>Vendor procurement incl. DTM data operations</v>
      </c>
      <c r="E49" s="36" t="n">
        <f aca="false">IFERROR(INDEX(02_OPPORTUNITY_REGISTER!$AA$6:$AA$47,MATCH(LARGE(02_OPPORTUNITY_REGISTER!$AM$6:$AM$47,10),02_OPPORTUNITY_REGISTER!$AM$6:$AM$47,0)),"")</f>
        <v>45</v>
      </c>
      <c r="F49" s="35" t="str">
        <f aca="false">IFERROR(INDEX(02_OPPORTUNITY_REGISTER!$AC$6:$AC$47,MATCH(LARGE(02_OPPORTUNITY_REGISTER!$AM$6:$AM$47,10),02_OPPORTUNITY_REGISTER!$AM$6:$AM$47,0)),"")</f>
        <v>Identified</v>
      </c>
      <c r="G49" s="35" t="str">
        <f aca="false">IFERROR(INDEX(02_OPPORTUNITY_REGISTER!$AD$6:$AD$47,MATCH(LARGE(02_OPPORTUNITY_REGISTER!$AM$6:$AM$47,10),02_OPPORTUNITY_REGISTER!$AM$6:$AM$47,0)),"")</f>
        <v>BD Lead</v>
      </c>
      <c r="H49" s="35" t="str">
        <f aca="false">IFERROR(INDEX(02_OPPORTUNITY_REGISTER!$AH$6:$AH$47,MATCH(LARGE(02_OPPORTUNITY_REGISTER!$AM$6:$AM$47,10),02_OPPORTUNITY_REGISTER!$AM$6:$AM$47,0)),"")</f>
        <v>NO FIXED DATE</v>
      </c>
      <c r="I49" s="37" t="n">
        <f aca="false">IFERROR(INDEX(02_OPPORTUNITY_REGISTER!$H$6:$H$47,MATCH(LARGE(02_OPPORTUNITY_REGISTER!$AM$6:$AM$47,10),02_OPPORTUNITY_REGISTER!$AM$6:$AM$47,0)),"")</f>
        <v>0</v>
      </c>
    </row>
    <row r="50" customFormat="false" ht="21.75" hidden="false" customHeight="true" outlineLevel="0" collapsed="false">
      <c r="A50" s="30" t="n">
        <v>11</v>
      </c>
      <c r="B50" s="31" t="str">
        <f aca="false">IFERROR(INDEX(02_OPPORTUNITY_REGISTER!$A$6:$A$47,MATCH(LARGE(02_OPPORTUNITY_REGISTER!$AM$6:$AM$47,11),02_OPPORTUNITY_REGISTER!$AM$6:$AM$47,0)),"")</f>
        <v>KAY-OPP-024</v>
      </c>
      <c r="C50" s="31" t="str">
        <f aca="false">IFERROR(INDEX(02_OPPORTUNITY_REGISTER!$B$6:$B$47,MATCH(LARGE(02_OPPORTUNITY_REGISTER!$AM$6:$AM$47,11),02_OPPORTUNITY_REGISTER!$AM$6:$AM$47,0)),"")</f>
        <v>KSrelief</v>
      </c>
      <c r="D50" s="31" t="str">
        <f aca="false">IFERROR(INDEX(02_OPPORTUNITY_REGISTER!$C$6:$C$47,MATCH(LARGE(02_OPPORTUNITY_REGISTER!$AM$6:$AM$47,11),02_OPPORTUNITY_REGISTER!$AM$6:$AM$47,0)),"")</f>
        <v>Suppliers Portal (contractors, consultancies, service providers)</v>
      </c>
      <c r="E50" s="32" t="n">
        <f aca="false">IFERROR(INDEX(02_OPPORTUNITY_REGISTER!$AA$6:$AA$47,MATCH(LARGE(02_OPPORTUNITY_REGISTER!$AM$6:$AM$47,11),02_OPPORTUNITY_REGISTER!$AM$6:$AM$47,0)),"")</f>
        <v>42.7</v>
      </c>
      <c r="F50" s="31" t="str">
        <f aca="false">IFERROR(INDEX(02_OPPORTUNITY_REGISTER!$AC$6:$AC$47,MATCH(LARGE(02_OPPORTUNITY_REGISTER!$AM$6:$AM$47,11),02_OPPORTUNITY_REGISTER!$AM$6:$AM$47,0)),"")</f>
        <v>Qualified</v>
      </c>
      <c r="G50" s="31" t="str">
        <f aca="false">IFERROR(INDEX(02_OPPORTUNITY_REGISTER!$AD$6:$AD$47,MATCH(LARGE(02_OPPORTUNITY_REGISTER!$AM$6:$AM$47,11),02_OPPORTUNITY_REGISTER!$AM$6:$AM$47,0)),"")</f>
        <v>COO / Registration Lead</v>
      </c>
      <c r="H50" s="31" t="str">
        <f aca="false">IFERROR(INDEX(02_OPPORTUNITY_REGISTER!$AH$6:$AH$47,MATCH(LARGE(02_OPPORTUNITY_REGISTER!$AM$6:$AM$47,11),02_OPPORTUNITY_REGISTER!$AM$6:$AM$47,0)),"")</f>
        <v>NO FIXED DATE</v>
      </c>
      <c r="I50" s="33" t="n">
        <f aca="false">IFERROR(INDEX(02_OPPORTUNITY_REGISTER!$H$6:$H$47,MATCH(LARGE(02_OPPORTUNITY_REGISTER!$AM$6:$AM$47,11),02_OPPORTUNITY_REGISTER!$AM$6:$AM$47,0)),"")</f>
        <v>0</v>
      </c>
    </row>
    <row r="51" customFormat="false" ht="21.75" hidden="false" customHeight="true" outlineLevel="0" collapsed="false">
      <c r="A51" s="34" t="n">
        <v>12</v>
      </c>
      <c r="B51" s="35" t="str">
        <f aca="false">IFERROR(INDEX(02_OPPORTUNITY_REGISTER!$A$6:$A$47,MATCH(LARGE(02_OPPORTUNITY_REGISTER!$AM$6:$AM$47,12),02_OPPORTUNITY_REGISTER!$AM$6:$AM$47,0)),"")</f>
        <v>KAY-OPP-032</v>
      </c>
      <c r="C51" s="35" t="str">
        <f aca="false">IFERROR(INDEX(02_OPPORTUNITY_REGISTER!$B$6:$B$47,MATCH(LARGE(02_OPPORTUNITY_REGISTER!$AM$6:$AM$47,12),02_OPPORTUNITY_REGISTER!$AM$6:$AM$47,0)),"")</f>
        <v>HSA Group / Al-Saeed Foundation</v>
      </c>
      <c r="D51" s="35" t="str">
        <f aca="false">IFERROR(INDEX(02_OPPORTUNITY_REGISTER!$C$6:$C$47,MATCH(LARGE(02_OPPORTUNITY_REGISTER!$AM$6:$AM$47,12),02_OPPORTUNITY_REGISTER!$AM$6:$AM$47,0)),"")</f>
        <v>Strategic Partnership &amp; cohort sponsorship</v>
      </c>
      <c r="E51" s="36" t="n">
        <f aca="false">IFERROR(INDEX(02_OPPORTUNITY_REGISTER!$AA$6:$AA$47,MATCH(LARGE(02_OPPORTUNITY_REGISTER!$AM$6:$AM$47,12),02_OPPORTUNITY_REGISTER!$AM$6:$AM$47,0)),"")</f>
        <v>40</v>
      </c>
      <c r="F51" s="35" t="str">
        <f aca="false">IFERROR(INDEX(02_OPPORTUNITY_REGISTER!$AC$6:$AC$47,MATCH(LARGE(02_OPPORTUNITY_REGISTER!$AM$6:$AM$47,12),02_OPPORTUNITY_REGISTER!$AM$6:$AM$47,0)),"")</f>
        <v>Qualified</v>
      </c>
      <c r="G51" s="35" t="str">
        <f aca="false">IFERROR(INDEX(02_OPPORTUNITY_REGISTER!$AD$6:$AD$47,MATCH(LARGE(02_OPPORTUNITY_REGISTER!$AM$6:$AM$47,12),02_OPPORTUNITY_REGISTER!$AM$6:$AM$47,0)),"")</f>
        <v>CEO</v>
      </c>
      <c r="H51" s="35" t="str">
        <f aca="false">IFERROR(INDEX(02_OPPORTUNITY_REGISTER!$AH$6:$AH$47,MATCH(LARGE(02_OPPORTUNITY_REGISTER!$AM$6:$AM$47,12),02_OPPORTUNITY_REGISTER!$AM$6:$AM$47,0)),"")</f>
        <v>NO FIXED DATE</v>
      </c>
      <c r="I51" s="37" t="n">
        <f aca="false">IFERROR(INDEX(02_OPPORTUNITY_REGISTER!$H$6:$H$47,MATCH(LARGE(02_OPPORTUNITY_REGISTER!$AM$6:$AM$47,12),02_OPPORTUNITY_REGISTER!$AM$6:$AM$47,0)),"")</f>
        <v>0</v>
      </c>
    </row>
  </sheetData>
  <mergeCells count="30">
    <mergeCell ref="A1:L1"/>
    <mergeCell ref="A2:L2"/>
    <mergeCell ref="A3:L3"/>
    <mergeCell ref="A6:B6"/>
    <mergeCell ref="C6:D6"/>
    <mergeCell ref="F6:G6"/>
    <mergeCell ref="H6:I6"/>
    <mergeCell ref="K6:L6"/>
    <mergeCell ref="A7:B7"/>
    <mergeCell ref="C7:D7"/>
    <mergeCell ref="F7:G7"/>
    <mergeCell ref="H7:I7"/>
    <mergeCell ref="K7:L7"/>
    <mergeCell ref="K8:L8"/>
    <mergeCell ref="A9:B9"/>
    <mergeCell ref="C9:D9"/>
    <mergeCell ref="F9:G9"/>
    <mergeCell ref="H9:I9"/>
    <mergeCell ref="K9:L9"/>
    <mergeCell ref="A10:B10"/>
    <mergeCell ref="C10:D10"/>
    <mergeCell ref="F10:G10"/>
    <mergeCell ref="H10:I10"/>
    <mergeCell ref="K10:L10"/>
    <mergeCell ref="K11:L11"/>
    <mergeCell ref="K12:L12"/>
    <mergeCell ref="K13:L13"/>
    <mergeCell ref="K14:L14"/>
    <mergeCell ref="K15:L15"/>
    <mergeCell ref="K16:L16"/>
  </mergeCell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01_DASHBOARD</oddHeader>
    <oddFooter>&amp;L&amp;7 INTERNAL - KAYAN CONFIDENTIAL&amp;R&amp;7 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true"/>
  </sheetPr>
  <dimension ref="A1:AM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5"/>
    <col collapsed="false" customWidth="true" hidden="false" outlineLevel="0" max="8" min="8" style="1" width="12"/>
    <col collapsed="false" customWidth="true" hidden="false" outlineLevel="0" max="9" min="9" style="1" width="30"/>
    <col collapsed="false" customWidth="true" hidden="false" outlineLevel="0" max="11" min="10" style="1" width="13"/>
    <col collapsed="false" customWidth="true" hidden="false" outlineLevel="0" max="12" min="12" style="1" width="30"/>
    <col collapsed="false" customWidth="true" hidden="false" outlineLevel="0" max="13" min="13" style="1" width="7"/>
    <col collapsed="false" customWidth="true" hidden="false" outlineLevel="0" max="14" min="14" style="1" width="9"/>
    <col collapsed="false" customWidth="true" hidden="false" outlineLevel="0" max="15" min="15" style="1" width="12"/>
    <col collapsed="false" customWidth="true" hidden="false" outlineLevel="0" max="16" min="16" style="1" width="14"/>
    <col collapsed="false" customWidth="true" hidden="false" outlineLevel="0" max="17" min="17" style="1" width="10"/>
    <col collapsed="false" customWidth="true" hidden="false" outlineLevel="0" max="18" min="18" style="1" width="26"/>
    <col collapsed="false" customWidth="true" hidden="false" outlineLevel="0" max="19" min="19" style="1" width="34"/>
    <col collapsed="false" customWidth="true" hidden="false" outlineLevel="0" max="20" min="20" style="1" width="26"/>
    <col collapsed="false" customWidth="true" hidden="false" outlineLevel="0" max="21" min="21" style="1" width="34"/>
    <col collapsed="false" customWidth="true" hidden="false" outlineLevel="0" max="22" min="22" style="1" width="30"/>
    <col collapsed="false" customWidth="true" hidden="false" outlineLevel="0" max="23" min="23" style="1" width="7"/>
    <col collapsed="false" customWidth="true" hidden="false" outlineLevel="0" max="24" min="24" style="1" width="9"/>
    <col collapsed="false" customWidth="true" hidden="false" outlineLevel="0" max="26" min="25" style="1" width="8"/>
    <col collapsed="false" customWidth="true" hidden="false" outlineLevel="0" max="27" min="27" style="1" width="10"/>
    <col collapsed="false" customWidth="true" hidden="false" outlineLevel="0" max="29" min="28" style="1" width="13"/>
    <col collapsed="false" customWidth="true" hidden="false" outlineLevel="0" max="30" min="30" style="1" width="17"/>
    <col collapsed="false" customWidth="true" hidden="false" outlineLevel="0" max="31" min="31" style="1" width="40"/>
    <col collapsed="false" customWidth="true" hidden="false" outlineLevel="0" max="32" min="32" style="1" width="13"/>
    <col collapsed="false" customWidth="true" hidden="false" outlineLevel="0" max="33" min="33" style="1" width="10"/>
    <col collapsed="false" customWidth="true" hidden="false" outlineLevel="0" max="34" min="34" style="1" width="13"/>
    <col collapsed="false" customWidth="true" hidden="false" outlineLevel="0" max="35" min="35" style="1" width="11"/>
    <col collapsed="false" customWidth="true" hidden="false" outlineLevel="0" max="36" min="36" style="1" width="22"/>
    <col collapsed="false" customWidth="true" hidden="false" outlineLevel="0" max="37" min="37" style="1" width="13"/>
    <col collapsed="false" customWidth="true" hidden="false" outlineLevel="0" max="38" min="38" style="1" width="58"/>
    <col collapsed="false" customWidth="true" hidden="true" outlineLevel="0" max="39" min="39" style="1" width="10"/>
  </cols>
  <sheetData>
    <row r="1" customFormat="false" ht="25.5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3.5" hidden="false" customHeight="true" outlineLevel="0" collapsed="false">
      <c r="A2" s="4" t="s">
        <v>140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5" customFormat="false" ht="57.75" hidden="false" customHeight="true" outlineLevel="0" collapsed="false">
      <c r="A5" s="23" t="s">
        <v>132</v>
      </c>
      <c r="B5" s="23" t="s">
        <v>141</v>
      </c>
      <c r="C5" s="23" t="s">
        <v>142</v>
      </c>
      <c r="D5" s="23" t="s">
        <v>92</v>
      </c>
      <c r="E5" s="23" t="s">
        <v>143</v>
      </c>
      <c r="F5" s="23" t="s">
        <v>144</v>
      </c>
      <c r="G5" s="23" t="s">
        <v>145</v>
      </c>
      <c r="H5" s="23" t="s">
        <v>138</v>
      </c>
      <c r="I5" s="23" t="s">
        <v>146</v>
      </c>
      <c r="J5" s="23" t="s">
        <v>147</v>
      </c>
      <c r="K5" s="23" t="s">
        <v>148</v>
      </c>
      <c r="L5" s="23" t="s">
        <v>149</v>
      </c>
      <c r="M5" s="23" t="s">
        <v>150</v>
      </c>
      <c r="N5" s="23" t="s">
        <v>151</v>
      </c>
      <c r="O5" s="23" t="s">
        <v>152</v>
      </c>
      <c r="P5" s="23" t="s">
        <v>153</v>
      </c>
      <c r="Q5" s="23" t="s">
        <v>154</v>
      </c>
      <c r="R5" s="23" t="s">
        <v>155</v>
      </c>
      <c r="S5" s="23" t="s">
        <v>156</v>
      </c>
      <c r="T5" s="23" t="s">
        <v>157</v>
      </c>
      <c r="U5" s="23" t="s">
        <v>158</v>
      </c>
      <c r="V5" s="23" t="s">
        <v>159</v>
      </c>
      <c r="W5" s="23" t="s">
        <v>160</v>
      </c>
      <c r="X5" s="23" t="s">
        <v>161</v>
      </c>
      <c r="Y5" s="23" t="s">
        <v>162</v>
      </c>
      <c r="Z5" s="23" t="s">
        <v>163</v>
      </c>
      <c r="AA5" s="23" t="s">
        <v>164</v>
      </c>
      <c r="AB5" s="23" t="s">
        <v>165</v>
      </c>
      <c r="AC5" s="23" t="s">
        <v>89</v>
      </c>
      <c r="AD5" s="23" t="s">
        <v>136</v>
      </c>
      <c r="AE5" s="23" t="s">
        <v>166</v>
      </c>
      <c r="AF5" s="23" t="s">
        <v>167</v>
      </c>
      <c r="AG5" s="23" t="s">
        <v>168</v>
      </c>
      <c r="AH5" s="23" t="s">
        <v>137</v>
      </c>
      <c r="AI5" s="23" t="s">
        <v>169</v>
      </c>
      <c r="AJ5" s="23" t="s">
        <v>170</v>
      </c>
      <c r="AK5" s="23" t="s">
        <v>171</v>
      </c>
      <c r="AL5" s="23" t="s">
        <v>172</v>
      </c>
      <c r="AM5" s="23" t="s">
        <v>173</v>
      </c>
    </row>
    <row r="6" customFormat="false" ht="42.75" hidden="false" customHeight="true" outlineLevel="0" collapsed="false">
      <c r="A6" s="30" t="s">
        <v>174</v>
      </c>
      <c r="B6" s="38" t="s">
        <v>175</v>
      </c>
      <c r="C6" s="38" t="s">
        <v>176</v>
      </c>
      <c r="D6" s="38" t="s">
        <v>111</v>
      </c>
      <c r="E6" s="38" t="s">
        <v>120</v>
      </c>
      <c r="F6" s="38" t="s">
        <v>121</v>
      </c>
      <c r="G6" s="38" t="s">
        <v>177</v>
      </c>
      <c r="H6" s="39"/>
      <c r="I6" s="38" t="s">
        <v>178</v>
      </c>
      <c r="J6" s="40" t="n">
        <v>0</v>
      </c>
      <c r="K6" s="40" t="n">
        <v>0</v>
      </c>
      <c r="L6" s="38" t="s">
        <v>179</v>
      </c>
      <c r="M6" s="38" t="s">
        <v>180</v>
      </c>
      <c r="N6" s="41" t="n">
        <v>0</v>
      </c>
      <c r="O6" s="38" t="s">
        <v>181</v>
      </c>
      <c r="P6" s="38" t="s">
        <v>181</v>
      </c>
      <c r="Q6" s="38" t="n">
        <v>0</v>
      </c>
      <c r="R6" s="38" t="s">
        <v>182</v>
      </c>
      <c r="S6" s="38" t="s">
        <v>183</v>
      </c>
      <c r="T6" s="38" t="s">
        <v>184</v>
      </c>
      <c r="U6" s="38" t="s">
        <v>185</v>
      </c>
      <c r="V6" s="38" t="s">
        <v>186</v>
      </c>
      <c r="W6" s="42" t="n">
        <v>5</v>
      </c>
      <c r="X6" s="43" t="n">
        <v>0.95</v>
      </c>
      <c r="Y6" s="42" t="n">
        <v>5</v>
      </c>
      <c r="Z6" s="42" t="n">
        <v>12</v>
      </c>
      <c r="AA6" s="44" t="n">
        <f aca="false">IFERROR(ROUND(W6*X6*Y6*100/Z6,1),"")</f>
        <v>197.9</v>
      </c>
      <c r="AB6" s="45" t="str">
        <f aca="false">IF(AA6="","",IF(AA6&gt;=45,"1 - DO NOW",IF(AA6&gt;=20,"2 - PREPARE","3 - WATCH")))</f>
        <v>1 - DO NOW</v>
      </c>
      <c r="AC6" s="42" t="s">
        <v>100</v>
      </c>
      <c r="AD6" s="42" t="s">
        <v>187</v>
      </c>
      <c r="AE6" s="42" t="s">
        <v>188</v>
      </c>
      <c r="AF6" s="46" t="n">
        <v>46244</v>
      </c>
      <c r="AG6" s="45" t="str">
        <f aca="false">IF(H6="","",H6-00_START_HERE!$C$6)</f>
        <v/>
      </c>
      <c r="AH6" s="45" t="str">
        <f aca="false">IF(H6="","NO FIXED DATE",IF(AG6&lt;0,"CLOSED",IF(AG6&lt;=30,"URGENT",IF(AG6&lt;=90,"APPROACHING","MONITOR"))))</f>
        <v>NO FIXED DATE</v>
      </c>
      <c r="AI6" s="43" t="n">
        <v>0.4</v>
      </c>
      <c r="AJ6" s="38" t="s">
        <v>189</v>
      </c>
      <c r="AK6" s="38" t="s">
        <v>190</v>
      </c>
      <c r="AL6" s="38" t="s">
        <v>191</v>
      </c>
      <c r="AM6" s="47" t="n">
        <f aca="false">IFERROR(AA6+ROW()/100000,0)</f>
        <v>197.90006</v>
      </c>
    </row>
    <row r="7" customFormat="false" ht="32.25" hidden="false" customHeight="true" outlineLevel="0" collapsed="false">
      <c r="A7" s="30" t="s">
        <v>192</v>
      </c>
      <c r="B7" s="38" t="s">
        <v>193</v>
      </c>
      <c r="C7" s="38" t="s">
        <v>194</v>
      </c>
      <c r="D7" s="38" t="s">
        <v>96</v>
      </c>
      <c r="E7" s="38" t="s">
        <v>120</v>
      </c>
      <c r="F7" s="38" t="s">
        <v>121</v>
      </c>
      <c r="G7" s="38" t="s">
        <v>177</v>
      </c>
      <c r="H7" s="39"/>
      <c r="I7" s="38" t="s">
        <v>195</v>
      </c>
      <c r="J7" s="40" t="n">
        <v>2000</v>
      </c>
      <c r="K7" s="40" t="n">
        <v>150000</v>
      </c>
      <c r="L7" s="38" t="s">
        <v>196</v>
      </c>
      <c r="M7" s="38" t="s">
        <v>180</v>
      </c>
      <c r="N7" s="41" t="n">
        <v>0</v>
      </c>
      <c r="O7" s="38" t="s">
        <v>181</v>
      </c>
      <c r="P7" s="38" t="s">
        <v>181</v>
      </c>
      <c r="Q7" s="38" t="n">
        <v>0</v>
      </c>
      <c r="R7" s="38" t="s">
        <v>197</v>
      </c>
      <c r="S7" s="38" t="s">
        <v>198</v>
      </c>
      <c r="T7" s="38" t="s">
        <v>199</v>
      </c>
      <c r="U7" s="38" t="s">
        <v>200</v>
      </c>
      <c r="V7" s="38" t="s">
        <v>201</v>
      </c>
      <c r="W7" s="42" t="n">
        <v>5</v>
      </c>
      <c r="X7" s="43" t="n">
        <v>0.55</v>
      </c>
      <c r="Y7" s="42" t="n">
        <v>5</v>
      </c>
      <c r="Z7" s="42" t="n">
        <v>25</v>
      </c>
      <c r="AA7" s="44" t="n">
        <f aca="false">IFERROR(ROUND(W7*X7*Y7*100/Z7,1),"")</f>
        <v>55</v>
      </c>
      <c r="AB7" s="45" t="str">
        <f aca="false">IF(AA7="","",IF(AA7&gt;=45,"1 - DO NOW",IF(AA7&gt;=20,"2 - PREPARE","3 - WATCH")))</f>
        <v>1 - DO NOW</v>
      </c>
      <c r="AC7" s="42" t="s">
        <v>97</v>
      </c>
      <c r="AD7" s="42" t="s">
        <v>187</v>
      </c>
      <c r="AE7" s="42" t="s">
        <v>202</v>
      </c>
      <c r="AF7" s="46" t="n">
        <v>46251</v>
      </c>
      <c r="AG7" s="45" t="str">
        <f aca="false">IF(H7="","",H7-00_START_HERE!$C$6)</f>
        <v/>
      </c>
      <c r="AH7" s="45" t="str">
        <f aca="false">IF(H7="","NO FIXED DATE",IF(AG7&lt;0,"CLOSED",IF(AG7&lt;=30,"URGENT",IF(AG7&lt;=90,"APPROACHING","MONITOR"))))</f>
        <v>NO FIXED DATE</v>
      </c>
      <c r="AI7" s="43" t="n">
        <v>0.4</v>
      </c>
      <c r="AJ7" s="38" t="s">
        <v>203</v>
      </c>
      <c r="AK7" s="38" t="s">
        <v>190</v>
      </c>
      <c r="AL7" s="38" t="s">
        <v>204</v>
      </c>
      <c r="AM7" s="47" t="n">
        <f aca="false">IFERROR(AA7+ROW()/100000,0)</f>
        <v>55.00007</v>
      </c>
    </row>
    <row r="8" customFormat="false" ht="32.25" hidden="false" customHeight="true" outlineLevel="0" collapsed="false">
      <c r="A8" s="30" t="s">
        <v>205</v>
      </c>
      <c r="B8" s="38" t="s">
        <v>206</v>
      </c>
      <c r="C8" s="38" t="s">
        <v>207</v>
      </c>
      <c r="D8" s="38" t="s">
        <v>96</v>
      </c>
      <c r="E8" s="38" t="s">
        <v>120</v>
      </c>
      <c r="F8" s="38" t="s">
        <v>121</v>
      </c>
      <c r="G8" s="38" t="s">
        <v>177</v>
      </c>
      <c r="H8" s="39"/>
      <c r="I8" s="38" t="s">
        <v>208</v>
      </c>
      <c r="J8" s="40" t="n">
        <v>2000</v>
      </c>
      <c r="K8" s="40" t="n">
        <v>120000</v>
      </c>
      <c r="L8" s="38" t="s">
        <v>209</v>
      </c>
      <c r="M8" s="38" t="s">
        <v>180</v>
      </c>
      <c r="N8" s="41" t="n">
        <v>0</v>
      </c>
      <c r="O8" s="38" t="s">
        <v>181</v>
      </c>
      <c r="P8" s="38" t="s">
        <v>181</v>
      </c>
      <c r="Q8" s="38" t="n">
        <v>0</v>
      </c>
      <c r="R8" s="38" t="s">
        <v>210</v>
      </c>
      <c r="S8" s="38" t="s">
        <v>211</v>
      </c>
      <c r="T8" s="38" t="s">
        <v>212</v>
      </c>
      <c r="U8" s="38" t="s">
        <v>213</v>
      </c>
      <c r="V8" s="38" t="s">
        <v>214</v>
      </c>
      <c r="W8" s="42" t="n">
        <v>4</v>
      </c>
      <c r="X8" s="43" t="n">
        <v>0.4</v>
      </c>
      <c r="Y8" s="42" t="n">
        <v>4</v>
      </c>
      <c r="Z8" s="42" t="n">
        <v>20</v>
      </c>
      <c r="AA8" s="44" t="n">
        <f aca="false">IFERROR(ROUND(W8*X8*Y8*100/Z8,1),"")</f>
        <v>32</v>
      </c>
      <c r="AB8" s="45" t="str">
        <f aca="false">IF(AA8="","",IF(AA8&gt;=45,"1 - DO NOW",IF(AA8&gt;=20,"2 - PREPARE","3 - WATCH")))</f>
        <v>2 - PREPARE</v>
      </c>
      <c r="AC8" s="42" t="s">
        <v>95</v>
      </c>
      <c r="AD8" s="42" t="s">
        <v>215</v>
      </c>
      <c r="AE8" s="42" t="s">
        <v>216</v>
      </c>
      <c r="AF8" s="46" t="n">
        <v>46280</v>
      </c>
      <c r="AG8" s="45" t="str">
        <f aca="false">IF(H8="","",H8-00_START_HERE!$C$6)</f>
        <v/>
      </c>
      <c r="AH8" s="45" t="str">
        <f aca="false">IF(H8="","NO FIXED DATE",IF(AG8&lt;0,"CLOSED",IF(AG8&lt;=30,"URGENT",IF(AG8&lt;=90,"APPROACHING","MONITOR"))))</f>
        <v>NO FIXED DATE</v>
      </c>
      <c r="AI8" s="43" t="n">
        <v>0.35</v>
      </c>
      <c r="AJ8" s="38" t="s">
        <v>189</v>
      </c>
      <c r="AK8" s="38" t="s">
        <v>190</v>
      </c>
      <c r="AL8" s="38" t="s">
        <v>217</v>
      </c>
      <c r="AM8" s="47" t="n">
        <f aca="false">IFERROR(AA8+ROW()/100000,0)</f>
        <v>32.00008</v>
      </c>
    </row>
    <row r="9" customFormat="false" ht="32.25" hidden="false" customHeight="true" outlineLevel="0" collapsed="false">
      <c r="A9" s="30" t="s">
        <v>218</v>
      </c>
      <c r="B9" s="38" t="s">
        <v>219</v>
      </c>
      <c r="C9" s="38" t="s">
        <v>220</v>
      </c>
      <c r="D9" s="38" t="s">
        <v>96</v>
      </c>
      <c r="E9" s="38" t="s">
        <v>120</v>
      </c>
      <c r="F9" s="38" t="s">
        <v>121</v>
      </c>
      <c r="G9" s="38" t="s">
        <v>177</v>
      </c>
      <c r="H9" s="39"/>
      <c r="I9" s="38" t="s">
        <v>221</v>
      </c>
      <c r="J9" s="40" t="n">
        <v>3000</v>
      </c>
      <c r="K9" s="40" t="n">
        <v>150000</v>
      </c>
      <c r="L9" s="38" t="s">
        <v>222</v>
      </c>
      <c r="M9" s="38" t="s">
        <v>180</v>
      </c>
      <c r="N9" s="41" t="n">
        <v>0</v>
      </c>
      <c r="O9" s="38" t="s">
        <v>181</v>
      </c>
      <c r="P9" s="38" t="s">
        <v>181</v>
      </c>
      <c r="Q9" s="38" t="n">
        <v>0</v>
      </c>
      <c r="R9" s="38" t="s">
        <v>223</v>
      </c>
      <c r="S9" s="38" t="s">
        <v>224</v>
      </c>
      <c r="T9" s="38" t="s">
        <v>225</v>
      </c>
      <c r="U9" s="38" t="s">
        <v>226</v>
      </c>
      <c r="V9" s="38" t="s">
        <v>227</v>
      </c>
      <c r="W9" s="42" t="n">
        <v>4</v>
      </c>
      <c r="X9" s="43" t="n">
        <v>0.4</v>
      </c>
      <c r="Y9" s="42" t="n">
        <v>4</v>
      </c>
      <c r="Z9" s="42" t="n">
        <v>20</v>
      </c>
      <c r="AA9" s="44" t="n">
        <f aca="false">IFERROR(ROUND(W9*X9*Y9*100/Z9,1),"")</f>
        <v>32</v>
      </c>
      <c r="AB9" s="45" t="str">
        <f aca="false">IF(AA9="","",IF(AA9&gt;=45,"1 - DO NOW",IF(AA9&gt;=20,"2 - PREPARE","3 - WATCH")))</f>
        <v>2 - PREPARE</v>
      </c>
      <c r="AC9" s="42" t="s">
        <v>95</v>
      </c>
      <c r="AD9" s="42" t="s">
        <v>215</v>
      </c>
      <c r="AE9" s="42" t="s">
        <v>228</v>
      </c>
      <c r="AF9" s="46" t="n">
        <v>46295</v>
      </c>
      <c r="AG9" s="45" t="str">
        <f aca="false">IF(H9="","",H9-00_START_HERE!$C$6)</f>
        <v/>
      </c>
      <c r="AH9" s="45" t="str">
        <f aca="false">IF(H9="","NO FIXED DATE",IF(AG9&lt;0,"CLOSED",IF(AG9&lt;=30,"URGENT",IF(AG9&lt;=90,"APPROACHING","MONITOR"))))</f>
        <v>NO FIXED DATE</v>
      </c>
      <c r="AI9" s="43" t="n">
        <v>0.3</v>
      </c>
      <c r="AJ9" s="38" t="s">
        <v>189</v>
      </c>
      <c r="AK9" s="38" t="s">
        <v>190</v>
      </c>
      <c r="AL9" s="38" t="s">
        <v>229</v>
      </c>
      <c r="AM9" s="47" t="n">
        <f aca="false">IFERROR(AA9+ROW()/100000,0)</f>
        <v>32.00009</v>
      </c>
    </row>
    <row r="10" customFormat="false" ht="21.75" hidden="false" customHeight="true" outlineLevel="0" collapsed="false">
      <c r="A10" s="30" t="s">
        <v>230</v>
      </c>
      <c r="B10" s="38" t="s">
        <v>231</v>
      </c>
      <c r="C10" s="38" t="s">
        <v>232</v>
      </c>
      <c r="D10" s="38" t="s">
        <v>96</v>
      </c>
      <c r="E10" s="38" t="s">
        <v>120</v>
      </c>
      <c r="F10" s="38" t="s">
        <v>121</v>
      </c>
      <c r="G10" s="38" t="s">
        <v>177</v>
      </c>
      <c r="H10" s="39"/>
      <c r="I10" s="38" t="s">
        <v>233</v>
      </c>
      <c r="J10" s="40" t="n">
        <v>2000</v>
      </c>
      <c r="K10" s="40" t="n">
        <v>100000</v>
      </c>
      <c r="L10" s="38" t="s">
        <v>234</v>
      </c>
      <c r="M10" s="38" t="s">
        <v>180</v>
      </c>
      <c r="N10" s="41" t="n">
        <v>0</v>
      </c>
      <c r="O10" s="38" t="s">
        <v>235</v>
      </c>
      <c r="P10" s="38" t="s">
        <v>181</v>
      </c>
      <c r="Q10" s="38" t="n">
        <v>0</v>
      </c>
      <c r="R10" s="38" t="s">
        <v>236</v>
      </c>
      <c r="S10" s="38" t="s">
        <v>237</v>
      </c>
      <c r="T10" s="38" t="s">
        <v>225</v>
      </c>
      <c r="U10" s="38" t="s">
        <v>238</v>
      </c>
      <c r="V10" s="38" t="s">
        <v>239</v>
      </c>
      <c r="W10" s="42" t="n">
        <v>4</v>
      </c>
      <c r="X10" s="43" t="n">
        <v>0.35</v>
      </c>
      <c r="Y10" s="42" t="n">
        <v>4</v>
      </c>
      <c r="Z10" s="42" t="n">
        <v>20</v>
      </c>
      <c r="AA10" s="44" t="n">
        <f aca="false">IFERROR(ROUND(W10*X10*Y10*100/Z10,1),"")</f>
        <v>28</v>
      </c>
      <c r="AB10" s="45" t="str">
        <f aca="false">IF(AA10="","",IF(AA10&gt;=45,"1 - DO NOW",IF(AA10&gt;=20,"2 - PREPARE","3 - WATCH")))</f>
        <v>2 - PREPARE</v>
      </c>
      <c r="AC10" s="42" t="s">
        <v>95</v>
      </c>
      <c r="AD10" s="42" t="s">
        <v>215</v>
      </c>
      <c r="AE10" s="42" t="s">
        <v>240</v>
      </c>
      <c r="AF10" s="46" t="n">
        <v>46310</v>
      </c>
      <c r="AG10" s="45" t="str">
        <f aca="false">IF(H10="","",H10-00_START_HERE!$C$6)</f>
        <v/>
      </c>
      <c r="AH10" s="45" t="str">
        <f aca="false">IF(H10="","NO FIXED DATE",IF(AG10&lt;0,"CLOSED",IF(AG10&lt;=30,"URGENT",IF(AG10&lt;=90,"APPROACHING","MONITOR"))))</f>
        <v>NO FIXED DATE</v>
      </c>
      <c r="AI10" s="43" t="n">
        <v>0.3</v>
      </c>
      <c r="AJ10" s="38" t="s">
        <v>189</v>
      </c>
      <c r="AK10" s="38" t="s">
        <v>190</v>
      </c>
      <c r="AL10" s="38" t="s">
        <v>241</v>
      </c>
      <c r="AM10" s="47" t="n">
        <f aca="false">IFERROR(AA10+ROW()/100000,0)</f>
        <v>28.0001</v>
      </c>
    </row>
    <row r="11" customFormat="false" ht="32.25" hidden="false" customHeight="true" outlineLevel="0" collapsed="false">
      <c r="A11" s="30" t="s">
        <v>242</v>
      </c>
      <c r="B11" s="38" t="s">
        <v>243</v>
      </c>
      <c r="C11" s="38" t="s">
        <v>244</v>
      </c>
      <c r="D11" s="38" t="s">
        <v>96</v>
      </c>
      <c r="E11" s="38" t="s">
        <v>120</v>
      </c>
      <c r="F11" s="38" t="s">
        <v>121</v>
      </c>
      <c r="G11" s="38" t="s">
        <v>177</v>
      </c>
      <c r="H11" s="39"/>
      <c r="I11" s="38" t="s">
        <v>245</v>
      </c>
      <c r="J11" s="40" t="n">
        <v>3000</v>
      </c>
      <c r="K11" s="40" t="n">
        <v>150000</v>
      </c>
      <c r="L11" s="38" t="s">
        <v>246</v>
      </c>
      <c r="M11" s="38" t="s">
        <v>180</v>
      </c>
      <c r="N11" s="41" t="n">
        <v>0</v>
      </c>
      <c r="O11" s="38" t="s">
        <v>181</v>
      </c>
      <c r="P11" s="38" t="s">
        <v>181</v>
      </c>
      <c r="Q11" s="38" t="n">
        <v>0</v>
      </c>
      <c r="R11" s="38" t="s">
        <v>247</v>
      </c>
      <c r="S11" s="38" t="s">
        <v>248</v>
      </c>
      <c r="T11" s="38" t="s">
        <v>249</v>
      </c>
      <c r="U11" s="38" t="s">
        <v>250</v>
      </c>
      <c r="V11" s="38" t="s">
        <v>251</v>
      </c>
      <c r="W11" s="42" t="n">
        <v>5</v>
      </c>
      <c r="X11" s="43" t="n">
        <v>0.45</v>
      </c>
      <c r="Y11" s="42" t="n">
        <v>4</v>
      </c>
      <c r="Z11" s="42" t="n">
        <v>20</v>
      </c>
      <c r="AA11" s="44" t="n">
        <f aca="false">IFERROR(ROUND(W11*X11*Y11*100/Z11,1),"")</f>
        <v>45</v>
      </c>
      <c r="AB11" s="45" t="str">
        <f aca="false">IF(AA11="","",IF(AA11&gt;=45,"1 - DO NOW",IF(AA11&gt;=20,"2 - PREPARE","3 - WATCH")))</f>
        <v>1 - DO NOW</v>
      </c>
      <c r="AC11" s="42" t="s">
        <v>95</v>
      </c>
      <c r="AD11" s="42" t="s">
        <v>215</v>
      </c>
      <c r="AE11" s="42" t="s">
        <v>252</v>
      </c>
      <c r="AF11" s="46" t="n">
        <v>46295</v>
      </c>
      <c r="AG11" s="45" t="str">
        <f aca="false">IF(H11="","",H11-00_START_HERE!$C$6)</f>
        <v/>
      </c>
      <c r="AH11" s="45" t="str">
        <f aca="false">IF(H11="","NO FIXED DATE",IF(AG11&lt;0,"CLOSED",IF(AG11&lt;=30,"URGENT",IF(AG11&lt;=90,"APPROACHING","MONITOR"))))</f>
        <v>NO FIXED DATE</v>
      </c>
      <c r="AI11" s="43" t="n">
        <v>0.3</v>
      </c>
      <c r="AJ11" s="38" t="s">
        <v>189</v>
      </c>
      <c r="AK11" s="38" t="s">
        <v>190</v>
      </c>
      <c r="AL11" s="38" t="s">
        <v>253</v>
      </c>
      <c r="AM11" s="47" t="n">
        <f aca="false">IFERROR(AA11+ROW()/100000,0)</f>
        <v>45.00011</v>
      </c>
    </row>
    <row r="12" customFormat="false" ht="32.25" hidden="false" customHeight="true" outlineLevel="0" collapsed="false">
      <c r="A12" s="30" t="s">
        <v>254</v>
      </c>
      <c r="B12" s="38" t="s">
        <v>255</v>
      </c>
      <c r="C12" s="38" t="s">
        <v>256</v>
      </c>
      <c r="D12" s="38" t="s">
        <v>96</v>
      </c>
      <c r="E12" s="38" t="s">
        <v>120</v>
      </c>
      <c r="F12" s="38" t="s">
        <v>121</v>
      </c>
      <c r="G12" s="38" t="s">
        <v>177</v>
      </c>
      <c r="H12" s="39"/>
      <c r="I12" s="38" t="s">
        <v>245</v>
      </c>
      <c r="J12" s="40" t="n">
        <v>3000</v>
      </c>
      <c r="K12" s="40" t="n">
        <v>200000</v>
      </c>
      <c r="L12" s="38" t="s">
        <v>257</v>
      </c>
      <c r="M12" s="38" t="s">
        <v>180</v>
      </c>
      <c r="N12" s="41" t="n">
        <v>0</v>
      </c>
      <c r="O12" s="38" t="s">
        <v>181</v>
      </c>
      <c r="P12" s="38" t="s">
        <v>181</v>
      </c>
      <c r="Q12" s="38" t="n">
        <v>0</v>
      </c>
      <c r="R12" s="38" t="s">
        <v>258</v>
      </c>
      <c r="S12" s="38" t="s">
        <v>259</v>
      </c>
      <c r="T12" s="38" t="s">
        <v>260</v>
      </c>
      <c r="U12" s="38" t="s">
        <v>261</v>
      </c>
      <c r="V12" s="38" t="s">
        <v>262</v>
      </c>
      <c r="W12" s="42" t="n">
        <v>3</v>
      </c>
      <c r="X12" s="43" t="n">
        <v>0.3</v>
      </c>
      <c r="Y12" s="42" t="n">
        <v>3</v>
      </c>
      <c r="Z12" s="42" t="n">
        <v>18</v>
      </c>
      <c r="AA12" s="44" t="n">
        <f aca="false">IFERROR(ROUND(W12*X12*Y12*100/Z12,1),"")</f>
        <v>15</v>
      </c>
      <c r="AB12" s="45" t="str">
        <f aca="false">IF(AA12="","",IF(AA12&gt;=45,"1 - DO NOW",IF(AA12&gt;=20,"2 - PREPARE","3 - WATCH")))</f>
        <v>3 - WATCH</v>
      </c>
      <c r="AC12" s="42" t="s">
        <v>95</v>
      </c>
      <c r="AD12" s="42" t="s">
        <v>215</v>
      </c>
      <c r="AE12" s="42" t="s">
        <v>263</v>
      </c>
      <c r="AF12" s="46" t="n">
        <v>46326</v>
      </c>
      <c r="AG12" s="45" t="str">
        <f aca="false">IF(H12="","",H12-00_START_HERE!$C$6)</f>
        <v/>
      </c>
      <c r="AH12" s="45" t="str">
        <f aca="false">IF(H12="","NO FIXED DATE",IF(AG12&lt;0,"CLOSED",IF(AG12&lt;=30,"URGENT",IF(AG12&lt;=90,"APPROACHING","MONITOR"))))</f>
        <v>NO FIXED DATE</v>
      </c>
      <c r="AI12" s="43" t="n">
        <v>0.3</v>
      </c>
      <c r="AJ12" s="38" t="s">
        <v>264</v>
      </c>
      <c r="AK12" s="38" t="s">
        <v>190</v>
      </c>
      <c r="AL12" s="38" t="s">
        <v>265</v>
      </c>
      <c r="AM12" s="47" t="n">
        <f aca="false">IFERROR(AA12+ROW()/100000,0)</f>
        <v>15.00012</v>
      </c>
    </row>
    <row r="13" customFormat="false" ht="32.25" hidden="false" customHeight="true" outlineLevel="0" collapsed="false">
      <c r="A13" s="30" t="s">
        <v>266</v>
      </c>
      <c r="B13" s="38" t="s">
        <v>267</v>
      </c>
      <c r="C13" s="38" t="s">
        <v>268</v>
      </c>
      <c r="D13" s="38" t="s">
        <v>96</v>
      </c>
      <c r="E13" s="38" t="s">
        <v>124</v>
      </c>
      <c r="F13" s="38" t="s">
        <v>125</v>
      </c>
      <c r="G13" s="38" t="s">
        <v>177</v>
      </c>
      <c r="H13" s="39"/>
      <c r="I13" s="38" t="s">
        <v>269</v>
      </c>
      <c r="J13" s="40" t="n">
        <v>5000</v>
      </c>
      <c r="K13" s="40" t="n">
        <v>200000</v>
      </c>
      <c r="L13" s="38" t="s">
        <v>270</v>
      </c>
      <c r="M13" s="38" t="s">
        <v>180</v>
      </c>
      <c r="N13" s="41" t="n">
        <v>0</v>
      </c>
      <c r="O13" s="38" t="s">
        <v>235</v>
      </c>
      <c r="P13" s="38" t="s">
        <v>181</v>
      </c>
      <c r="Q13" s="38" t="n">
        <v>0</v>
      </c>
      <c r="R13" s="38" t="s">
        <v>271</v>
      </c>
      <c r="S13" s="38" t="s">
        <v>272</v>
      </c>
      <c r="T13" s="38" t="s">
        <v>273</v>
      </c>
      <c r="U13" s="38" t="s">
        <v>274</v>
      </c>
      <c r="V13" s="38" t="s">
        <v>275</v>
      </c>
      <c r="W13" s="42" t="n">
        <v>5</v>
      </c>
      <c r="X13" s="43" t="n">
        <v>0.4</v>
      </c>
      <c r="Y13" s="42" t="n">
        <v>5</v>
      </c>
      <c r="Z13" s="42" t="n">
        <v>22</v>
      </c>
      <c r="AA13" s="44" t="n">
        <f aca="false">IFERROR(ROUND(W13*X13*Y13*100/Z13,1),"")</f>
        <v>45.5</v>
      </c>
      <c r="AB13" s="45" t="str">
        <f aca="false">IF(AA13="","",IF(AA13&gt;=45,"1 - DO NOW",IF(AA13&gt;=20,"2 - PREPARE","3 - WATCH")))</f>
        <v>1 - DO NOW</v>
      </c>
      <c r="AC13" s="42" t="s">
        <v>95</v>
      </c>
      <c r="AD13" s="42" t="s">
        <v>276</v>
      </c>
      <c r="AE13" s="42" t="s">
        <v>277</v>
      </c>
      <c r="AF13" s="46" t="n">
        <v>46295</v>
      </c>
      <c r="AG13" s="45" t="str">
        <f aca="false">IF(H13="","",H13-00_START_HERE!$C$6)</f>
        <v/>
      </c>
      <c r="AH13" s="45" t="str">
        <f aca="false">IF(H13="","NO FIXED DATE",IF(AG13&lt;0,"CLOSED",IF(AG13&lt;=30,"URGENT",IF(AG13&lt;=90,"APPROACHING","MONITOR"))))</f>
        <v>NO FIXED DATE</v>
      </c>
      <c r="AI13" s="43" t="n">
        <v>0.35</v>
      </c>
      <c r="AJ13" s="38" t="s">
        <v>264</v>
      </c>
      <c r="AK13" s="38" t="s">
        <v>190</v>
      </c>
      <c r="AL13" s="38" t="s">
        <v>278</v>
      </c>
      <c r="AM13" s="47" t="n">
        <f aca="false">IFERROR(AA13+ROW()/100000,0)</f>
        <v>45.50013</v>
      </c>
    </row>
    <row r="14" customFormat="false" ht="21.75" hidden="false" customHeight="true" outlineLevel="0" collapsed="false">
      <c r="A14" s="30" t="s">
        <v>279</v>
      </c>
      <c r="B14" s="38" t="s">
        <v>280</v>
      </c>
      <c r="C14" s="38" t="s">
        <v>281</v>
      </c>
      <c r="D14" s="38" t="s">
        <v>96</v>
      </c>
      <c r="E14" s="38" t="s">
        <v>120</v>
      </c>
      <c r="F14" s="38" t="s">
        <v>121</v>
      </c>
      <c r="G14" s="38" t="s">
        <v>177</v>
      </c>
      <c r="H14" s="39"/>
      <c r="I14" s="38" t="s">
        <v>282</v>
      </c>
      <c r="J14" s="40" t="n">
        <v>2000</v>
      </c>
      <c r="K14" s="40" t="n">
        <v>80000</v>
      </c>
      <c r="L14" s="38" t="s">
        <v>283</v>
      </c>
      <c r="M14" s="38" t="s">
        <v>180</v>
      </c>
      <c r="N14" s="41" t="n">
        <v>0</v>
      </c>
      <c r="O14" s="38" t="s">
        <v>181</v>
      </c>
      <c r="P14" s="38" t="s">
        <v>181</v>
      </c>
      <c r="Q14" s="38" t="n">
        <v>0</v>
      </c>
      <c r="R14" s="38" t="s">
        <v>284</v>
      </c>
      <c r="S14" s="38" t="s">
        <v>183</v>
      </c>
      <c r="T14" s="38" t="s">
        <v>285</v>
      </c>
      <c r="U14" s="38" t="s">
        <v>286</v>
      </c>
      <c r="V14" s="38" t="s">
        <v>287</v>
      </c>
      <c r="W14" s="42" t="n">
        <v>3</v>
      </c>
      <c r="X14" s="43" t="n">
        <v>0.3</v>
      </c>
      <c r="Y14" s="42" t="n">
        <v>3</v>
      </c>
      <c r="Z14" s="42" t="n">
        <v>15</v>
      </c>
      <c r="AA14" s="44" t="n">
        <f aca="false">IFERROR(ROUND(W14*X14*Y14*100/Z14,1),"")</f>
        <v>18</v>
      </c>
      <c r="AB14" s="45" t="str">
        <f aca="false">IF(AA14="","",IF(AA14&gt;=45,"1 - DO NOW",IF(AA14&gt;=20,"2 - PREPARE","3 - WATCH")))</f>
        <v>3 - WATCH</v>
      </c>
      <c r="AC14" s="42" t="s">
        <v>95</v>
      </c>
      <c r="AD14" s="42" t="s">
        <v>215</v>
      </c>
      <c r="AE14" s="42" t="s">
        <v>288</v>
      </c>
      <c r="AF14" s="46" t="n">
        <v>46356</v>
      </c>
      <c r="AG14" s="45" t="str">
        <f aca="false">IF(H14="","",H14-00_START_HERE!$C$6)</f>
        <v/>
      </c>
      <c r="AH14" s="45" t="str">
        <f aca="false">IF(H14="","NO FIXED DATE",IF(AG14&lt;0,"CLOSED",IF(AG14&lt;=30,"URGENT",IF(AG14&lt;=90,"APPROACHING","MONITOR"))))</f>
        <v>NO FIXED DATE</v>
      </c>
      <c r="AI14" s="43" t="n">
        <v>0.3</v>
      </c>
      <c r="AJ14" s="38" t="s">
        <v>264</v>
      </c>
      <c r="AK14" s="38" t="s">
        <v>190</v>
      </c>
      <c r="AL14" s="38" t="s">
        <v>289</v>
      </c>
      <c r="AM14" s="47" t="n">
        <f aca="false">IFERROR(AA14+ROW()/100000,0)</f>
        <v>18.00014</v>
      </c>
    </row>
    <row r="15" customFormat="false" ht="42.75" hidden="false" customHeight="true" outlineLevel="0" collapsed="false">
      <c r="A15" s="30" t="s">
        <v>290</v>
      </c>
      <c r="B15" s="38" t="s">
        <v>291</v>
      </c>
      <c r="C15" s="38" t="s">
        <v>292</v>
      </c>
      <c r="D15" s="38" t="s">
        <v>111</v>
      </c>
      <c r="E15" s="38" t="s">
        <v>126</v>
      </c>
      <c r="F15" s="38" t="s">
        <v>123</v>
      </c>
      <c r="G15" s="38" t="s">
        <v>177</v>
      </c>
      <c r="H15" s="39"/>
      <c r="I15" s="38" t="s">
        <v>293</v>
      </c>
      <c r="J15" s="40" t="n">
        <v>0</v>
      </c>
      <c r="K15" s="40" t="n">
        <v>0</v>
      </c>
      <c r="L15" s="38" t="s">
        <v>294</v>
      </c>
      <c r="M15" s="38" t="s">
        <v>180</v>
      </c>
      <c r="N15" s="41" t="n">
        <v>0</v>
      </c>
      <c r="O15" s="38" t="s">
        <v>235</v>
      </c>
      <c r="P15" s="38" t="s">
        <v>235</v>
      </c>
      <c r="Q15" s="38" t="n">
        <v>0</v>
      </c>
      <c r="R15" s="38" t="s">
        <v>295</v>
      </c>
      <c r="S15" s="38" t="s">
        <v>296</v>
      </c>
      <c r="T15" s="38" t="s">
        <v>297</v>
      </c>
      <c r="U15" s="38" t="s">
        <v>298</v>
      </c>
      <c r="V15" s="38" t="s">
        <v>299</v>
      </c>
      <c r="W15" s="42" t="n">
        <v>4</v>
      </c>
      <c r="X15" s="43" t="n">
        <v>0.25</v>
      </c>
      <c r="Y15" s="42" t="n">
        <v>5</v>
      </c>
      <c r="Z15" s="42" t="n">
        <v>40</v>
      </c>
      <c r="AA15" s="44" t="n">
        <f aca="false">IFERROR(ROUND(W15*X15*Y15*100/Z15,1),"")</f>
        <v>12.5</v>
      </c>
      <c r="AB15" s="45" t="str">
        <f aca="false">IF(AA15="","",IF(AA15&gt;=45,"1 - DO NOW",IF(AA15&gt;=20,"2 - PREPARE","3 - WATCH")))</f>
        <v>3 - WATCH</v>
      </c>
      <c r="AC15" s="42" t="s">
        <v>112</v>
      </c>
      <c r="AD15" s="42" t="s">
        <v>300</v>
      </c>
      <c r="AE15" s="42" t="s">
        <v>301</v>
      </c>
      <c r="AF15" s="46" t="n">
        <v>46295</v>
      </c>
      <c r="AG15" s="45" t="str">
        <f aca="false">IF(H15="","",H15-00_START_HERE!$C$6)</f>
        <v/>
      </c>
      <c r="AH15" s="45" t="str">
        <f aca="false">IF(H15="","NO FIXED DATE",IF(AG15&lt;0,"CLOSED",IF(AG15&lt;=30,"URGENT",IF(AG15&lt;=90,"APPROACHING","MONITOR"))))</f>
        <v>NO FIXED DATE</v>
      </c>
      <c r="AI15" s="43" t="n">
        <v>0.15</v>
      </c>
      <c r="AJ15" s="38" t="s">
        <v>302</v>
      </c>
      <c r="AK15" s="38" t="s">
        <v>190</v>
      </c>
      <c r="AL15" s="38" t="s">
        <v>303</v>
      </c>
      <c r="AM15" s="47" t="n">
        <f aca="false">IFERROR(AA15+ROW()/100000,0)</f>
        <v>12.50015</v>
      </c>
    </row>
    <row r="16" customFormat="false" ht="53.25" hidden="false" customHeight="true" outlineLevel="0" collapsed="false">
      <c r="A16" s="30" t="s">
        <v>304</v>
      </c>
      <c r="B16" s="38" t="s">
        <v>305</v>
      </c>
      <c r="C16" s="38" t="s">
        <v>306</v>
      </c>
      <c r="D16" s="38" t="s">
        <v>98</v>
      </c>
      <c r="E16" s="38" t="s">
        <v>124</v>
      </c>
      <c r="F16" s="38" t="s">
        <v>127</v>
      </c>
      <c r="G16" s="38" t="s">
        <v>307</v>
      </c>
      <c r="H16" s="39" t="n">
        <v>46176</v>
      </c>
      <c r="I16" s="38" t="s">
        <v>308</v>
      </c>
      <c r="J16" s="40" t="n">
        <v>0</v>
      </c>
      <c r="K16" s="40" t="n">
        <v>0</v>
      </c>
      <c r="L16" s="38" t="s">
        <v>309</v>
      </c>
      <c r="M16" s="38" t="s">
        <v>310</v>
      </c>
      <c r="N16" s="41" t="n">
        <v>0.15</v>
      </c>
      <c r="O16" s="38" t="s">
        <v>235</v>
      </c>
      <c r="P16" s="38" t="s">
        <v>181</v>
      </c>
      <c r="Q16" s="38" t="n">
        <v>0</v>
      </c>
      <c r="R16" s="38" t="s">
        <v>311</v>
      </c>
      <c r="S16" s="38" t="s">
        <v>312</v>
      </c>
      <c r="T16" s="38" t="s">
        <v>313</v>
      </c>
      <c r="U16" s="38" t="s">
        <v>314</v>
      </c>
      <c r="V16" s="38" t="s">
        <v>315</v>
      </c>
      <c r="W16" s="42" t="n">
        <v>5</v>
      </c>
      <c r="X16" s="43" t="n">
        <v>0.3</v>
      </c>
      <c r="Y16" s="42" t="n">
        <v>5</v>
      </c>
      <c r="Z16" s="42" t="n">
        <v>90</v>
      </c>
      <c r="AA16" s="44" t="n">
        <f aca="false">IFERROR(ROUND(W16*X16*Y16*100/Z16,1),"")</f>
        <v>8.3</v>
      </c>
      <c r="AB16" s="45" t="str">
        <f aca="false">IF(AA16="","",IF(AA16&gt;=45,"1 - DO NOW",IF(AA16&gt;=20,"2 - PREPARE","3 - WATCH")))</f>
        <v>3 - WATCH</v>
      </c>
      <c r="AC16" s="42" t="s">
        <v>97</v>
      </c>
      <c r="AD16" s="42" t="s">
        <v>215</v>
      </c>
      <c r="AE16" s="42" t="s">
        <v>316</v>
      </c>
      <c r="AF16" s="46" t="n">
        <v>46447</v>
      </c>
      <c r="AG16" s="45" t="n">
        <f aca="false">IF(H16="","",H16-00_START_HERE!$C$6)</f>
        <v>-61</v>
      </c>
      <c r="AH16" s="45" t="str">
        <f aca="false">IF(H16="","NO FIXED DATE",IF(AG16&lt;0,"CLOSED",IF(AG16&lt;=30,"URGENT",IF(AG16&lt;=90,"APPROACHING","MONITOR"))))</f>
        <v>CLOSED</v>
      </c>
      <c r="AI16" s="43" t="n">
        <v>0.3</v>
      </c>
      <c r="AJ16" s="38" t="s">
        <v>317</v>
      </c>
      <c r="AK16" s="38" t="s">
        <v>190</v>
      </c>
      <c r="AL16" s="38" t="s">
        <v>318</v>
      </c>
      <c r="AM16" s="47" t="n">
        <f aca="false">IFERROR(AA16+ROW()/100000,0)</f>
        <v>8.30016</v>
      </c>
    </row>
    <row r="17" customFormat="false" ht="32.25" hidden="false" customHeight="true" outlineLevel="0" collapsed="false">
      <c r="A17" s="30" t="s">
        <v>319</v>
      </c>
      <c r="B17" s="38" t="s">
        <v>305</v>
      </c>
      <c r="C17" s="38" t="s">
        <v>320</v>
      </c>
      <c r="D17" s="38" t="s">
        <v>98</v>
      </c>
      <c r="E17" s="38" t="s">
        <v>126</v>
      </c>
      <c r="F17" s="38" t="s">
        <v>123</v>
      </c>
      <c r="G17" s="38" t="s">
        <v>307</v>
      </c>
      <c r="H17" s="39" t="n">
        <v>46051</v>
      </c>
      <c r="I17" s="38" t="s">
        <v>321</v>
      </c>
      <c r="J17" s="40" t="n">
        <v>0</v>
      </c>
      <c r="K17" s="40" t="n">
        <v>0</v>
      </c>
      <c r="L17" s="38" t="s">
        <v>322</v>
      </c>
      <c r="M17" s="38" t="s">
        <v>310</v>
      </c>
      <c r="N17" s="41" t="n">
        <v>0.15</v>
      </c>
      <c r="O17" s="38" t="s">
        <v>235</v>
      </c>
      <c r="P17" s="38" t="s">
        <v>181</v>
      </c>
      <c r="Q17" s="38" t="n">
        <v>0</v>
      </c>
      <c r="R17" s="38" t="s">
        <v>323</v>
      </c>
      <c r="S17" s="38" t="s">
        <v>312</v>
      </c>
      <c r="T17" s="38" t="s">
        <v>313</v>
      </c>
      <c r="U17" s="38" t="s">
        <v>324</v>
      </c>
      <c r="V17" s="38" t="s">
        <v>325</v>
      </c>
      <c r="W17" s="42" t="n">
        <v>3</v>
      </c>
      <c r="X17" s="43" t="n">
        <v>0.2</v>
      </c>
      <c r="Y17" s="42" t="n">
        <v>4</v>
      </c>
      <c r="Z17" s="42" t="n">
        <v>80</v>
      </c>
      <c r="AA17" s="44" t="n">
        <f aca="false">IFERROR(ROUND(W17*X17*Y17*100/Z17,1),"")</f>
        <v>3</v>
      </c>
      <c r="AB17" s="45" t="str">
        <f aca="false">IF(AA17="","",IF(AA17&gt;=45,"1 - DO NOW",IF(AA17&gt;=20,"2 - PREPARE","3 - WATCH")))</f>
        <v>3 - WATCH</v>
      </c>
      <c r="AC17" s="42" t="s">
        <v>112</v>
      </c>
      <c r="AD17" s="42" t="s">
        <v>300</v>
      </c>
      <c r="AE17" s="42" t="s">
        <v>326</v>
      </c>
      <c r="AF17" s="46" t="n">
        <v>46357</v>
      </c>
      <c r="AG17" s="45" t="n">
        <f aca="false">IF(H17="","",H17-00_START_HERE!$C$6)</f>
        <v>-186</v>
      </c>
      <c r="AH17" s="45" t="str">
        <f aca="false">IF(H17="","NO FIXED DATE",IF(AG17&lt;0,"CLOSED",IF(AG17&lt;=30,"URGENT",IF(AG17&lt;=90,"APPROACHING","MONITOR"))))</f>
        <v>CLOSED</v>
      </c>
      <c r="AI17" s="43" t="n">
        <v>0.15</v>
      </c>
      <c r="AJ17" s="38" t="s">
        <v>317</v>
      </c>
      <c r="AK17" s="38" t="s">
        <v>190</v>
      </c>
      <c r="AL17" s="38" t="s">
        <v>327</v>
      </c>
      <c r="AM17" s="47" t="n">
        <f aca="false">IFERROR(AA17+ROW()/100000,0)</f>
        <v>3.00017</v>
      </c>
    </row>
    <row r="18" customFormat="false" ht="32.25" hidden="false" customHeight="true" outlineLevel="0" collapsed="false">
      <c r="A18" s="30" t="s">
        <v>328</v>
      </c>
      <c r="B18" s="38" t="s">
        <v>329</v>
      </c>
      <c r="C18" s="38" t="s">
        <v>330</v>
      </c>
      <c r="D18" s="38" t="s">
        <v>111</v>
      </c>
      <c r="E18" s="38" t="s">
        <v>129</v>
      </c>
      <c r="F18" s="38" t="s">
        <v>125</v>
      </c>
      <c r="G18" s="38" t="s">
        <v>177</v>
      </c>
      <c r="H18" s="39"/>
      <c r="I18" s="38" t="s">
        <v>331</v>
      </c>
      <c r="J18" s="40" t="n">
        <v>0</v>
      </c>
      <c r="K18" s="40" t="n">
        <v>0</v>
      </c>
      <c r="L18" s="38" t="s">
        <v>332</v>
      </c>
      <c r="M18" s="38" t="s">
        <v>310</v>
      </c>
      <c r="N18" s="41" t="n">
        <v>0</v>
      </c>
      <c r="O18" s="38" t="s">
        <v>181</v>
      </c>
      <c r="P18" s="38" t="s">
        <v>181</v>
      </c>
      <c r="Q18" s="38" t="n">
        <v>0</v>
      </c>
      <c r="R18" s="38" t="s">
        <v>333</v>
      </c>
      <c r="S18" s="38" t="s">
        <v>334</v>
      </c>
      <c r="T18" s="38" t="s">
        <v>335</v>
      </c>
      <c r="U18" s="38" t="s">
        <v>336</v>
      </c>
      <c r="V18" s="38" t="s">
        <v>337</v>
      </c>
      <c r="W18" s="42" t="n">
        <v>5</v>
      </c>
      <c r="X18" s="43" t="n">
        <v>0.95</v>
      </c>
      <c r="Y18" s="42" t="n">
        <v>4</v>
      </c>
      <c r="Z18" s="42" t="n">
        <v>6</v>
      </c>
      <c r="AA18" s="44" t="n">
        <f aca="false">IFERROR(ROUND(W18*X18*Y18*100/Z18,1),"")</f>
        <v>316.7</v>
      </c>
      <c r="AB18" s="45" t="str">
        <f aca="false">IF(AA18="","",IF(AA18&gt;=45,"1 - DO NOW",IF(AA18&gt;=20,"2 - PREPARE","3 - WATCH")))</f>
        <v>1 - DO NOW</v>
      </c>
      <c r="AC18" s="42" t="s">
        <v>100</v>
      </c>
      <c r="AD18" s="42" t="s">
        <v>187</v>
      </c>
      <c r="AE18" s="42" t="s">
        <v>338</v>
      </c>
      <c r="AF18" s="46" t="n">
        <v>46258</v>
      </c>
      <c r="AG18" s="45" t="str">
        <f aca="false">IF(H18="","",H18-00_START_HERE!$C$6)</f>
        <v/>
      </c>
      <c r="AH18" s="45" t="str">
        <f aca="false">IF(H18="","NO FIXED DATE",IF(AG18&lt;0,"CLOSED",IF(AG18&lt;=30,"URGENT",IF(AG18&lt;=90,"APPROACHING","MONITOR"))))</f>
        <v>NO FIXED DATE</v>
      </c>
      <c r="AI18" s="43" t="n">
        <v>0.4</v>
      </c>
      <c r="AJ18" s="38" t="s">
        <v>339</v>
      </c>
      <c r="AK18" s="38" t="s">
        <v>190</v>
      </c>
      <c r="AL18" s="38" t="s">
        <v>340</v>
      </c>
      <c r="AM18" s="47" t="n">
        <f aca="false">IFERROR(AA18+ROW()/100000,0)</f>
        <v>316.70018</v>
      </c>
    </row>
    <row r="19" customFormat="false" ht="32.25" hidden="false" customHeight="true" outlineLevel="0" collapsed="false">
      <c r="A19" s="30" t="s">
        <v>341</v>
      </c>
      <c r="B19" s="38" t="s">
        <v>342</v>
      </c>
      <c r="C19" s="38" t="s">
        <v>343</v>
      </c>
      <c r="D19" s="38" t="s">
        <v>113</v>
      </c>
      <c r="E19" s="38" t="s">
        <v>120</v>
      </c>
      <c r="F19" s="38" t="s">
        <v>121</v>
      </c>
      <c r="G19" s="38" t="s">
        <v>177</v>
      </c>
      <c r="H19" s="39"/>
      <c r="I19" s="38" t="s">
        <v>344</v>
      </c>
      <c r="J19" s="40" t="n">
        <v>10000</v>
      </c>
      <c r="K19" s="40" t="n">
        <v>500000</v>
      </c>
      <c r="L19" s="38" t="s">
        <v>345</v>
      </c>
      <c r="M19" s="38" t="s">
        <v>310</v>
      </c>
      <c r="N19" s="41" t="n">
        <v>0</v>
      </c>
      <c r="O19" s="38" t="s">
        <v>181</v>
      </c>
      <c r="P19" s="38" t="s">
        <v>181</v>
      </c>
      <c r="Q19" s="38" t="n">
        <v>0</v>
      </c>
      <c r="R19" s="38" t="s">
        <v>346</v>
      </c>
      <c r="S19" s="38" t="s">
        <v>347</v>
      </c>
      <c r="T19" s="38" t="s">
        <v>348</v>
      </c>
      <c r="U19" s="38" t="s">
        <v>349</v>
      </c>
      <c r="V19" s="38" t="s">
        <v>350</v>
      </c>
      <c r="W19" s="42" t="n">
        <v>4</v>
      </c>
      <c r="X19" s="43" t="n">
        <v>0.3</v>
      </c>
      <c r="Y19" s="42" t="n">
        <v>4</v>
      </c>
      <c r="Z19" s="42" t="n">
        <v>45</v>
      </c>
      <c r="AA19" s="44" t="n">
        <f aca="false">IFERROR(ROUND(W19*X19*Y19*100/Z19,1),"")</f>
        <v>10.7</v>
      </c>
      <c r="AB19" s="45" t="str">
        <f aca="false">IF(AA19="","",IF(AA19&gt;=45,"1 - DO NOW",IF(AA19&gt;=20,"2 - PREPARE","3 - WATCH")))</f>
        <v>3 - WATCH</v>
      </c>
      <c r="AC19" s="42" t="s">
        <v>95</v>
      </c>
      <c r="AD19" s="42" t="s">
        <v>215</v>
      </c>
      <c r="AE19" s="42" t="s">
        <v>351</v>
      </c>
      <c r="AF19" s="46" t="n">
        <v>46356</v>
      </c>
      <c r="AG19" s="45" t="str">
        <f aca="false">IF(H19="","",H19-00_START_HERE!$C$6)</f>
        <v/>
      </c>
      <c r="AH19" s="45" t="str">
        <f aca="false">IF(H19="","NO FIXED DATE",IF(AG19&lt;0,"CLOSED",IF(AG19&lt;=30,"URGENT",IF(AG19&lt;=90,"APPROACHING","MONITOR"))))</f>
        <v>NO FIXED DATE</v>
      </c>
      <c r="AI19" s="43" t="n">
        <v>0.3</v>
      </c>
      <c r="AJ19" s="38" t="s">
        <v>352</v>
      </c>
      <c r="AK19" s="38" t="s">
        <v>190</v>
      </c>
      <c r="AL19" s="38" t="s">
        <v>353</v>
      </c>
      <c r="AM19" s="47" t="n">
        <f aca="false">IFERROR(AA19+ROW()/100000,0)</f>
        <v>10.70019</v>
      </c>
    </row>
    <row r="20" customFormat="false" ht="42.75" hidden="false" customHeight="true" outlineLevel="0" collapsed="false">
      <c r="A20" s="30" t="s">
        <v>354</v>
      </c>
      <c r="B20" s="38" t="s">
        <v>355</v>
      </c>
      <c r="C20" s="38" t="s">
        <v>356</v>
      </c>
      <c r="D20" s="38" t="s">
        <v>101</v>
      </c>
      <c r="E20" s="38" t="s">
        <v>124</v>
      </c>
      <c r="F20" s="38" t="s">
        <v>121</v>
      </c>
      <c r="G20" s="38" t="s">
        <v>357</v>
      </c>
      <c r="H20" s="39"/>
      <c r="I20" s="38" t="s">
        <v>358</v>
      </c>
      <c r="J20" s="40" t="n">
        <v>0</v>
      </c>
      <c r="K20" s="40" t="n">
        <v>0</v>
      </c>
      <c r="L20" s="38" t="s">
        <v>359</v>
      </c>
      <c r="M20" s="38" t="s">
        <v>310</v>
      </c>
      <c r="N20" s="41" t="n">
        <v>0</v>
      </c>
      <c r="O20" s="38" t="s">
        <v>181</v>
      </c>
      <c r="P20" s="38" t="s">
        <v>181</v>
      </c>
      <c r="Q20" s="38" t="n">
        <v>0</v>
      </c>
      <c r="R20" s="38" t="s">
        <v>360</v>
      </c>
      <c r="S20" s="38" t="s">
        <v>361</v>
      </c>
      <c r="T20" s="38" t="s">
        <v>362</v>
      </c>
      <c r="U20" s="38" t="s">
        <v>363</v>
      </c>
      <c r="V20" s="38" t="s">
        <v>364</v>
      </c>
      <c r="W20" s="42" t="n">
        <v>5</v>
      </c>
      <c r="X20" s="43" t="n">
        <v>0.6</v>
      </c>
      <c r="Y20" s="42" t="n">
        <v>5</v>
      </c>
      <c r="Z20" s="42" t="n">
        <v>30</v>
      </c>
      <c r="AA20" s="44" t="n">
        <f aca="false">IFERROR(ROUND(W20*X20*Y20*100/Z20,1),"")</f>
        <v>50</v>
      </c>
      <c r="AB20" s="45" t="str">
        <f aca="false">IF(AA20="","",IF(AA20&gt;=45,"1 - DO NOW",IF(AA20&gt;=20,"2 - PREPARE","3 - WATCH")))</f>
        <v>1 - DO NOW</v>
      </c>
      <c r="AC20" s="42" t="s">
        <v>97</v>
      </c>
      <c r="AD20" s="42" t="s">
        <v>365</v>
      </c>
      <c r="AE20" s="42" t="s">
        <v>366</v>
      </c>
      <c r="AF20" s="46" t="n">
        <v>46280</v>
      </c>
      <c r="AG20" s="45" t="str">
        <f aca="false">IF(H20="","",H20-00_START_HERE!$C$6)</f>
        <v/>
      </c>
      <c r="AH20" s="45" t="str">
        <f aca="false">IF(H20="","NO FIXED DATE",IF(AG20&lt;0,"CLOSED",IF(AG20&lt;=30,"URGENT",IF(AG20&lt;=90,"APPROACHING","MONITOR"))))</f>
        <v>NO FIXED DATE</v>
      </c>
      <c r="AI20" s="43" t="n">
        <v>0.5</v>
      </c>
      <c r="AJ20" s="38" t="s">
        <v>367</v>
      </c>
      <c r="AK20" s="38" t="s">
        <v>190</v>
      </c>
      <c r="AL20" s="38" t="s">
        <v>368</v>
      </c>
      <c r="AM20" s="47" t="n">
        <f aca="false">IFERROR(AA20+ROW()/100000,0)</f>
        <v>50.0002</v>
      </c>
    </row>
    <row r="21" customFormat="false" ht="32.25" hidden="false" customHeight="true" outlineLevel="0" collapsed="false">
      <c r="A21" s="30" t="s">
        <v>369</v>
      </c>
      <c r="B21" s="38" t="s">
        <v>370</v>
      </c>
      <c r="C21" s="38" t="s">
        <v>371</v>
      </c>
      <c r="D21" s="38" t="s">
        <v>107</v>
      </c>
      <c r="E21" s="38" t="s">
        <v>129</v>
      </c>
      <c r="F21" s="38" t="s">
        <v>121</v>
      </c>
      <c r="G21" s="38" t="s">
        <v>177</v>
      </c>
      <c r="H21" s="39"/>
      <c r="I21" s="38" t="s">
        <v>372</v>
      </c>
      <c r="J21" s="40" t="n">
        <v>0</v>
      </c>
      <c r="K21" s="40" t="n">
        <v>0</v>
      </c>
      <c r="L21" s="38" t="s">
        <v>373</v>
      </c>
      <c r="M21" s="38" t="s">
        <v>180</v>
      </c>
      <c r="N21" s="41" t="n">
        <v>0</v>
      </c>
      <c r="O21" s="38" t="s">
        <v>181</v>
      </c>
      <c r="P21" s="38" t="s">
        <v>181</v>
      </c>
      <c r="Q21" s="38" t="n">
        <v>0</v>
      </c>
      <c r="R21" s="38" t="s">
        <v>374</v>
      </c>
      <c r="S21" s="38" t="s">
        <v>375</v>
      </c>
      <c r="T21" s="38" t="s">
        <v>376</v>
      </c>
      <c r="U21" s="38" t="s">
        <v>377</v>
      </c>
      <c r="V21" s="38" t="s">
        <v>378</v>
      </c>
      <c r="W21" s="42" t="n">
        <v>3</v>
      </c>
      <c r="X21" s="43" t="n">
        <v>0.3</v>
      </c>
      <c r="Y21" s="42" t="n">
        <v>4</v>
      </c>
      <c r="Z21" s="42" t="n">
        <v>20</v>
      </c>
      <c r="AA21" s="44" t="n">
        <f aca="false">IFERROR(ROUND(W21*X21*Y21*100/Z21,1),"")</f>
        <v>18</v>
      </c>
      <c r="AB21" s="45" t="str">
        <f aca="false">IF(AA21="","",IF(AA21&gt;=45,"1 - DO NOW",IF(AA21&gt;=20,"2 - PREPARE","3 - WATCH")))</f>
        <v>3 - WATCH</v>
      </c>
      <c r="AC21" s="42" t="s">
        <v>95</v>
      </c>
      <c r="AD21" s="42" t="s">
        <v>365</v>
      </c>
      <c r="AE21" s="42" t="s">
        <v>379</v>
      </c>
      <c r="AF21" s="46" t="n">
        <v>46310</v>
      </c>
      <c r="AG21" s="45" t="str">
        <f aca="false">IF(H21="","",H21-00_START_HERE!$C$6)</f>
        <v/>
      </c>
      <c r="AH21" s="45" t="str">
        <f aca="false">IF(H21="","NO FIXED DATE",IF(AG21&lt;0,"CLOSED",IF(AG21&lt;=30,"URGENT",IF(AG21&lt;=90,"APPROACHING","MONITOR"))))</f>
        <v>NO FIXED DATE</v>
      </c>
      <c r="AI21" s="43" t="n">
        <v>0.4</v>
      </c>
      <c r="AJ21" s="38" t="s">
        <v>380</v>
      </c>
      <c r="AK21" s="38" t="s">
        <v>381</v>
      </c>
      <c r="AL21" s="38" t="s">
        <v>382</v>
      </c>
      <c r="AM21" s="47" t="n">
        <f aca="false">IFERROR(AA21+ROW()/100000,0)</f>
        <v>18.00021</v>
      </c>
    </row>
    <row r="22" customFormat="false" ht="32.25" hidden="false" customHeight="true" outlineLevel="0" collapsed="false">
      <c r="A22" s="30" t="s">
        <v>383</v>
      </c>
      <c r="B22" s="38" t="s">
        <v>370</v>
      </c>
      <c r="C22" s="38" t="s">
        <v>384</v>
      </c>
      <c r="D22" s="38" t="s">
        <v>107</v>
      </c>
      <c r="E22" s="38" t="s">
        <v>129</v>
      </c>
      <c r="F22" s="38" t="s">
        <v>121</v>
      </c>
      <c r="G22" s="38" t="s">
        <v>385</v>
      </c>
      <c r="H22" s="39"/>
      <c r="I22" s="38" t="s">
        <v>386</v>
      </c>
      <c r="J22" s="40" t="n">
        <v>50000</v>
      </c>
      <c r="K22" s="40" t="n">
        <v>200000</v>
      </c>
      <c r="L22" s="38" t="s">
        <v>387</v>
      </c>
      <c r="M22" s="38" t="s">
        <v>180</v>
      </c>
      <c r="N22" s="41" t="n">
        <v>0</v>
      </c>
      <c r="O22" s="38" t="s">
        <v>181</v>
      </c>
      <c r="P22" s="38" t="s">
        <v>181</v>
      </c>
      <c r="Q22" s="38" t="n">
        <v>0</v>
      </c>
      <c r="R22" s="38" t="s">
        <v>388</v>
      </c>
      <c r="S22" s="38" t="s">
        <v>375</v>
      </c>
      <c r="T22" s="38" t="s">
        <v>389</v>
      </c>
      <c r="U22" s="38" t="s">
        <v>390</v>
      </c>
      <c r="V22" s="38" t="s">
        <v>391</v>
      </c>
      <c r="W22" s="42" t="n">
        <v>3</v>
      </c>
      <c r="X22" s="43" t="n">
        <v>0.2</v>
      </c>
      <c r="Y22" s="42" t="n">
        <v>3</v>
      </c>
      <c r="Z22" s="42" t="n">
        <v>15</v>
      </c>
      <c r="AA22" s="44" t="n">
        <f aca="false">IFERROR(ROUND(W22*X22*Y22*100/Z22,1),"")</f>
        <v>12</v>
      </c>
      <c r="AB22" s="45" t="str">
        <f aca="false">IF(AA22="","",IF(AA22&gt;=45,"1 - DO NOW",IF(AA22&gt;=20,"2 - PREPARE","3 - WATCH")))</f>
        <v>3 - WATCH</v>
      </c>
      <c r="AC22" s="42" t="s">
        <v>112</v>
      </c>
      <c r="AD22" s="42" t="s">
        <v>365</v>
      </c>
      <c r="AE22" s="42" t="s">
        <v>392</v>
      </c>
      <c r="AF22" s="46" t="n">
        <v>46357</v>
      </c>
      <c r="AG22" s="45" t="str">
        <f aca="false">IF(H22="","",H22-00_START_HERE!$C$6)</f>
        <v/>
      </c>
      <c r="AH22" s="45" t="str">
        <f aca="false">IF(H22="","NO FIXED DATE",IF(AG22&lt;0,"CLOSED",IF(AG22&lt;=30,"URGENT",IF(AG22&lt;=90,"APPROACHING","MONITOR"))))</f>
        <v>NO FIXED DATE</v>
      </c>
      <c r="AI22" s="43" t="n">
        <v>0.3</v>
      </c>
      <c r="AJ22" s="38" t="s">
        <v>393</v>
      </c>
      <c r="AK22" s="38" t="s">
        <v>381</v>
      </c>
      <c r="AL22" s="38" t="s">
        <v>394</v>
      </c>
      <c r="AM22" s="47" t="n">
        <f aca="false">IFERROR(AA22+ROW()/100000,0)</f>
        <v>12.00022</v>
      </c>
    </row>
    <row r="23" customFormat="false" ht="32.25" hidden="false" customHeight="true" outlineLevel="0" collapsed="false">
      <c r="A23" s="30" t="s">
        <v>395</v>
      </c>
      <c r="B23" s="38" t="s">
        <v>396</v>
      </c>
      <c r="C23" s="38" t="s">
        <v>397</v>
      </c>
      <c r="D23" s="38" t="s">
        <v>113</v>
      </c>
      <c r="E23" s="38" t="s">
        <v>120</v>
      </c>
      <c r="F23" s="38" t="s">
        <v>121</v>
      </c>
      <c r="G23" s="38" t="s">
        <v>177</v>
      </c>
      <c r="H23" s="39"/>
      <c r="I23" s="38" t="s">
        <v>398</v>
      </c>
      <c r="J23" s="40" t="n">
        <v>10000</v>
      </c>
      <c r="K23" s="40" t="n">
        <v>400000</v>
      </c>
      <c r="L23" s="38" t="s">
        <v>399</v>
      </c>
      <c r="M23" s="38" t="s">
        <v>180</v>
      </c>
      <c r="N23" s="41" t="n">
        <v>0</v>
      </c>
      <c r="O23" s="38" t="s">
        <v>181</v>
      </c>
      <c r="P23" s="38" t="s">
        <v>181</v>
      </c>
      <c r="Q23" s="38" t="n">
        <v>0</v>
      </c>
      <c r="R23" s="38" t="s">
        <v>400</v>
      </c>
      <c r="S23" s="38" t="s">
        <v>401</v>
      </c>
      <c r="T23" s="38" t="s">
        <v>402</v>
      </c>
      <c r="U23" s="38" t="s">
        <v>403</v>
      </c>
      <c r="V23" s="38" t="s">
        <v>404</v>
      </c>
      <c r="W23" s="42" t="n">
        <v>4</v>
      </c>
      <c r="X23" s="43" t="n">
        <v>0.3</v>
      </c>
      <c r="Y23" s="42" t="n">
        <v>5</v>
      </c>
      <c r="Z23" s="42" t="n">
        <v>40</v>
      </c>
      <c r="AA23" s="44" t="n">
        <f aca="false">IFERROR(ROUND(W23*X23*Y23*100/Z23,1),"")</f>
        <v>15</v>
      </c>
      <c r="AB23" s="45" t="str">
        <f aca="false">IF(AA23="","",IF(AA23&gt;=45,"1 - DO NOW",IF(AA23&gt;=20,"2 - PREPARE","3 - WATCH")))</f>
        <v>3 - WATCH</v>
      </c>
      <c r="AC23" s="42" t="s">
        <v>95</v>
      </c>
      <c r="AD23" s="42" t="s">
        <v>215</v>
      </c>
      <c r="AE23" s="42" t="s">
        <v>405</v>
      </c>
      <c r="AF23" s="46" t="n">
        <v>46326</v>
      </c>
      <c r="AG23" s="45" t="str">
        <f aca="false">IF(H23="","",H23-00_START_HERE!$C$6)</f>
        <v/>
      </c>
      <c r="AH23" s="45" t="str">
        <f aca="false">IF(H23="","NO FIXED DATE",IF(AG23&lt;0,"CLOSED",IF(AG23&lt;=30,"URGENT",IF(AG23&lt;=90,"APPROACHING","MONITOR"))))</f>
        <v>NO FIXED DATE</v>
      </c>
      <c r="AI23" s="43" t="n">
        <v>0.3</v>
      </c>
      <c r="AJ23" s="38" t="s">
        <v>406</v>
      </c>
      <c r="AK23" s="38" t="s">
        <v>190</v>
      </c>
      <c r="AL23" s="38" t="s">
        <v>407</v>
      </c>
      <c r="AM23" s="47" t="n">
        <f aca="false">IFERROR(AA23+ROW()/100000,0)</f>
        <v>15.00023</v>
      </c>
    </row>
    <row r="24" customFormat="false" ht="32.25" hidden="false" customHeight="true" outlineLevel="0" collapsed="false">
      <c r="A24" s="30" t="s">
        <v>408</v>
      </c>
      <c r="B24" s="38" t="s">
        <v>409</v>
      </c>
      <c r="C24" s="38" t="s">
        <v>410</v>
      </c>
      <c r="D24" s="38" t="s">
        <v>96</v>
      </c>
      <c r="E24" s="38" t="s">
        <v>124</v>
      </c>
      <c r="F24" s="38" t="s">
        <v>121</v>
      </c>
      <c r="G24" s="38" t="s">
        <v>177</v>
      </c>
      <c r="H24" s="39"/>
      <c r="I24" s="38" t="s">
        <v>411</v>
      </c>
      <c r="J24" s="40" t="n">
        <v>5000</v>
      </c>
      <c r="K24" s="40" t="n">
        <v>200000</v>
      </c>
      <c r="L24" s="38" t="s">
        <v>412</v>
      </c>
      <c r="M24" s="38" t="s">
        <v>180</v>
      </c>
      <c r="N24" s="41" t="n">
        <v>0</v>
      </c>
      <c r="O24" s="38" t="s">
        <v>181</v>
      </c>
      <c r="P24" s="38" t="s">
        <v>181</v>
      </c>
      <c r="Q24" s="38" t="n">
        <v>0</v>
      </c>
      <c r="R24" s="38" t="s">
        <v>413</v>
      </c>
      <c r="S24" s="38" t="s">
        <v>414</v>
      </c>
      <c r="T24" s="38" t="s">
        <v>415</v>
      </c>
      <c r="U24" s="38" t="s">
        <v>416</v>
      </c>
      <c r="V24" s="38" t="s">
        <v>417</v>
      </c>
      <c r="W24" s="42" t="n">
        <v>5</v>
      </c>
      <c r="X24" s="43" t="n">
        <v>0.45</v>
      </c>
      <c r="Y24" s="42" t="n">
        <v>5</v>
      </c>
      <c r="Z24" s="42" t="n">
        <v>25</v>
      </c>
      <c r="AA24" s="44" t="n">
        <f aca="false">IFERROR(ROUND(W24*X24*Y24*100/Z24,1),"")</f>
        <v>45</v>
      </c>
      <c r="AB24" s="45" t="str">
        <f aca="false">IF(AA24="","",IF(AA24&gt;=45,"1 - DO NOW",IF(AA24&gt;=20,"2 - PREPARE","3 - WATCH")))</f>
        <v>1 - DO NOW</v>
      </c>
      <c r="AC24" s="42" t="s">
        <v>97</v>
      </c>
      <c r="AD24" s="42" t="s">
        <v>276</v>
      </c>
      <c r="AE24" s="42" t="s">
        <v>418</v>
      </c>
      <c r="AF24" s="46" t="n">
        <v>46280</v>
      </c>
      <c r="AG24" s="45" t="str">
        <f aca="false">IF(H24="","",H24-00_START_HERE!$C$6)</f>
        <v/>
      </c>
      <c r="AH24" s="45" t="str">
        <f aca="false">IF(H24="","NO FIXED DATE",IF(AG24&lt;0,"CLOSED",IF(AG24&lt;=30,"URGENT",IF(AG24&lt;=90,"APPROACHING","MONITOR"))))</f>
        <v>NO FIXED DATE</v>
      </c>
      <c r="AI24" s="43" t="n">
        <v>0.35</v>
      </c>
      <c r="AJ24" s="38" t="s">
        <v>419</v>
      </c>
      <c r="AK24" s="38" t="s">
        <v>190</v>
      </c>
      <c r="AL24" s="38" t="s">
        <v>420</v>
      </c>
      <c r="AM24" s="47" t="n">
        <f aca="false">IFERROR(AA24+ROW()/100000,0)</f>
        <v>45.00024</v>
      </c>
    </row>
    <row r="25" customFormat="false" ht="32.25" hidden="false" customHeight="true" outlineLevel="0" collapsed="false">
      <c r="A25" s="30" t="s">
        <v>421</v>
      </c>
      <c r="B25" s="38" t="s">
        <v>422</v>
      </c>
      <c r="C25" s="38" t="s">
        <v>423</v>
      </c>
      <c r="D25" s="38" t="s">
        <v>96</v>
      </c>
      <c r="E25" s="38" t="s">
        <v>124</v>
      </c>
      <c r="F25" s="38" t="s">
        <v>121</v>
      </c>
      <c r="G25" s="38" t="s">
        <v>177</v>
      </c>
      <c r="H25" s="39"/>
      <c r="I25" s="38" t="s">
        <v>424</v>
      </c>
      <c r="J25" s="40" t="n">
        <v>5000</v>
      </c>
      <c r="K25" s="40" t="n">
        <v>150000</v>
      </c>
      <c r="L25" s="38" t="s">
        <v>425</v>
      </c>
      <c r="M25" s="38" t="s">
        <v>180</v>
      </c>
      <c r="N25" s="41" t="n">
        <v>0</v>
      </c>
      <c r="O25" s="38" t="s">
        <v>181</v>
      </c>
      <c r="P25" s="38" t="s">
        <v>181</v>
      </c>
      <c r="Q25" s="38" t="n">
        <v>0</v>
      </c>
      <c r="R25" s="38" t="s">
        <v>426</v>
      </c>
      <c r="S25" s="38" t="s">
        <v>427</v>
      </c>
      <c r="T25" s="38" t="s">
        <v>428</v>
      </c>
      <c r="U25" s="38" t="s">
        <v>429</v>
      </c>
      <c r="V25" s="38" t="s">
        <v>430</v>
      </c>
      <c r="W25" s="42" t="n">
        <v>5</v>
      </c>
      <c r="X25" s="43" t="n">
        <v>0.5</v>
      </c>
      <c r="Y25" s="42" t="n">
        <v>5</v>
      </c>
      <c r="Z25" s="42" t="n">
        <v>25</v>
      </c>
      <c r="AA25" s="44" t="n">
        <f aca="false">IFERROR(ROUND(W25*X25*Y25*100/Z25,1),"")</f>
        <v>50</v>
      </c>
      <c r="AB25" s="45" t="str">
        <f aca="false">IF(AA25="","",IF(AA25&gt;=45,"1 - DO NOW",IF(AA25&gt;=20,"2 - PREPARE","3 - WATCH")))</f>
        <v>1 - DO NOW</v>
      </c>
      <c r="AC25" s="42" t="s">
        <v>97</v>
      </c>
      <c r="AD25" s="42" t="s">
        <v>276</v>
      </c>
      <c r="AE25" s="42" t="s">
        <v>431</v>
      </c>
      <c r="AF25" s="46" t="n">
        <v>46280</v>
      </c>
      <c r="AG25" s="45" t="str">
        <f aca="false">IF(H25="","",H25-00_START_HERE!$C$6)</f>
        <v/>
      </c>
      <c r="AH25" s="45" t="str">
        <f aca="false">IF(H25="","NO FIXED DATE",IF(AG25&lt;0,"CLOSED",IF(AG25&lt;=30,"URGENT",IF(AG25&lt;=90,"APPROACHING","MONITOR"))))</f>
        <v>NO FIXED DATE</v>
      </c>
      <c r="AI25" s="43" t="n">
        <v>0.35</v>
      </c>
      <c r="AJ25" s="38" t="s">
        <v>432</v>
      </c>
      <c r="AK25" s="38" t="s">
        <v>190</v>
      </c>
      <c r="AL25" s="38" t="s">
        <v>433</v>
      </c>
      <c r="AM25" s="47" t="n">
        <f aca="false">IFERROR(AA25+ROW()/100000,0)</f>
        <v>50.00025</v>
      </c>
    </row>
    <row r="26" customFormat="false" ht="42.75" hidden="false" customHeight="true" outlineLevel="0" collapsed="false">
      <c r="A26" s="30" t="s">
        <v>434</v>
      </c>
      <c r="B26" s="38" t="s">
        <v>435</v>
      </c>
      <c r="C26" s="38" t="s">
        <v>436</v>
      </c>
      <c r="D26" s="38" t="s">
        <v>101</v>
      </c>
      <c r="E26" s="38" t="s">
        <v>128</v>
      </c>
      <c r="F26" s="38" t="s">
        <v>121</v>
      </c>
      <c r="G26" s="38" t="s">
        <v>357</v>
      </c>
      <c r="H26" s="39"/>
      <c r="I26" s="38" t="s">
        <v>437</v>
      </c>
      <c r="J26" s="40" t="n">
        <v>0</v>
      </c>
      <c r="K26" s="40" t="n">
        <v>0</v>
      </c>
      <c r="L26" s="38" t="s">
        <v>438</v>
      </c>
      <c r="M26" s="38" t="s">
        <v>180</v>
      </c>
      <c r="N26" s="41" t="n">
        <v>0</v>
      </c>
      <c r="O26" s="38" t="s">
        <v>181</v>
      </c>
      <c r="P26" s="38" t="s">
        <v>181</v>
      </c>
      <c r="Q26" s="38" t="n">
        <v>0</v>
      </c>
      <c r="R26" s="38" t="s">
        <v>439</v>
      </c>
      <c r="S26" s="38" t="s">
        <v>440</v>
      </c>
      <c r="T26" s="38" t="s">
        <v>441</v>
      </c>
      <c r="U26" s="38" t="s">
        <v>442</v>
      </c>
      <c r="V26" s="38" t="s">
        <v>443</v>
      </c>
      <c r="W26" s="42" t="n">
        <v>4</v>
      </c>
      <c r="X26" s="43" t="n">
        <v>0.3</v>
      </c>
      <c r="Y26" s="42" t="n">
        <v>4</v>
      </c>
      <c r="Z26" s="42" t="n">
        <v>20</v>
      </c>
      <c r="AA26" s="44" t="n">
        <f aca="false">IFERROR(ROUND(W26*X26*Y26*100/Z26,1),"")</f>
        <v>24</v>
      </c>
      <c r="AB26" s="45" t="str">
        <f aca="false">IF(AA26="","",IF(AA26&gt;=45,"1 - DO NOW",IF(AA26&gt;=20,"2 - PREPARE","3 - WATCH")))</f>
        <v>2 - PREPARE</v>
      </c>
      <c r="AC26" s="42" t="s">
        <v>95</v>
      </c>
      <c r="AD26" s="42" t="s">
        <v>365</v>
      </c>
      <c r="AE26" s="42" t="s">
        <v>444</v>
      </c>
      <c r="AF26" s="46" t="n">
        <v>46326</v>
      </c>
      <c r="AG26" s="45" t="str">
        <f aca="false">IF(H26="","",H26-00_START_HERE!$C$6)</f>
        <v/>
      </c>
      <c r="AH26" s="45" t="str">
        <f aca="false">IF(H26="","NO FIXED DATE",IF(AG26&lt;0,"CLOSED",IF(AG26&lt;=30,"URGENT",IF(AG26&lt;=90,"APPROACHING","MONITOR"))))</f>
        <v>NO FIXED DATE</v>
      </c>
      <c r="AI26" s="43" t="n">
        <v>0.3</v>
      </c>
      <c r="AJ26" s="38" t="s">
        <v>393</v>
      </c>
      <c r="AK26" s="38" t="s">
        <v>190</v>
      </c>
      <c r="AL26" s="38" t="s">
        <v>445</v>
      </c>
      <c r="AM26" s="47" t="n">
        <f aca="false">IFERROR(AA26+ROW()/100000,0)</f>
        <v>24.00026</v>
      </c>
    </row>
    <row r="27" customFormat="false" ht="42.75" hidden="false" customHeight="true" outlineLevel="0" collapsed="false">
      <c r="A27" s="30" t="s">
        <v>446</v>
      </c>
      <c r="B27" s="38" t="s">
        <v>447</v>
      </c>
      <c r="C27" s="38" t="s">
        <v>448</v>
      </c>
      <c r="D27" s="38" t="s">
        <v>98</v>
      </c>
      <c r="E27" s="38" t="s">
        <v>126</v>
      </c>
      <c r="F27" s="38" t="s">
        <v>123</v>
      </c>
      <c r="G27" s="38" t="s">
        <v>357</v>
      </c>
      <c r="H27" s="39"/>
      <c r="I27" s="38" t="s">
        <v>449</v>
      </c>
      <c r="J27" s="40" t="n">
        <v>0</v>
      </c>
      <c r="K27" s="40" t="n">
        <v>40000</v>
      </c>
      <c r="L27" s="38" t="s">
        <v>450</v>
      </c>
      <c r="M27" s="38" t="s">
        <v>180</v>
      </c>
      <c r="N27" s="41" t="n">
        <v>0</v>
      </c>
      <c r="O27" s="38" t="s">
        <v>235</v>
      </c>
      <c r="P27" s="38" t="s">
        <v>235</v>
      </c>
      <c r="Q27" s="38" t="n">
        <v>0</v>
      </c>
      <c r="R27" s="38" t="s">
        <v>451</v>
      </c>
      <c r="S27" s="38" t="s">
        <v>452</v>
      </c>
      <c r="T27" s="38" t="s">
        <v>453</v>
      </c>
      <c r="U27" s="38" t="s">
        <v>454</v>
      </c>
      <c r="V27" s="38" t="s">
        <v>455</v>
      </c>
      <c r="W27" s="42" t="n">
        <v>3</v>
      </c>
      <c r="X27" s="43" t="n">
        <v>0.3</v>
      </c>
      <c r="Y27" s="42" t="n">
        <v>4</v>
      </c>
      <c r="Z27" s="42" t="n">
        <v>35</v>
      </c>
      <c r="AA27" s="44" t="n">
        <f aca="false">IFERROR(ROUND(W27*X27*Y27*100/Z27,1),"")</f>
        <v>10.3</v>
      </c>
      <c r="AB27" s="45" t="str">
        <f aca="false">IF(AA27="","",IF(AA27&gt;=45,"1 - DO NOW",IF(AA27&gt;=20,"2 - PREPARE","3 - WATCH")))</f>
        <v>3 - WATCH</v>
      </c>
      <c r="AC27" s="42" t="s">
        <v>112</v>
      </c>
      <c r="AD27" s="42" t="s">
        <v>300</v>
      </c>
      <c r="AE27" s="42" t="s">
        <v>456</v>
      </c>
      <c r="AF27" s="46" t="n">
        <v>46295</v>
      </c>
      <c r="AG27" s="45" t="str">
        <f aca="false">IF(H27="","",H27-00_START_HERE!$C$6)</f>
        <v/>
      </c>
      <c r="AH27" s="45" t="str">
        <f aca="false">IF(H27="","NO FIXED DATE",IF(AG27&lt;0,"CLOSED",IF(AG27&lt;=30,"URGENT",IF(AG27&lt;=90,"APPROACHING","MONITOR"))))</f>
        <v>NO FIXED DATE</v>
      </c>
      <c r="AI27" s="43" t="n">
        <v>0.2</v>
      </c>
      <c r="AJ27" s="38" t="s">
        <v>457</v>
      </c>
      <c r="AK27" s="38" t="s">
        <v>190</v>
      </c>
      <c r="AL27" s="38" t="s">
        <v>458</v>
      </c>
      <c r="AM27" s="47" t="n">
        <f aca="false">IFERROR(AA27+ROW()/100000,0)</f>
        <v>10.30027</v>
      </c>
    </row>
    <row r="28" customFormat="false" ht="32.25" hidden="false" customHeight="true" outlineLevel="0" collapsed="false">
      <c r="A28" s="30" t="s">
        <v>459</v>
      </c>
      <c r="B28" s="38" t="s">
        <v>460</v>
      </c>
      <c r="C28" s="38" t="s">
        <v>461</v>
      </c>
      <c r="D28" s="38" t="s">
        <v>113</v>
      </c>
      <c r="E28" s="38" t="s">
        <v>124</v>
      </c>
      <c r="F28" s="38" t="s">
        <v>121</v>
      </c>
      <c r="G28" s="38" t="s">
        <v>462</v>
      </c>
      <c r="H28" s="39"/>
      <c r="I28" s="38" t="s">
        <v>463</v>
      </c>
      <c r="J28" s="40" t="n">
        <v>20000</v>
      </c>
      <c r="K28" s="40" t="n">
        <v>500000</v>
      </c>
      <c r="L28" s="38" t="s">
        <v>464</v>
      </c>
      <c r="M28" s="38" t="s">
        <v>180</v>
      </c>
      <c r="N28" s="41" t="n">
        <v>0</v>
      </c>
      <c r="O28" s="38" t="s">
        <v>235</v>
      </c>
      <c r="P28" s="38" t="s">
        <v>181</v>
      </c>
      <c r="Q28" s="38" t="n">
        <v>0</v>
      </c>
      <c r="R28" s="38" t="s">
        <v>465</v>
      </c>
      <c r="S28" s="38" t="s">
        <v>466</v>
      </c>
      <c r="T28" s="38" t="s">
        <v>467</v>
      </c>
      <c r="U28" s="38" t="s">
        <v>468</v>
      </c>
      <c r="V28" s="38" t="s">
        <v>469</v>
      </c>
      <c r="W28" s="42" t="n">
        <v>4</v>
      </c>
      <c r="X28" s="43" t="n">
        <v>0.25</v>
      </c>
      <c r="Y28" s="42" t="n">
        <v>4</v>
      </c>
      <c r="Z28" s="42" t="n">
        <v>35</v>
      </c>
      <c r="AA28" s="44" t="n">
        <f aca="false">IFERROR(ROUND(W28*X28*Y28*100/Z28,1),"")</f>
        <v>11.4</v>
      </c>
      <c r="AB28" s="45" t="str">
        <f aca="false">IF(AA28="","",IF(AA28&gt;=45,"1 - DO NOW",IF(AA28&gt;=20,"2 - PREPARE","3 - WATCH")))</f>
        <v>3 - WATCH</v>
      </c>
      <c r="AC28" s="42" t="s">
        <v>95</v>
      </c>
      <c r="AD28" s="42" t="s">
        <v>365</v>
      </c>
      <c r="AE28" s="42" t="s">
        <v>470</v>
      </c>
      <c r="AF28" s="46" t="n">
        <v>46356</v>
      </c>
      <c r="AG28" s="45" t="str">
        <f aca="false">IF(H28="","",H28-00_START_HERE!$C$6)</f>
        <v/>
      </c>
      <c r="AH28" s="45" t="str">
        <f aca="false">IF(H28="","NO FIXED DATE",IF(AG28&lt;0,"CLOSED",IF(AG28&lt;=30,"URGENT",IF(AG28&lt;=90,"APPROACHING","MONITOR"))))</f>
        <v>NO FIXED DATE</v>
      </c>
      <c r="AI28" s="43" t="n">
        <v>0.3</v>
      </c>
      <c r="AJ28" s="38" t="s">
        <v>393</v>
      </c>
      <c r="AK28" s="38" t="s">
        <v>190</v>
      </c>
      <c r="AL28" s="38" t="s">
        <v>471</v>
      </c>
      <c r="AM28" s="47" t="n">
        <f aca="false">IFERROR(AA28+ROW()/100000,0)</f>
        <v>11.40028</v>
      </c>
    </row>
    <row r="29" customFormat="false" ht="32.25" hidden="false" customHeight="true" outlineLevel="0" collapsed="false">
      <c r="A29" s="30" t="s">
        <v>472</v>
      </c>
      <c r="B29" s="38" t="s">
        <v>473</v>
      </c>
      <c r="C29" s="38" t="s">
        <v>474</v>
      </c>
      <c r="D29" s="38" t="s">
        <v>96</v>
      </c>
      <c r="E29" s="38" t="s">
        <v>120</v>
      </c>
      <c r="F29" s="38" t="s">
        <v>121</v>
      </c>
      <c r="G29" s="38" t="s">
        <v>177</v>
      </c>
      <c r="H29" s="39"/>
      <c r="I29" s="38" t="s">
        <v>475</v>
      </c>
      <c r="J29" s="40" t="n">
        <v>5000</v>
      </c>
      <c r="K29" s="40" t="n">
        <v>200000</v>
      </c>
      <c r="L29" s="38" t="s">
        <v>476</v>
      </c>
      <c r="M29" s="38" t="s">
        <v>180</v>
      </c>
      <c r="N29" s="41" t="n">
        <v>0</v>
      </c>
      <c r="O29" s="38" t="s">
        <v>181</v>
      </c>
      <c r="P29" s="38" t="s">
        <v>181</v>
      </c>
      <c r="Q29" s="38" t="n">
        <v>0</v>
      </c>
      <c r="R29" s="38" t="s">
        <v>477</v>
      </c>
      <c r="S29" s="38" t="s">
        <v>478</v>
      </c>
      <c r="T29" s="38" t="s">
        <v>479</v>
      </c>
      <c r="U29" s="38" t="s">
        <v>480</v>
      </c>
      <c r="V29" s="38" t="s">
        <v>481</v>
      </c>
      <c r="W29" s="42" t="n">
        <v>4</v>
      </c>
      <c r="X29" s="43" t="n">
        <v>0.4</v>
      </c>
      <c r="Y29" s="42" t="n">
        <v>4</v>
      </c>
      <c r="Z29" s="42" t="n">
        <v>15</v>
      </c>
      <c r="AA29" s="44" t="n">
        <f aca="false">IFERROR(ROUND(W29*X29*Y29*100/Z29,1),"")</f>
        <v>42.7</v>
      </c>
      <c r="AB29" s="45" t="str">
        <f aca="false">IF(AA29="","",IF(AA29&gt;=45,"1 - DO NOW",IF(AA29&gt;=20,"2 - PREPARE","3 - WATCH")))</f>
        <v>2 - PREPARE</v>
      </c>
      <c r="AC29" s="42" t="s">
        <v>97</v>
      </c>
      <c r="AD29" s="42" t="s">
        <v>187</v>
      </c>
      <c r="AE29" s="42" t="s">
        <v>482</v>
      </c>
      <c r="AF29" s="46" t="n">
        <v>46265</v>
      </c>
      <c r="AG29" s="45" t="str">
        <f aca="false">IF(H29="","",H29-00_START_HERE!$C$6)</f>
        <v/>
      </c>
      <c r="AH29" s="45" t="str">
        <f aca="false">IF(H29="","NO FIXED DATE",IF(AG29&lt;0,"CLOSED",IF(AG29&lt;=30,"URGENT",IF(AG29&lt;=90,"APPROACHING","MONITOR"))))</f>
        <v>NO FIXED DATE</v>
      </c>
      <c r="AI29" s="43" t="n">
        <v>0.35</v>
      </c>
      <c r="AJ29" s="38" t="s">
        <v>483</v>
      </c>
      <c r="AK29" s="38" t="s">
        <v>190</v>
      </c>
      <c r="AL29" s="38" t="s">
        <v>484</v>
      </c>
      <c r="AM29" s="47" t="n">
        <f aca="false">IFERROR(AA29+ROW()/100000,0)</f>
        <v>42.70029</v>
      </c>
    </row>
    <row r="30" customFormat="false" ht="21.75" hidden="false" customHeight="true" outlineLevel="0" collapsed="false">
      <c r="A30" s="30" t="s">
        <v>485</v>
      </c>
      <c r="B30" s="38" t="s">
        <v>473</v>
      </c>
      <c r="C30" s="38" t="s">
        <v>486</v>
      </c>
      <c r="D30" s="38" t="s">
        <v>111</v>
      </c>
      <c r="E30" s="38" t="s">
        <v>126</v>
      </c>
      <c r="F30" s="38" t="s">
        <v>123</v>
      </c>
      <c r="G30" s="38" t="s">
        <v>177</v>
      </c>
      <c r="H30" s="39"/>
      <c r="I30" s="38" t="s">
        <v>487</v>
      </c>
      <c r="J30" s="40" t="n">
        <v>0</v>
      </c>
      <c r="K30" s="40" t="n">
        <v>0</v>
      </c>
      <c r="L30" s="38" t="s">
        <v>488</v>
      </c>
      <c r="M30" s="38" t="s">
        <v>180</v>
      </c>
      <c r="N30" s="41" t="n">
        <v>0</v>
      </c>
      <c r="O30" s="38" t="s">
        <v>235</v>
      </c>
      <c r="P30" s="38" t="s">
        <v>235</v>
      </c>
      <c r="Q30" s="38" t="n">
        <v>0</v>
      </c>
      <c r="R30" s="38" t="s">
        <v>489</v>
      </c>
      <c r="S30" s="38" t="s">
        <v>478</v>
      </c>
      <c r="T30" s="38" t="s">
        <v>490</v>
      </c>
      <c r="U30" s="38" t="s">
        <v>491</v>
      </c>
      <c r="V30" s="38" t="s">
        <v>492</v>
      </c>
      <c r="W30" s="42" t="n">
        <v>3</v>
      </c>
      <c r="X30" s="43" t="n">
        <v>0.25</v>
      </c>
      <c r="Y30" s="42" t="n">
        <v>3</v>
      </c>
      <c r="Z30" s="42" t="n">
        <v>12</v>
      </c>
      <c r="AA30" s="44" t="n">
        <f aca="false">IFERROR(ROUND(W30*X30*Y30*100/Z30,1),"")</f>
        <v>18.8</v>
      </c>
      <c r="AB30" s="45" t="str">
        <f aca="false">IF(AA30="","",IF(AA30&gt;=45,"1 - DO NOW",IF(AA30&gt;=20,"2 - PREPARE","3 - WATCH")))</f>
        <v>3 - WATCH</v>
      </c>
      <c r="AC30" s="42" t="s">
        <v>112</v>
      </c>
      <c r="AD30" s="42" t="s">
        <v>300</v>
      </c>
      <c r="AE30" s="42" t="s">
        <v>493</v>
      </c>
      <c r="AF30" s="46" t="n">
        <v>46356</v>
      </c>
      <c r="AG30" s="45" t="str">
        <f aca="false">IF(H30="","",H30-00_START_HERE!$C$6)</f>
        <v/>
      </c>
      <c r="AH30" s="45" t="str">
        <f aca="false">IF(H30="","NO FIXED DATE",IF(AG30&lt;0,"CLOSED",IF(AG30&lt;=30,"URGENT",IF(AG30&lt;=90,"APPROACHING","MONITOR"))))</f>
        <v>NO FIXED DATE</v>
      </c>
      <c r="AI30" s="43" t="n">
        <v>0.15</v>
      </c>
      <c r="AJ30" s="38" t="s">
        <v>494</v>
      </c>
      <c r="AK30" s="38" t="s">
        <v>190</v>
      </c>
      <c r="AL30" s="38" t="s">
        <v>495</v>
      </c>
      <c r="AM30" s="47" t="n">
        <f aca="false">IFERROR(AA30+ROW()/100000,0)</f>
        <v>18.8003</v>
      </c>
    </row>
    <row r="31" customFormat="false" ht="32.25" hidden="false" customHeight="true" outlineLevel="0" collapsed="false">
      <c r="A31" s="30" t="s">
        <v>496</v>
      </c>
      <c r="B31" s="38" t="s">
        <v>497</v>
      </c>
      <c r="C31" s="38" t="s">
        <v>498</v>
      </c>
      <c r="D31" s="38" t="s">
        <v>113</v>
      </c>
      <c r="E31" s="38" t="s">
        <v>124</v>
      </c>
      <c r="F31" s="38" t="s">
        <v>121</v>
      </c>
      <c r="G31" s="38" t="s">
        <v>462</v>
      </c>
      <c r="H31" s="39"/>
      <c r="I31" s="38" t="s">
        <v>499</v>
      </c>
      <c r="J31" s="40" t="n">
        <v>20000</v>
      </c>
      <c r="K31" s="40" t="n">
        <v>300000</v>
      </c>
      <c r="L31" s="38" t="s">
        <v>500</v>
      </c>
      <c r="M31" s="38" t="s">
        <v>180</v>
      </c>
      <c r="N31" s="41" t="n">
        <v>0</v>
      </c>
      <c r="O31" s="38" t="s">
        <v>235</v>
      </c>
      <c r="P31" s="38" t="s">
        <v>181</v>
      </c>
      <c r="Q31" s="38" t="n">
        <v>0</v>
      </c>
      <c r="R31" s="38" t="s">
        <v>501</v>
      </c>
      <c r="S31" s="38" t="s">
        <v>502</v>
      </c>
      <c r="T31" s="38" t="s">
        <v>503</v>
      </c>
      <c r="U31" s="38" t="s">
        <v>504</v>
      </c>
      <c r="V31" s="38" t="s">
        <v>505</v>
      </c>
      <c r="W31" s="42" t="n">
        <v>5</v>
      </c>
      <c r="X31" s="43" t="n">
        <v>0.3</v>
      </c>
      <c r="Y31" s="42" t="n">
        <v>5</v>
      </c>
      <c r="Z31" s="42" t="n">
        <v>30</v>
      </c>
      <c r="AA31" s="44" t="n">
        <f aca="false">IFERROR(ROUND(W31*X31*Y31*100/Z31,1),"")</f>
        <v>25</v>
      </c>
      <c r="AB31" s="45" t="str">
        <f aca="false">IF(AA31="","",IF(AA31&gt;=45,"1 - DO NOW",IF(AA31&gt;=20,"2 - PREPARE","3 - WATCH")))</f>
        <v>2 - PREPARE</v>
      </c>
      <c r="AC31" s="42" t="s">
        <v>95</v>
      </c>
      <c r="AD31" s="42" t="s">
        <v>365</v>
      </c>
      <c r="AE31" s="42" t="s">
        <v>506</v>
      </c>
      <c r="AF31" s="46" t="n">
        <v>46310</v>
      </c>
      <c r="AG31" s="45" t="str">
        <f aca="false">IF(H31="","",H31-00_START_HERE!$C$6)</f>
        <v/>
      </c>
      <c r="AH31" s="45" t="str">
        <f aca="false">IF(H31="","NO FIXED DATE",IF(AG31&lt;0,"CLOSED",IF(AG31&lt;=30,"URGENT",IF(AG31&lt;=90,"APPROACHING","MONITOR"))))</f>
        <v>NO FIXED DATE</v>
      </c>
      <c r="AI31" s="43" t="n">
        <v>0.35</v>
      </c>
      <c r="AJ31" s="38" t="s">
        <v>393</v>
      </c>
      <c r="AK31" s="38" t="s">
        <v>190</v>
      </c>
      <c r="AL31" s="38" t="s">
        <v>507</v>
      </c>
      <c r="AM31" s="47" t="n">
        <f aca="false">IFERROR(AA31+ROW()/100000,0)</f>
        <v>25.00031</v>
      </c>
    </row>
    <row r="32" customFormat="false" ht="32.25" hidden="false" customHeight="true" outlineLevel="0" collapsed="false">
      <c r="A32" s="30" t="s">
        <v>508</v>
      </c>
      <c r="B32" s="38" t="s">
        <v>509</v>
      </c>
      <c r="C32" s="38" t="s">
        <v>510</v>
      </c>
      <c r="D32" s="38" t="s">
        <v>113</v>
      </c>
      <c r="E32" s="38" t="s">
        <v>126</v>
      </c>
      <c r="F32" s="38" t="s">
        <v>125</v>
      </c>
      <c r="G32" s="38" t="s">
        <v>462</v>
      </c>
      <c r="H32" s="39"/>
      <c r="I32" s="38" t="s">
        <v>511</v>
      </c>
      <c r="J32" s="40" t="n">
        <v>10000</v>
      </c>
      <c r="K32" s="40" t="n">
        <v>200000</v>
      </c>
      <c r="L32" s="38" t="s">
        <v>512</v>
      </c>
      <c r="M32" s="38" t="s">
        <v>180</v>
      </c>
      <c r="N32" s="41" t="n">
        <v>0</v>
      </c>
      <c r="O32" s="38" t="s">
        <v>235</v>
      </c>
      <c r="P32" s="38" t="s">
        <v>181</v>
      </c>
      <c r="Q32" s="38" t="n">
        <v>0</v>
      </c>
      <c r="R32" s="38" t="s">
        <v>513</v>
      </c>
      <c r="S32" s="38" t="s">
        <v>514</v>
      </c>
      <c r="T32" s="38" t="s">
        <v>515</v>
      </c>
      <c r="U32" s="38" t="s">
        <v>516</v>
      </c>
      <c r="V32" s="38" t="s">
        <v>517</v>
      </c>
      <c r="W32" s="42" t="n">
        <v>3</v>
      </c>
      <c r="X32" s="43" t="n">
        <v>0.25</v>
      </c>
      <c r="Y32" s="42" t="n">
        <v>3</v>
      </c>
      <c r="Z32" s="42" t="n">
        <v>25</v>
      </c>
      <c r="AA32" s="44" t="n">
        <f aca="false">IFERROR(ROUND(W32*X32*Y32*100/Z32,1),"")</f>
        <v>9</v>
      </c>
      <c r="AB32" s="45" t="str">
        <f aca="false">IF(AA32="","",IF(AA32&gt;=45,"1 - DO NOW",IF(AA32&gt;=20,"2 - PREPARE","3 - WATCH")))</f>
        <v>3 - WATCH</v>
      </c>
      <c r="AC32" s="42" t="s">
        <v>95</v>
      </c>
      <c r="AD32" s="42" t="s">
        <v>276</v>
      </c>
      <c r="AE32" s="42" t="s">
        <v>518</v>
      </c>
      <c r="AF32" s="46" t="n">
        <v>46371</v>
      </c>
      <c r="AG32" s="45" t="str">
        <f aca="false">IF(H32="","",H32-00_START_HERE!$C$6)</f>
        <v/>
      </c>
      <c r="AH32" s="45" t="str">
        <f aca="false">IF(H32="","NO FIXED DATE",IF(AG32&lt;0,"CLOSED",IF(AG32&lt;=30,"URGENT",IF(AG32&lt;=90,"APPROACHING","MONITOR"))))</f>
        <v>NO FIXED DATE</v>
      </c>
      <c r="AI32" s="43" t="n">
        <v>0.25</v>
      </c>
      <c r="AJ32" s="38" t="s">
        <v>393</v>
      </c>
      <c r="AK32" s="38" t="s">
        <v>381</v>
      </c>
      <c r="AL32" s="38" t="s">
        <v>519</v>
      </c>
      <c r="AM32" s="47" t="n">
        <f aca="false">IFERROR(AA32+ROW()/100000,0)</f>
        <v>9.00032</v>
      </c>
    </row>
    <row r="33" customFormat="false" ht="42.75" hidden="false" customHeight="true" outlineLevel="0" collapsed="false">
      <c r="A33" s="30" t="s">
        <v>520</v>
      </c>
      <c r="B33" s="38" t="s">
        <v>521</v>
      </c>
      <c r="C33" s="38" t="s">
        <v>522</v>
      </c>
      <c r="D33" s="38" t="s">
        <v>105</v>
      </c>
      <c r="E33" s="38" t="s">
        <v>128</v>
      </c>
      <c r="F33" s="38" t="s">
        <v>121</v>
      </c>
      <c r="G33" s="38" t="s">
        <v>357</v>
      </c>
      <c r="H33" s="39"/>
      <c r="I33" s="38" t="s">
        <v>523</v>
      </c>
      <c r="J33" s="40" t="n">
        <v>50000</v>
      </c>
      <c r="K33" s="40" t="n">
        <v>100000</v>
      </c>
      <c r="L33" s="38" t="s">
        <v>524</v>
      </c>
      <c r="M33" s="38" t="s">
        <v>180</v>
      </c>
      <c r="N33" s="41" t="n">
        <v>0</v>
      </c>
      <c r="O33" s="38" t="s">
        <v>181</v>
      </c>
      <c r="P33" s="38" t="s">
        <v>181</v>
      </c>
      <c r="Q33" s="38" t="n">
        <v>0</v>
      </c>
      <c r="R33" s="38" t="s">
        <v>525</v>
      </c>
      <c r="S33" s="38" t="s">
        <v>526</v>
      </c>
      <c r="T33" s="38" t="s">
        <v>527</v>
      </c>
      <c r="U33" s="38" t="s">
        <v>528</v>
      </c>
      <c r="V33" s="38" t="s">
        <v>529</v>
      </c>
      <c r="W33" s="42" t="n">
        <v>3</v>
      </c>
      <c r="X33" s="43" t="n">
        <v>0.2</v>
      </c>
      <c r="Y33" s="42" t="n">
        <v>4</v>
      </c>
      <c r="Z33" s="42" t="n">
        <v>60</v>
      </c>
      <c r="AA33" s="44" t="n">
        <f aca="false">IFERROR(ROUND(W33*X33*Y33*100/Z33,1),"")</f>
        <v>4</v>
      </c>
      <c r="AB33" s="45" t="str">
        <f aca="false">IF(AA33="","",IF(AA33&gt;=45,"1 - DO NOW",IF(AA33&gt;=20,"2 - PREPARE","3 - WATCH")))</f>
        <v>3 - WATCH</v>
      </c>
      <c r="AC33" s="42" t="s">
        <v>95</v>
      </c>
      <c r="AD33" s="42" t="s">
        <v>530</v>
      </c>
      <c r="AE33" s="42" t="s">
        <v>531</v>
      </c>
      <c r="AF33" s="46" t="n">
        <v>46326</v>
      </c>
      <c r="AG33" s="45" t="str">
        <f aca="false">IF(H33="","",H33-00_START_HERE!$C$6)</f>
        <v/>
      </c>
      <c r="AH33" s="45" t="str">
        <f aca="false">IF(H33="","NO FIXED DATE",IF(AG33&lt;0,"CLOSED",IF(AG33&lt;=30,"URGENT",IF(AG33&lt;=90,"APPROACHING","MONITOR"))))</f>
        <v>NO FIXED DATE</v>
      </c>
      <c r="AI33" s="43" t="n">
        <v>0.25</v>
      </c>
      <c r="AJ33" s="38" t="s">
        <v>532</v>
      </c>
      <c r="AK33" s="38" t="s">
        <v>190</v>
      </c>
      <c r="AL33" s="38" t="s">
        <v>533</v>
      </c>
      <c r="AM33" s="47" t="n">
        <f aca="false">IFERROR(AA33+ROW()/100000,0)</f>
        <v>4.00033</v>
      </c>
    </row>
    <row r="34" customFormat="false" ht="32.25" hidden="false" customHeight="true" outlineLevel="0" collapsed="false">
      <c r="A34" s="30" t="s">
        <v>534</v>
      </c>
      <c r="B34" s="38" t="s">
        <v>535</v>
      </c>
      <c r="C34" s="38" t="s">
        <v>536</v>
      </c>
      <c r="D34" s="38" t="s">
        <v>105</v>
      </c>
      <c r="E34" s="38" t="s">
        <v>128</v>
      </c>
      <c r="F34" s="38" t="s">
        <v>121</v>
      </c>
      <c r="G34" s="38" t="s">
        <v>177</v>
      </c>
      <c r="H34" s="39"/>
      <c r="I34" s="38" t="s">
        <v>537</v>
      </c>
      <c r="J34" s="40" t="n">
        <v>100000</v>
      </c>
      <c r="K34" s="40" t="n">
        <v>200000</v>
      </c>
      <c r="L34" s="38" t="s">
        <v>538</v>
      </c>
      <c r="M34" s="38" t="s">
        <v>180</v>
      </c>
      <c r="N34" s="41" t="n">
        <v>0</v>
      </c>
      <c r="O34" s="38" t="s">
        <v>181</v>
      </c>
      <c r="P34" s="38" t="s">
        <v>181</v>
      </c>
      <c r="Q34" s="38" t="n">
        <v>2</v>
      </c>
      <c r="R34" s="38" t="s">
        <v>539</v>
      </c>
      <c r="S34" s="38" t="s">
        <v>540</v>
      </c>
      <c r="T34" s="38" t="s">
        <v>541</v>
      </c>
      <c r="U34" s="38" t="s">
        <v>542</v>
      </c>
      <c r="V34" s="38" t="s">
        <v>543</v>
      </c>
      <c r="W34" s="42" t="n">
        <v>3</v>
      </c>
      <c r="X34" s="43" t="n">
        <v>0.2</v>
      </c>
      <c r="Y34" s="42" t="n">
        <v>3</v>
      </c>
      <c r="Z34" s="42" t="n">
        <v>35</v>
      </c>
      <c r="AA34" s="44" t="n">
        <f aca="false">IFERROR(ROUND(W34*X34*Y34*100/Z34,1),"")</f>
        <v>5.1</v>
      </c>
      <c r="AB34" s="45" t="str">
        <f aca="false">IF(AA34="","",IF(AA34&gt;=45,"1 - DO NOW",IF(AA34&gt;=20,"2 - PREPARE","3 - WATCH")))</f>
        <v>3 - WATCH</v>
      </c>
      <c r="AC34" s="42" t="s">
        <v>95</v>
      </c>
      <c r="AD34" s="42" t="s">
        <v>530</v>
      </c>
      <c r="AE34" s="42" t="s">
        <v>544</v>
      </c>
      <c r="AF34" s="46" t="n">
        <v>46387</v>
      </c>
      <c r="AG34" s="45" t="str">
        <f aca="false">IF(H34="","",H34-00_START_HERE!$C$6)</f>
        <v/>
      </c>
      <c r="AH34" s="45" t="str">
        <f aca="false">IF(H34="","NO FIXED DATE",IF(AG34&lt;0,"CLOSED",IF(AG34&lt;=30,"URGENT",IF(AG34&lt;=90,"APPROACHING","MONITOR"))))</f>
        <v>NO FIXED DATE</v>
      </c>
      <c r="AI34" s="43" t="n">
        <v>0.3</v>
      </c>
      <c r="AJ34" s="38" t="s">
        <v>545</v>
      </c>
      <c r="AK34" s="38" t="s">
        <v>190</v>
      </c>
      <c r="AL34" s="38" t="s">
        <v>546</v>
      </c>
      <c r="AM34" s="47" t="n">
        <f aca="false">IFERROR(AA34+ROW()/100000,0)</f>
        <v>5.10034</v>
      </c>
    </row>
    <row r="35" customFormat="false" ht="32.25" hidden="false" customHeight="true" outlineLevel="0" collapsed="false">
      <c r="A35" s="30" t="s">
        <v>547</v>
      </c>
      <c r="B35" s="38" t="s">
        <v>548</v>
      </c>
      <c r="C35" s="38" t="s">
        <v>549</v>
      </c>
      <c r="D35" s="38" t="s">
        <v>105</v>
      </c>
      <c r="E35" s="38" t="s">
        <v>129</v>
      </c>
      <c r="F35" s="38" t="s">
        <v>121</v>
      </c>
      <c r="G35" s="38" t="s">
        <v>177</v>
      </c>
      <c r="H35" s="39"/>
      <c r="I35" s="38" t="s">
        <v>550</v>
      </c>
      <c r="J35" s="40" t="n">
        <v>0</v>
      </c>
      <c r="K35" s="40" t="n">
        <v>230000</v>
      </c>
      <c r="L35" s="38" t="s">
        <v>551</v>
      </c>
      <c r="M35" s="38" t="s">
        <v>180</v>
      </c>
      <c r="N35" s="41" t="n">
        <v>0</v>
      </c>
      <c r="O35" s="38" t="s">
        <v>181</v>
      </c>
      <c r="P35" s="38" t="s">
        <v>181</v>
      </c>
      <c r="Q35" s="38" t="n">
        <v>0</v>
      </c>
      <c r="R35" s="38" t="s">
        <v>539</v>
      </c>
      <c r="S35" s="38" t="s">
        <v>552</v>
      </c>
      <c r="T35" s="38" t="s">
        <v>553</v>
      </c>
      <c r="U35" s="38" t="s">
        <v>554</v>
      </c>
      <c r="V35" s="38" t="s">
        <v>555</v>
      </c>
      <c r="W35" s="42" t="n">
        <v>2</v>
      </c>
      <c r="X35" s="43" t="n">
        <v>0.1</v>
      </c>
      <c r="Y35" s="42" t="n">
        <v>3</v>
      </c>
      <c r="Z35" s="42" t="n">
        <v>40</v>
      </c>
      <c r="AA35" s="44" t="n">
        <f aca="false">IFERROR(ROUND(W35*X35*Y35*100/Z35,1),"")</f>
        <v>1.5</v>
      </c>
      <c r="AB35" s="45" t="str">
        <f aca="false">IF(AA35="","",IF(AA35&gt;=45,"1 - DO NOW",IF(AA35&gt;=20,"2 - PREPARE","3 - WATCH")))</f>
        <v>3 - WATCH</v>
      </c>
      <c r="AC35" s="42" t="s">
        <v>112</v>
      </c>
      <c r="AD35" s="42" t="s">
        <v>530</v>
      </c>
      <c r="AE35" s="42" t="s">
        <v>556</v>
      </c>
      <c r="AF35" s="46" t="n">
        <v>46446</v>
      </c>
      <c r="AG35" s="45" t="str">
        <f aca="false">IF(H35="","",H35-00_START_HERE!$C$6)</f>
        <v/>
      </c>
      <c r="AH35" s="45" t="str">
        <f aca="false">IF(H35="","NO FIXED DATE",IF(AG35&lt;0,"CLOSED",IF(AG35&lt;=30,"URGENT",IF(AG35&lt;=90,"APPROACHING","MONITOR"))))</f>
        <v>NO FIXED DATE</v>
      </c>
      <c r="AI35" s="43" t="n">
        <v>0.25</v>
      </c>
      <c r="AJ35" s="38" t="s">
        <v>557</v>
      </c>
      <c r="AK35" s="38" t="s">
        <v>190</v>
      </c>
      <c r="AL35" s="38" t="s">
        <v>558</v>
      </c>
      <c r="AM35" s="47" t="n">
        <f aca="false">IFERROR(AA35+ROW()/100000,0)</f>
        <v>1.50035</v>
      </c>
    </row>
    <row r="36" customFormat="false" ht="53.25" hidden="false" customHeight="true" outlineLevel="0" collapsed="false">
      <c r="A36" s="30" t="s">
        <v>559</v>
      </c>
      <c r="B36" s="38" t="s">
        <v>560</v>
      </c>
      <c r="C36" s="38" t="s">
        <v>561</v>
      </c>
      <c r="D36" s="38" t="s">
        <v>103</v>
      </c>
      <c r="E36" s="38" t="s">
        <v>128</v>
      </c>
      <c r="F36" s="38" t="s">
        <v>121</v>
      </c>
      <c r="G36" s="38" t="s">
        <v>357</v>
      </c>
      <c r="H36" s="39"/>
      <c r="I36" s="38" t="s">
        <v>562</v>
      </c>
      <c r="J36" s="40" t="n">
        <v>100000</v>
      </c>
      <c r="K36" s="40" t="n">
        <v>150000</v>
      </c>
      <c r="L36" s="38" t="s">
        <v>563</v>
      </c>
      <c r="M36" s="38" t="s">
        <v>180</v>
      </c>
      <c r="N36" s="41" t="n">
        <v>0</v>
      </c>
      <c r="O36" s="38" t="s">
        <v>181</v>
      </c>
      <c r="P36" s="38" t="s">
        <v>181</v>
      </c>
      <c r="Q36" s="38" t="n">
        <v>0</v>
      </c>
      <c r="R36" s="38" t="s">
        <v>564</v>
      </c>
      <c r="S36" s="38" t="s">
        <v>565</v>
      </c>
      <c r="T36" s="38" t="s">
        <v>566</v>
      </c>
      <c r="U36" s="38" t="s">
        <v>567</v>
      </c>
      <c r="V36" s="38" t="s">
        <v>568</v>
      </c>
      <c r="W36" s="42" t="n">
        <v>4</v>
      </c>
      <c r="X36" s="43" t="n">
        <v>0.15</v>
      </c>
      <c r="Y36" s="42" t="n">
        <v>5</v>
      </c>
      <c r="Z36" s="42" t="n">
        <v>35</v>
      </c>
      <c r="AA36" s="44" t="n">
        <f aca="false">IFERROR(ROUND(W36*X36*Y36*100/Z36,1),"")</f>
        <v>8.6</v>
      </c>
      <c r="AB36" s="45" t="str">
        <f aca="false">IF(AA36="","",IF(AA36&gt;=45,"1 - DO NOW",IF(AA36&gt;=20,"2 - PREPARE","3 - WATCH")))</f>
        <v>3 - WATCH</v>
      </c>
      <c r="AC36" s="42" t="s">
        <v>100</v>
      </c>
      <c r="AD36" s="42" t="s">
        <v>530</v>
      </c>
      <c r="AE36" s="42" t="s">
        <v>569</v>
      </c>
      <c r="AF36" s="46" t="n">
        <v>46266</v>
      </c>
      <c r="AG36" s="45" t="str">
        <f aca="false">IF(H36="","",H36-00_START_HERE!$C$6)</f>
        <v/>
      </c>
      <c r="AH36" s="45" t="str">
        <f aca="false">IF(H36="","NO FIXED DATE",IF(AG36&lt;0,"CLOSED",IF(AG36&lt;=30,"URGENT",IF(AG36&lt;=90,"APPROACHING","MONITOR"))))</f>
        <v>NO FIXED DATE</v>
      </c>
      <c r="AI36" s="43" t="n">
        <v>0.4</v>
      </c>
      <c r="AJ36" s="38" t="s">
        <v>570</v>
      </c>
      <c r="AK36" s="38" t="s">
        <v>190</v>
      </c>
      <c r="AL36" s="38" t="s">
        <v>571</v>
      </c>
      <c r="AM36" s="47" t="n">
        <f aca="false">IFERROR(AA36+ROW()/100000,0)</f>
        <v>8.60036</v>
      </c>
    </row>
    <row r="37" customFormat="false" ht="32.25" hidden="false" customHeight="true" outlineLevel="0" collapsed="false">
      <c r="A37" s="30" t="s">
        <v>572</v>
      </c>
      <c r="B37" s="38" t="s">
        <v>573</v>
      </c>
      <c r="C37" s="38" t="s">
        <v>574</v>
      </c>
      <c r="D37" s="38" t="s">
        <v>109</v>
      </c>
      <c r="E37" s="38" t="s">
        <v>126</v>
      </c>
      <c r="F37" s="38" t="s">
        <v>125</v>
      </c>
      <c r="G37" s="38" t="s">
        <v>462</v>
      </c>
      <c r="H37" s="39"/>
      <c r="I37" s="38" t="s">
        <v>575</v>
      </c>
      <c r="J37" s="40" t="n">
        <v>100000</v>
      </c>
      <c r="K37" s="40" t="n">
        <v>1000000</v>
      </c>
      <c r="L37" s="38" t="s">
        <v>576</v>
      </c>
      <c r="M37" s="38" t="s">
        <v>180</v>
      </c>
      <c r="N37" s="41" t="n">
        <v>0</v>
      </c>
      <c r="O37" s="38" t="s">
        <v>181</v>
      </c>
      <c r="P37" s="38" t="s">
        <v>181</v>
      </c>
      <c r="Q37" s="38" t="n">
        <v>0</v>
      </c>
      <c r="R37" s="38" t="s">
        <v>577</v>
      </c>
      <c r="S37" s="38" t="s">
        <v>578</v>
      </c>
      <c r="T37" s="38" t="s">
        <v>579</v>
      </c>
      <c r="U37" s="38" t="s">
        <v>580</v>
      </c>
      <c r="V37" s="38" t="s">
        <v>581</v>
      </c>
      <c r="W37" s="42" t="n">
        <v>5</v>
      </c>
      <c r="X37" s="43" t="n">
        <v>0.4</v>
      </c>
      <c r="Y37" s="42" t="n">
        <v>5</v>
      </c>
      <c r="Z37" s="42" t="n">
        <v>25</v>
      </c>
      <c r="AA37" s="44" t="n">
        <f aca="false">IFERROR(ROUND(W37*X37*Y37*100/Z37,1),"")</f>
        <v>40</v>
      </c>
      <c r="AB37" s="45" t="str">
        <f aca="false">IF(AA37="","",IF(AA37&gt;=45,"1 - DO NOW",IF(AA37&gt;=20,"2 - PREPARE","3 - WATCH")))</f>
        <v>2 - PREPARE</v>
      </c>
      <c r="AC37" s="42" t="s">
        <v>97</v>
      </c>
      <c r="AD37" s="42" t="s">
        <v>365</v>
      </c>
      <c r="AE37" s="42" t="s">
        <v>582</v>
      </c>
      <c r="AF37" s="46" t="n">
        <v>46266</v>
      </c>
      <c r="AG37" s="45" t="str">
        <f aca="false">IF(H37="","",H37-00_START_HERE!$C$6)</f>
        <v/>
      </c>
      <c r="AH37" s="45" t="str">
        <f aca="false">IF(H37="","NO FIXED DATE",IF(AG37&lt;0,"CLOSED",IF(AG37&lt;=30,"URGENT",IF(AG37&lt;=90,"APPROACHING","MONITOR"))))</f>
        <v>NO FIXED DATE</v>
      </c>
      <c r="AI37" s="43" t="n">
        <v>0.5</v>
      </c>
      <c r="AJ37" s="38" t="s">
        <v>432</v>
      </c>
      <c r="AK37" s="38" t="s">
        <v>190</v>
      </c>
      <c r="AL37" s="38" t="s">
        <v>583</v>
      </c>
      <c r="AM37" s="47" t="n">
        <f aca="false">IFERROR(AA37+ROW()/100000,0)</f>
        <v>40.00037</v>
      </c>
    </row>
    <row r="38" customFormat="false" ht="32.25" hidden="false" customHeight="true" outlineLevel="0" collapsed="false">
      <c r="A38" s="30" t="s">
        <v>584</v>
      </c>
      <c r="B38" s="38" t="s">
        <v>585</v>
      </c>
      <c r="C38" s="38" t="s">
        <v>586</v>
      </c>
      <c r="D38" s="38" t="s">
        <v>109</v>
      </c>
      <c r="E38" s="38" t="s">
        <v>124</v>
      </c>
      <c r="F38" s="38" t="s">
        <v>125</v>
      </c>
      <c r="G38" s="38" t="s">
        <v>462</v>
      </c>
      <c r="H38" s="39"/>
      <c r="I38" s="38" t="s">
        <v>587</v>
      </c>
      <c r="J38" s="40" t="n">
        <v>5000</v>
      </c>
      <c r="K38" s="40" t="n">
        <v>90000</v>
      </c>
      <c r="L38" s="38" t="s">
        <v>588</v>
      </c>
      <c r="M38" s="38" t="s">
        <v>180</v>
      </c>
      <c r="N38" s="41" t="n">
        <v>0</v>
      </c>
      <c r="O38" s="38" t="s">
        <v>181</v>
      </c>
      <c r="P38" s="38" t="s">
        <v>181</v>
      </c>
      <c r="Q38" s="38" t="n">
        <v>0</v>
      </c>
      <c r="R38" s="38" t="s">
        <v>589</v>
      </c>
      <c r="S38" s="38"/>
      <c r="T38" s="38" t="s">
        <v>590</v>
      </c>
      <c r="U38" s="38" t="s">
        <v>591</v>
      </c>
      <c r="V38" s="38" t="s">
        <v>592</v>
      </c>
      <c r="W38" s="42" t="n">
        <v>4</v>
      </c>
      <c r="X38" s="43" t="n">
        <v>0.45</v>
      </c>
      <c r="Y38" s="42" t="n">
        <v>4</v>
      </c>
      <c r="Z38" s="42" t="n">
        <v>15</v>
      </c>
      <c r="AA38" s="44" t="n">
        <f aca="false">IFERROR(ROUND(W38*X38*Y38*100/Z38,1),"")</f>
        <v>48</v>
      </c>
      <c r="AB38" s="45" t="str">
        <f aca="false">IF(AA38="","",IF(AA38&gt;=45,"1 - DO NOW",IF(AA38&gt;=20,"2 - PREPARE","3 - WATCH")))</f>
        <v>1 - DO NOW</v>
      </c>
      <c r="AC38" s="42" t="s">
        <v>97</v>
      </c>
      <c r="AD38" s="42" t="s">
        <v>365</v>
      </c>
      <c r="AE38" s="42" t="s">
        <v>593</v>
      </c>
      <c r="AF38" s="46" t="n">
        <v>46265</v>
      </c>
      <c r="AG38" s="45" t="str">
        <f aca="false">IF(H38="","",H38-00_START_HERE!$C$6)</f>
        <v/>
      </c>
      <c r="AH38" s="45" t="str">
        <f aca="false">IF(H38="","NO FIXED DATE",IF(AG38&lt;0,"CLOSED",IF(AG38&lt;=30,"URGENT",IF(AG38&lt;=90,"APPROACHING","MONITOR"))))</f>
        <v>NO FIXED DATE</v>
      </c>
      <c r="AI38" s="43" t="n">
        <v>0.5</v>
      </c>
      <c r="AJ38" s="38" t="s">
        <v>432</v>
      </c>
      <c r="AK38" s="38" t="s">
        <v>594</v>
      </c>
      <c r="AL38" s="38" t="s">
        <v>595</v>
      </c>
      <c r="AM38" s="47" t="n">
        <f aca="false">IFERROR(AA38+ROW()/100000,0)</f>
        <v>48.00038</v>
      </c>
    </row>
    <row r="39" customFormat="false" ht="21.75" hidden="false" customHeight="true" outlineLevel="0" collapsed="false">
      <c r="A39" s="30" t="s">
        <v>596</v>
      </c>
      <c r="B39" s="38" t="s">
        <v>597</v>
      </c>
      <c r="C39" s="38" t="s">
        <v>598</v>
      </c>
      <c r="D39" s="38" t="s">
        <v>109</v>
      </c>
      <c r="E39" s="38" t="s">
        <v>122</v>
      </c>
      <c r="F39" s="38" t="s">
        <v>125</v>
      </c>
      <c r="G39" s="38" t="s">
        <v>462</v>
      </c>
      <c r="H39" s="39"/>
      <c r="I39" s="38" t="s">
        <v>245</v>
      </c>
      <c r="J39" s="40" t="n">
        <v>5000</v>
      </c>
      <c r="K39" s="40" t="n">
        <v>60000</v>
      </c>
      <c r="L39" s="38" t="s">
        <v>599</v>
      </c>
      <c r="M39" s="38" t="s">
        <v>180</v>
      </c>
      <c r="N39" s="41" t="n">
        <v>0</v>
      </c>
      <c r="O39" s="38" t="s">
        <v>181</v>
      </c>
      <c r="P39" s="38" t="s">
        <v>181</v>
      </c>
      <c r="Q39" s="38" t="n">
        <v>0</v>
      </c>
      <c r="R39" s="38" t="s">
        <v>600</v>
      </c>
      <c r="S39" s="38"/>
      <c r="T39" s="38" t="s">
        <v>590</v>
      </c>
      <c r="U39" s="38" t="s">
        <v>601</v>
      </c>
      <c r="V39" s="38" t="s">
        <v>602</v>
      </c>
      <c r="W39" s="42" t="n">
        <v>3</v>
      </c>
      <c r="X39" s="43" t="n">
        <v>0.35</v>
      </c>
      <c r="Y39" s="42" t="n">
        <v>3</v>
      </c>
      <c r="Z39" s="42" t="n">
        <v>12</v>
      </c>
      <c r="AA39" s="44" t="n">
        <f aca="false">IFERROR(ROUND(W39*X39*Y39*100/Z39,1),"")</f>
        <v>26.3</v>
      </c>
      <c r="AB39" s="45" t="str">
        <f aca="false">IF(AA39="","",IF(AA39&gt;=45,"1 - DO NOW",IF(AA39&gt;=20,"2 - PREPARE","3 - WATCH")))</f>
        <v>2 - PREPARE</v>
      </c>
      <c r="AC39" s="42" t="s">
        <v>95</v>
      </c>
      <c r="AD39" s="42" t="s">
        <v>276</v>
      </c>
      <c r="AE39" s="42" t="s">
        <v>603</v>
      </c>
      <c r="AF39" s="46" t="n">
        <v>46326</v>
      </c>
      <c r="AG39" s="45" t="str">
        <f aca="false">IF(H39="","",H39-00_START_HERE!$C$6)</f>
        <v/>
      </c>
      <c r="AH39" s="45" t="str">
        <f aca="false">IF(H39="","NO FIXED DATE",IF(AG39&lt;0,"CLOSED",IF(AG39&lt;=30,"URGENT",IF(AG39&lt;=90,"APPROACHING","MONITOR"))))</f>
        <v>NO FIXED DATE</v>
      </c>
      <c r="AI39" s="43" t="n">
        <v>0.4</v>
      </c>
      <c r="AJ39" s="38" t="s">
        <v>604</v>
      </c>
      <c r="AK39" s="38" t="s">
        <v>594</v>
      </c>
      <c r="AL39" s="38" t="s">
        <v>605</v>
      </c>
      <c r="AM39" s="47" t="n">
        <f aca="false">IFERROR(AA39+ROW()/100000,0)</f>
        <v>26.30039</v>
      </c>
    </row>
    <row r="40" customFormat="false" ht="42.75" hidden="false" customHeight="true" outlineLevel="0" collapsed="false">
      <c r="A40" s="30" t="s">
        <v>606</v>
      </c>
      <c r="B40" s="38" t="s">
        <v>607</v>
      </c>
      <c r="C40" s="38" t="s">
        <v>608</v>
      </c>
      <c r="D40" s="38" t="s">
        <v>113</v>
      </c>
      <c r="E40" s="38" t="s">
        <v>124</v>
      </c>
      <c r="F40" s="38" t="s">
        <v>121</v>
      </c>
      <c r="G40" s="38" t="s">
        <v>462</v>
      </c>
      <c r="H40" s="39"/>
      <c r="I40" s="38" t="s">
        <v>609</v>
      </c>
      <c r="J40" s="40" t="n">
        <v>10000</v>
      </c>
      <c r="K40" s="40" t="n">
        <v>150000</v>
      </c>
      <c r="L40" s="38" t="s">
        <v>610</v>
      </c>
      <c r="M40" s="38" t="s">
        <v>180</v>
      </c>
      <c r="N40" s="41" t="n">
        <v>0</v>
      </c>
      <c r="O40" s="38" t="s">
        <v>235</v>
      </c>
      <c r="P40" s="38" t="s">
        <v>181</v>
      </c>
      <c r="Q40" s="38" t="n">
        <v>0</v>
      </c>
      <c r="R40" s="38" t="s">
        <v>611</v>
      </c>
      <c r="S40" s="38" t="s">
        <v>612</v>
      </c>
      <c r="T40" s="38" t="s">
        <v>613</v>
      </c>
      <c r="U40" s="38" t="s">
        <v>614</v>
      </c>
      <c r="V40" s="38" t="s">
        <v>615</v>
      </c>
      <c r="W40" s="42" t="n">
        <v>4</v>
      </c>
      <c r="X40" s="43" t="n">
        <v>0.3</v>
      </c>
      <c r="Y40" s="42" t="n">
        <v>4</v>
      </c>
      <c r="Z40" s="42" t="n">
        <v>25</v>
      </c>
      <c r="AA40" s="44" t="n">
        <f aca="false">IFERROR(ROUND(W40*X40*Y40*100/Z40,1),"")</f>
        <v>19.2</v>
      </c>
      <c r="AB40" s="45" t="str">
        <f aca="false">IF(AA40="","",IF(AA40&gt;=45,"1 - DO NOW",IF(AA40&gt;=20,"2 - PREPARE","3 - WATCH")))</f>
        <v>3 - WATCH</v>
      </c>
      <c r="AC40" s="42" t="s">
        <v>95</v>
      </c>
      <c r="AD40" s="42" t="s">
        <v>276</v>
      </c>
      <c r="AE40" s="42" t="s">
        <v>616</v>
      </c>
      <c r="AF40" s="46" t="n">
        <v>46356</v>
      </c>
      <c r="AG40" s="45" t="str">
        <f aca="false">IF(H40="","",H40-00_START_HERE!$C$6)</f>
        <v/>
      </c>
      <c r="AH40" s="45" t="str">
        <f aca="false">IF(H40="","NO FIXED DATE",IF(AG40&lt;0,"CLOSED",IF(AG40&lt;=30,"URGENT",IF(AG40&lt;=90,"APPROACHING","MONITOR"))))</f>
        <v>NO FIXED DATE</v>
      </c>
      <c r="AI40" s="43" t="n">
        <v>0.3</v>
      </c>
      <c r="AJ40" s="38" t="s">
        <v>617</v>
      </c>
      <c r="AK40" s="38" t="s">
        <v>190</v>
      </c>
      <c r="AL40" s="38" t="s">
        <v>618</v>
      </c>
      <c r="AM40" s="47" t="n">
        <f aca="false">IFERROR(AA40+ROW()/100000,0)</f>
        <v>19.2004</v>
      </c>
    </row>
    <row r="41" customFormat="false" ht="32.25" hidden="false" customHeight="true" outlineLevel="0" collapsed="false">
      <c r="A41" s="30" t="s">
        <v>619</v>
      </c>
      <c r="B41" s="38" t="s">
        <v>620</v>
      </c>
      <c r="C41" s="38" t="s">
        <v>621</v>
      </c>
      <c r="D41" s="38" t="s">
        <v>96</v>
      </c>
      <c r="E41" s="38" t="s">
        <v>120</v>
      </c>
      <c r="F41" s="38" t="s">
        <v>121</v>
      </c>
      <c r="G41" s="38" t="s">
        <v>177</v>
      </c>
      <c r="H41" s="39"/>
      <c r="I41" s="38" t="s">
        <v>622</v>
      </c>
      <c r="J41" s="40" t="n">
        <v>10000</v>
      </c>
      <c r="K41" s="40" t="n">
        <v>200000</v>
      </c>
      <c r="L41" s="38" t="s">
        <v>623</v>
      </c>
      <c r="M41" s="38" t="s">
        <v>310</v>
      </c>
      <c r="N41" s="41" t="n">
        <v>0</v>
      </c>
      <c r="O41" s="38" t="s">
        <v>181</v>
      </c>
      <c r="P41" s="38" t="s">
        <v>181</v>
      </c>
      <c r="Q41" s="38" t="n">
        <v>0</v>
      </c>
      <c r="R41" s="38" t="s">
        <v>624</v>
      </c>
      <c r="S41" s="38" t="s">
        <v>625</v>
      </c>
      <c r="T41" s="38" t="s">
        <v>626</v>
      </c>
      <c r="U41" s="38" t="s">
        <v>627</v>
      </c>
      <c r="V41" s="38" t="s">
        <v>628</v>
      </c>
      <c r="W41" s="42" t="n">
        <v>3</v>
      </c>
      <c r="X41" s="43" t="n">
        <v>0.25</v>
      </c>
      <c r="Y41" s="42" t="n">
        <v>3</v>
      </c>
      <c r="Z41" s="42" t="n">
        <v>20</v>
      </c>
      <c r="AA41" s="44" t="n">
        <f aca="false">IFERROR(ROUND(W41*X41*Y41*100/Z41,1),"")</f>
        <v>11.3</v>
      </c>
      <c r="AB41" s="45" t="str">
        <f aca="false">IF(AA41="","",IF(AA41&gt;=45,"1 - DO NOW",IF(AA41&gt;=20,"2 - PREPARE","3 - WATCH")))</f>
        <v>3 - WATCH</v>
      </c>
      <c r="AC41" s="42" t="s">
        <v>95</v>
      </c>
      <c r="AD41" s="42" t="s">
        <v>215</v>
      </c>
      <c r="AE41" s="42" t="s">
        <v>629</v>
      </c>
      <c r="AF41" s="46" t="n">
        <v>46356</v>
      </c>
      <c r="AG41" s="45" t="str">
        <f aca="false">IF(H41="","",H41-00_START_HERE!$C$6)</f>
        <v/>
      </c>
      <c r="AH41" s="45" t="str">
        <f aca="false">IF(H41="","NO FIXED DATE",IF(AG41&lt;0,"CLOSED",IF(AG41&lt;=30,"URGENT",IF(AG41&lt;=90,"APPROACHING","MONITOR"))))</f>
        <v>NO FIXED DATE</v>
      </c>
      <c r="AI41" s="43" t="n">
        <v>0.3</v>
      </c>
      <c r="AJ41" s="38" t="s">
        <v>630</v>
      </c>
      <c r="AK41" s="38" t="s">
        <v>381</v>
      </c>
      <c r="AL41" s="38" t="s">
        <v>631</v>
      </c>
      <c r="AM41" s="47" t="n">
        <f aca="false">IFERROR(AA41+ROW()/100000,0)</f>
        <v>11.30041</v>
      </c>
    </row>
    <row r="42" customFormat="false" ht="21.75" hidden="false" customHeight="true" outlineLevel="0" collapsed="false">
      <c r="A42" s="30" t="s">
        <v>632</v>
      </c>
      <c r="B42" s="38" t="s">
        <v>633</v>
      </c>
      <c r="C42" s="38" t="s">
        <v>634</v>
      </c>
      <c r="D42" s="38" t="s">
        <v>113</v>
      </c>
      <c r="E42" s="38" t="s">
        <v>120</v>
      </c>
      <c r="F42" s="38" t="s">
        <v>121</v>
      </c>
      <c r="G42" s="38" t="s">
        <v>462</v>
      </c>
      <c r="H42" s="39"/>
      <c r="I42" s="38" t="s">
        <v>635</v>
      </c>
      <c r="J42" s="40" t="n">
        <v>10000</v>
      </c>
      <c r="K42" s="40" t="n">
        <v>150000</v>
      </c>
      <c r="L42" s="38" t="s">
        <v>636</v>
      </c>
      <c r="M42" s="38" t="s">
        <v>310</v>
      </c>
      <c r="N42" s="41" t="n">
        <v>0</v>
      </c>
      <c r="O42" s="38" t="s">
        <v>235</v>
      </c>
      <c r="P42" s="38" t="s">
        <v>181</v>
      </c>
      <c r="Q42" s="38" t="n">
        <v>0</v>
      </c>
      <c r="R42" s="38" t="s">
        <v>637</v>
      </c>
      <c r="S42" s="38"/>
      <c r="T42" s="38" t="s">
        <v>638</v>
      </c>
      <c r="U42" s="38" t="s">
        <v>627</v>
      </c>
      <c r="V42" s="38" t="s">
        <v>639</v>
      </c>
      <c r="W42" s="42" t="n">
        <v>3</v>
      </c>
      <c r="X42" s="43" t="n">
        <v>0.25</v>
      </c>
      <c r="Y42" s="42" t="n">
        <v>3</v>
      </c>
      <c r="Z42" s="42" t="n">
        <v>20</v>
      </c>
      <c r="AA42" s="44" t="n">
        <f aca="false">IFERROR(ROUND(W42*X42*Y42*100/Z42,1),"")</f>
        <v>11.3</v>
      </c>
      <c r="AB42" s="45" t="str">
        <f aca="false">IF(AA42="","",IF(AA42&gt;=45,"1 - DO NOW",IF(AA42&gt;=20,"2 - PREPARE","3 - WATCH")))</f>
        <v>3 - WATCH</v>
      </c>
      <c r="AC42" s="42" t="s">
        <v>95</v>
      </c>
      <c r="AD42" s="42" t="s">
        <v>215</v>
      </c>
      <c r="AE42" s="42" t="s">
        <v>640</v>
      </c>
      <c r="AF42" s="46" t="n">
        <v>46371</v>
      </c>
      <c r="AG42" s="45" t="str">
        <f aca="false">IF(H42="","",H42-00_START_HERE!$C$6)</f>
        <v/>
      </c>
      <c r="AH42" s="45" t="str">
        <f aca="false">IF(H42="","NO FIXED DATE",IF(AG42&lt;0,"CLOSED",IF(AG42&lt;=30,"URGENT",IF(AG42&lt;=90,"APPROACHING","MONITOR"))))</f>
        <v>NO FIXED DATE</v>
      </c>
      <c r="AI42" s="43" t="n">
        <v>0.3</v>
      </c>
      <c r="AJ42" s="38" t="s">
        <v>641</v>
      </c>
      <c r="AK42" s="38" t="s">
        <v>594</v>
      </c>
      <c r="AL42" s="38" t="s">
        <v>642</v>
      </c>
      <c r="AM42" s="47" t="n">
        <f aca="false">IFERROR(AA42+ROW()/100000,0)</f>
        <v>11.30042</v>
      </c>
    </row>
    <row r="43" customFormat="false" ht="21.75" hidden="false" customHeight="true" outlineLevel="0" collapsed="false">
      <c r="A43" s="30" t="s">
        <v>643</v>
      </c>
      <c r="B43" s="38" t="s">
        <v>644</v>
      </c>
      <c r="C43" s="38" t="s">
        <v>645</v>
      </c>
      <c r="D43" s="38" t="s">
        <v>96</v>
      </c>
      <c r="E43" s="38" t="s">
        <v>120</v>
      </c>
      <c r="F43" s="38" t="s">
        <v>121</v>
      </c>
      <c r="G43" s="38" t="s">
        <v>177</v>
      </c>
      <c r="H43" s="39"/>
      <c r="I43" s="38" t="s">
        <v>646</v>
      </c>
      <c r="J43" s="40" t="n">
        <v>10000</v>
      </c>
      <c r="K43" s="40" t="n">
        <v>300000</v>
      </c>
      <c r="L43" s="38" t="s">
        <v>623</v>
      </c>
      <c r="M43" s="38" t="s">
        <v>647</v>
      </c>
      <c r="N43" s="41" t="n">
        <v>0</v>
      </c>
      <c r="O43" s="38" t="s">
        <v>181</v>
      </c>
      <c r="P43" s="38" t="s">
        <v>181</v>
      </c>
      <c r="Q43" s="38" t="n">
        <v>0</v>
      </c>
      <c r="R43" s="38" t="s">
        <v>648</v>
      </c>
      <c r="S43" s="38" t="s">
        <v>649</v>
      </c>
      <c r="T43" s="38" t="s">
        <v>650</v>
      </c>
      <c r="U43" s="38" t="s">
        <v>651</v>
      </c>
      <c r="V43" s="38" t="s">
        <v>652</v>
      </c>
      <c r="W43" s="42" t="n">
        <v>2</v>
      </c>
      <c r="X43" s="43" t="n">
        <v>0.15</v>
      </c>
      <c r="Y43" s="42" t="n">
        <v>3</v>
      </c>
      <c r="Z43" s="42" t="n">
        <v>25</v>
      </c>
      <c r="AA43" s="44" t="n">
        <f aca="false">IFERROR(ROUND(W43*X43*Y43*100/Z43,1),"")</f>
        <v>3.6</v>
      </c>
      <c r="AB43" s="45" t="str">
        <f aca="false">IF(AA43="","",IF(AA43&gt;=45,"1 - DO NOW",IF(AA43&gt;=20,"2 - PREPARE","3 - WATCH")))</f>
        <v>3 - WATCH</v>
      </c>
      <c r="AC43" s="42" t="s">
        <v>95</v>
      </c>
      <c r="AD43" s="42" t="s">
        <v>215</v>
      </c>
      <c r="AE43" s="42" t="s">
        <v>653</v>
      </c>
      <c r="AF43" s="46" t="n">
        <v>46418</v>
      </c>
      <c r="AG43" s="45" t="str">
        <f aca="false">IF(H43="","",H43-00_START_HERE!$C$6)</f>
        <v/>
      </c>
      <c r="AH43" s="45" t="str">
        <f aca="false">IF(H43="","NO FIXED DATE",IF(AG43&lt;0,"CLOSED",IF(AG43&lt;=30,"URGENT",IF(AG43&lt;=90,"APPROACHING","MONITOR"))))</f>
        <v>NO FIXED DATE</v>
      </c>
      <c r="AI43" s="43" t="n">
        <v>0.25</v>
      </c>
      <c r="AJ43" s="38" t="s">
        <v>654</v>
      </c>
      <c r="AK43" s="38" t="s">
        <v>190</v>
      </c>
      <c r="AL43" s="38" t="s">
        <v>655</v>
      </c>
      <c r="AM43" s="47" t="n">
        <f aca="false">IFERROR(AA43+ROW()/100000,0)</f>
        <v>3.60043</v>
      </c>
    </row>
    <row r="44" customFormat="false" ht="42.75" hidden="false" customHeight="true" outlineLevel="0" collapsed="false">
      <c r="A44" s="30" t="s">
        <v>656</v>
      </c>
      <c r="B44" s="38" t="s">
        <v>657</v>
      </c>
      <c r="C44" s="38" t="s">
        <v>658</v>
      </c>
      <c r="D44" s="38" t="s">
        <v>96</v>
      </c>
      <c r="E44" s="38" t="s">
        <v>120</v>
      </c>
      <c r="F44" s="38" t="s">
        <v>121</v>
      </c>
      <c r="G44" s="38" t="s">
        <v>177</v>
      </c>
      <c r="H44" s="39"/>
      <c r="I44" s="38" t="s">
        <v>659</v>
      </c>
      <c r="J44" s="40" t="n">
        <v>1000</v>
      </c>
      <c r="K44" s="40" t="n">
        <v>60000</v>
      </c>
      <c r="L44" s="38" t="s">
        <v>660</v>
      </c>
      <c r="M44" s="38" t="s">
        <v>180</v>
      </c>
      <c r="N44" s="41" t="n">
        <v>0</v>
      </c>
      <c r="O44" s="38" t="s">
        <v>181</v>
      </c>
      <c r="P44" s="38" t="s">
        <v>181</v>
      </c>
      <c r="Q44" s="38" t="n">
        <v>0</v>
      </c>
      <c r="R44" s="38" t="s">
        <v>661</v>
      </c>
      <c r="S44" s="38"/>
      <c r="T44" s="38" t="s">
        <v>662</v>
      </c>
      <c r="U44" s="38" t="s">
        <v>663</v>
      </c>
      <c r="V44" s="38" t="s">
        <v>664</v>
      </c>
      <c r="W44" s="42" t="n">
        <v>5</v>
      </c>
      <c r="X44" s="43" t="n">
        <v>0.6</v>
      </c>
      <c r="Y44" s="42" t="n">
        <v>4</v>
      </c>
      <c r="Z44" s="42" t="n">
        <v>20</v>
      </c>
      <c r="AA44" s="44" t="n">
        <f aca="false">IFERROR(ROUND(W44*X44*Y44*100/Z44,1),"")</f>
        <v>60</v>
      </c>
      <c r="AB44" s="45" t="str">
        <f aca="false">IF(AA44="","",IF(AA44&gt;=45,"1 - DO NOW",IF(AA44&gt;=20,"2 - PREPARE","3 - WATCH")))</f>
        <v>1 - DO NOW</v>
      </c>
      <c r="AC44" s="42" t="s">
        <v>100</v>
      </c>
      <c r="AD44" s="42" t="s">
        <v>215</v>
      </c>
      <c r="AE44" s="42" t="s">
        <v>665</v>
      </c>
      <c r="AF44" s="46" t="n">
        <v>46272</v>
      </c>
      <c r="AG44" s="45" t="str">
        <f aca="false">IF(H44="","",H44-00_START_HERE!$C$6)</f>
        <v/>
      </c>
      <c r="AH44" s="45" t="str">
        <f aca="false">IF(H44="","NO FIXED DATE",IF(AG44&lt;0,"CLOSED",IF(AG44&lt;=30,"URGENT",IF(AG44&lt;=90,"APPROACHING","MONITOR"))))</f>
        <v>NO FIXED DATE</v>
      </c>
      <c r="AI44" s="43" t="n">
        <v>0.4</v>
      </c>
      <c r="AJ44" s="38" t="s">
        <v>666</v>
      </c>
      <c r="AK44" s="38" t="s">
        <v>594</v>
      </c>
      <c r="AL44" s="38" t="s">
        <v>667</v>
      </c>
      <c r="AM44" s="47" t="n">
        <f aca="false">IFERROR(AA44+ROW()/100000,0)</f>
        <v>60.00044</v>
      </c>
    </row>
    <row r="45" customFormat="false" ht="32.25" hidden="false" customHeight="true" outlineLevel="0" collapsed="false">
      <c r="A45" s="30" t="s">
        <v>668</v>
      </c>
      <c r="B45" s="38" t="s">
        <v>669</v>
      </c>
      <c r="C45" s="38" t="s">
        <v>670</v>
      </c>
      <c r="D45" s="38" t="s">
        <v>113</v>
      </c>
      <c r="E45" s="38" t="s">
        <v>120</v>
      </c>
      <c r="F45" s="38" t="s">
        <v>121</v>
      </c>
      <c r="G45" s="38" t="s">
        <v>177</v>
      </c>
      <c r="H45" s="39"/>
      <c r="I45" s="38" t="s">
        <v>671</v>
      </c>
      <c r="J45" s="40" t="n">
        <v>5000</v>
      </c>
      <c r="K45" s="40" t="n">
        <v>200000</v>
      </c>
      <c r="L45" s="38" t="s">
        <v>672</v>
      </c>
      <c r="M45" s="38" t="s">
        <v>180</v>
      </c>
      <c r="N45" s="41" t="n">
        <v>0</v>
      </c>
      <c r="O45" s="38" t="s">
        <v>235</v>
      </c>
      <c r="P45" s="38" t="s">
        <v>181</v>
      </c>
      <c r="Q45" s="38" t="n">
        <v>0</v>
      </c>
      <c r="R45" s="38" t="s">
        <v>673</v>
      </c>
      <c r="S45" s="38"/>
      <c r="T45" s="38" t="s">
        <v>674</v>
      </c>
      <c r="U45" s="38" t="s">
        <v>675</v>
      </c>
      <c r="V45" s="38" t="s">
        <v>676</v>
      </c>
      <c r="W45" s="42" t="n">
        <v>3</v>
      </c>
      <c r="X45" s="43" t="n">
        <v>0.25</v>
      </c>
      <c r="Y45" s="42" t="n">
        <v>3</v>
      </c>
      <c r="Z45" s="42" t="n">
        <v>18</v>
      </c>
      <c r="AA45" s="44" t="n">
        <f aca="false">IFERROR(ROUND(W45*X45*Y45*100/Z45,1),"")</f>
        <v>12.5</v>
      </c>
      <c r="AB45" s="45" t="str">
        <f aca="false">IF(AA45="","",IF(AA45&gt;=45,"1 - DO NOW",IF(AA45&gt;=20,"2 - PREPARE","3 - WATCH")))</f>
        <v>3 - WATCH</v>
      </c>
      <c r="AC45" s="42" t="s">
        <v>95</v>
      </c>
      <c r="AD45" s="42" t="s">
        <v>215</v>
      </c>
      <c r="AE45" s="42" t="s">
        <v>677</v>
      </c>
      <c r="AF45" s="46" t="n">
        <v>46387</v>
      </c>
      <c r="AG45" s="45" t="str">
        <f aca="false">IF(H45="","",H45-00_START_HERE!$C$6)</f>
        <v/>
      </c>
      <c r="AH45" s="45" t="str">
        <f aca="false">IF(H45="","NO FIXED DATE",IF(AG45&lt;0,"CLOSED",IF(AG45&lt;=30,"URGENT",IF(AG45&lt;=90,"APPROACHING","MONITOR"))))</f>
        <v>NO FIXED DATE</v>
      </c>
      <c r="AI45" s="43" t="n">
        <v>0.3</v>
      </c>
      <c r="AJ45" s="38" t="s">
        <v>678</v>
      </c>
      <c r="AK45" s="38" t="s">
        <v>594</v>
      </c>
      <c r="AL45" s="38" t="s">
        <v>679</v>
      </c>
      <c r="AM45" s="47" t="n">
        <f aca="false">IFERROR(AA45+ROW()/100000,0)</f>
        <v>12.50045</v>
      </c>
    </row>
    <row r="46" customFormat="false" ht="21.75" hidden="false" customHeight="true" outlineLevel="0" collapsed="false">
      <c r="A46" s="30" t="s">
        <v>680</v>
      </c>
      <c r="B46" s="38" t="s">
        <v>681</v>
      </c>
      <c r="C46" s="38" t="s">
        <v>682</v>
      </c>
      <c r="D46" s="38" t="s">
        <v>98</v>
      </c>
      <c r="E46" s="38" t="s">
        <v>124</v>
      </c>
      <c r="F46" s="38" t="s">
        <v>125</v>
      </c>
      <c r="G46" s="38" t="s">
        <v>462</v>
      </c>
      <c r="H46" s="39"/>
      <c r="I46" s="38" t="s">
        <v>683</v>
      </c>
      <c r="J46" s="40" t="n">
        <v>20000</v>
      </c>
      <c r="K46" s="40" t="n">
        <v>300000</v>
      </c>
      <c r="L46" s="38" t="s">
        <v>684</v>
      </c>
      <c r="M46" s="38" t="s">
        <v>180</v>
      </c>
      <c r="N46" s="41" t="n">
        <v>0</v>
      </c>
      <c r="O46" s="38" t="s">
        <v>235</v>
      </c>
      <c r="P46" s="38" t="s">
        <v>181</v>
      </c>
      <c r="Q46" s="38" t="n">
        <v>0</v>
      </c>
      <c r="R46" s="38" t="s">
        <v>685</v>
      </c>
      <c r="S46" s="38"/>
      <c r="T46" s="38" t="s">
        <v>686</v>
      </c>
      <c r="U46" s="38" t="s">
        <v>687</v>
      </c>
      <c r="V46" s="38" t="s">
        <v>688</v>
      </c>
      <c r="W46" s="42" t="n">
        <v>3</v>
      </c>
      <c r="X46" s="43" t="n">
        <v>0.2</v>
      </c>
      <c r="Y46" s="42" t="n">
        <v>3</v>
      </c>
      <c r="Z46" s="42" t="n">
        <v>25</v>
      </c>
      <c r="AA46" s="44" t="n">
        <f aca="false">IFERROR(ROUND(W46*X46*Y46*100/Z46,1),"")</f>
        <v>7.2</v>
      </c>
      <c r="AB46" s="45" t="str">
        <f aca="false">IF(AA46="","",IF(AA46&gt;=45,"1 - DO NOW",IF(AA46&gt;=20,"2 - PREPARE","3 - WATCH")))</f>
        <v>3 - WATCH</v>
      </c>
      <c r="AC46" s="42" t="s">
        <v>95</v>
      </c>
      <c r="AD46" s="42" t="s">
        <v>276</v>
      </c>
      <c r="AE46" s="42" t="s">
        <v>689</v>
      </c>
      <c r="AF46" s="46" t="n">
        <v>46418</v>
      </c>
      <c r="AG46" s="45" t="str">
        <f aca="false">IF(H46="","",H46-00_START_HERE!$C$6)</f>
        <v/>
      </c>
      <c r="AH46" s="45" t="str">
        <f aca="false">IF(H46="","NO FIXED DATE",IF(AG46&lt;0,"CLOSED",IF(AG46&lt;=30,"URGENT",IF(AG46&lt;=90,"APPROACHING","MONITOR"))))</f>
        <v>NO FIXED DATE</v>
      </c>
      <c r="AI46" s="43" t="n">
        <v>0.25</v>
      </c>
      <c r="AJ46" s="38" t="s">
        <v>690</v>
      </c>
      <c r="AK46" s="38" t="s">
        <v>691</v>
      </c>
      <c r="AL46" s="38" t="s">
        <v>692</v>
      </c>
      <c r="AM46" s="47" t="n">
        <f aca="false">IFERROR(AA46+ROW()/100000,0)</f>
        <v>7.20046</v>
      </c>
    </row>
    <row r="47" customFormat="false" ht="21.75" hidden="false" customHeight="true" outlineLevel="0" collapsed="false">
      <c r="A47" s="30" t="s">
        <v>693</v>
      </c>
      <c r="B47" s="38" t="s">
        <v>694</v>
      </c>
      <c r="C47" s="38" t="s">
        <v>695</v>
      </c>
      <c r="D47" s="38" t="s">
        <v>113</v>
      </c>
      <c r="E47" s="38" t="s">
        <v>124</v>
      </c>
      <c r="F47" s="38" t="s">
        <v>121</v>
      </c>
      <c r="G47" s="38" t="s">
        <v>462</v>
      </c>
      <c r="H47" s="39"/>
      <c r="I47" s="38" t="s">
        <v>696</v>
      </c>
      <c r="J47" s="40" t="n">
        <v>20000</v>
      </c>
      <c r="K47" s="40" t="n">
        <v>250000</v>
      </c>
      <c r="L47" s="38" t="s">
        <v>697</v>
      </c>
      <c r="M47" s="38" t="s">
        <v>180</v>
      </c>
      <c r="N47" s="41" t="n">
        <v>0</v>
      </c>
      <c r="O47" s="38" t="s">
        <v>235</v>
      </c>
      <c r="P47" s="38" t="s">
        <v>181</v>
      </c>
      <c r="Q47" s="38" t="n">
        <v>0</v>
      </c>
      <c r="R47" s="38" t="s">
        <v>698</v>
      </c>
      <c r="S47" s="38" t="s">
        <v>502</v>
      </c>
      <c r="T47" s="38" t="s">
        <v>699</v>
      </c>
      <c r="U47" s="38" t="s">
        <v>700</v>
      </c>
      <c r="V47" s="38" t="s">
        <v>701</v>
      </c>
      <c r="W47" s="42" t="n">
        <v>4</v>
      </c>
      <c r="X47" s="43" t="n">
        <v>0.3</v>
      </c>
      <c r="Y47" s="42" t="n">
        <v>4</v>
      </c>
      <c r="Z47" s="42" t="n">
        <v>25</v>
      </c>
      <c r="AA47" s="44" t="n">
        <f aca="false">IFERROR(ROUND(W47*X47*Y47*100/Z47,1),"")</f>
        <v>19.2</v>
      </c>
      <c r="AB47" s="45" t="str">
        <f aca="false">IF(AA47="","",IF(AA47&gt;=45,"1 - DO NOW",IF(AA47&gt;=20,"2 - PREPARE","3 - WATCH")))</f>
        <v>3 - WATCH</v>
      </c>
      <c r="AC47" s="42" t="s">
        <v>95</v>
      </c>
      <c r="AD47" s="42" t="s">
        <v>365</v>
      </c>
      <c r="AE47" s="42" t="s">
        <v>702</v>
      </c>
      <c r="AF47" s="46" t="n">
        <v>46326</v>
      </c>
      <c r="AG47" s="45" t="str">
        <f aca="false">IF(H47="","",H47-00_START_HERE!$C$6)</f>
        <v/>
      </c>
      <c r="AH47" s="45" t="str">
        <f aca="false">IF(H47="","NO FIXED DATE",IF(AG47&lt;0,"CLOSED",IF(AG47&lt;=30,"URGENT",IF(AG47&lt;=90,"APPROACHING","MONITOR"))))</f>
        <v>NO FIXED DATE</v>
      </c>
      <c r="AI47" s="43" t="n">
        <v>0.35</v>
      </c>
      <c r="AJ47" s="38" t="s">
        <v>393</v>
      </c>
      <c r="AK47" s="38" t="s">
        <v>190</v>
      </c>
      <c r="AL47" s="38" t="s">
        <v>703</v>
      </c>
      <c r="AM47" s="47" t="n">
        <f aca="false">IFERROR(AA47+ROW()/100000,0)</f>
        <v>19.20047</v>
      </c>
    </row>
    <row r="49" customFormat="false" ht="15" hidden="false" customHeight="true" outlineLevel="0" collapsed="false">
      <c r="A49" s="17" t="s">
        <v>704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customFormat="false" ht="1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</sheetData>
  <autoFilter ref="A5:AM47"/>
  <mergeCells count="4">
    <mergeCell ref="A1:AM1"/>
    <mergeCell ref="A2:AM2"/>
    <mergeCell ref="A3:AM3"/>
    <mergeCell ref="A49:L50"/>
  </mergeCells>
  <conditionalFormatting sqref="AB6:AB47">
    <cfRule type="cellIs" priority="2" operator="equal" aboveAverage="0" equalAverage="0" bottom="0" percent="0" rank="0" text="" dxfId="39">
      <formula>"1 - DO NOW"</formula>
    </cfRule>
    <cfRule type="cellIs" priority="3" operator="equal" aboveAverage="0" equalAverage="0" bottom="0" percent="0" rank="0" text="" dxfId="40">
      <formula>"2 - PREPARE"</formula>
    </cfRule>
  </conditionalFormatting>
  <conditionalFormatting sqref="AH6:AH47">
    <cfRule type="cellIs" priority="4" operator="equal" aboveAverage="0" equalAverage="0" bottom="0" percent="0" rank="0" text="" dxfId="41">
      <formula>"URGENT"</formula>
    </cfRule>
    <cfRule type="cellIs" priority="5" operator="equal" aboveAverage="0" equalAverage="0" bottom="0" percent="0" rank="0" text="" dxfId="40">
      <formula>"APPROACHING"</formula>
    </cfRule>
    <cfRule type="cellIs" priority="6" operator="equal" aboveAverage="0" equalAverage="0" bottom="0" percent="0" rank="0" text="" dxfId="42">
      <formula>"CLOSED"</formula>
    </cfRule>
  </conditionalFormatting>
  <conditionalFormatting sqref="AA6:AA47">
    <cfRule type="colorScale" priority="7">
      <colorScale>
        <cfvo type="min" val="0"/>
        <cfvo type="percentile" val="50"/>
        <cfvo type="max" val="0"/>
        <color rgb="FFEAE4D6"/>
        <color rgb="FFF2E4BE"/>
        <color rgb="FF9FD4D4"/>
      </colorScale>
    </cfRule>
  </conditionalFormatting>
  <conditionalFormatting sqref="AI6:AI47">
    <cfRule type="colorScale" priority="8">
      <colorScale>
        <cfvo type="num" val="0"/>
        <cfvo type="num" val="0.5"/>
        <cfvo type="num" val="1"/>
        <color rgb="FFF7D5CD"/>
        <color rgb="FFF2E4BE"/>
        <color rgb="FFCFE6E6"/>
      </colorScale>
    </cfRule>
  </conditionalFormatting>
  <conditionalFormatting sqref="O6:P47">
    <cfRule type="cellIs" priority="9" operator="equal" aboveAverage="0" equalAverage="0" bottom="0" percent="0" rank="0" text="" dxfId="43">
      <formula>"No"</formula>
    </cfRule>
    <cfRule type="cellIs" priority="10" operator="equal" aboveAverage="0" equalAverage="0" bottom="0" percent="0" rank="0" text="" dxfId="44">
      <formula>"Yes"</formula>
    </cfRule>
  </conditionalFormatting>
  <dataValidations count="9">
    <dataValidation allowBlank="true" errorStyle="stop" operator="between" showDropDown="false" showErrorMessage="false" showInputMessage="false" sqref="D6:D47" type="list">
      <formula1>09_MASTER_LISTS!$A$6:$A$14</formula1>
      <formula2>0</formula2>
    </dataValidation>
    <dataValidation allowBlank="true" errorStyle="stop" operator="between" showDropDown="false" showErrorMessage="false" showInputMessage="false" sqref="E6:E47" type="list">
      <formula1>09_MASTER_LISTS!$B$6:$B$11</formula1>
      <formula2>0</formula2>
    </dataValidation>
    <dataValidation allowBlank="true" errorStyle="stop" operator="between" showDropDown="false" showErrorMessage="false" showInputMessage="false" sqref="F6:F47" type="list">
      <formula1>09_MASTER_LISTS!$C$6:$C$9</formula1>
      <formula2>0</formula2>
    </dataValidation>
    <dataValidation allowBlank="true" errorStyle="stop" operator="between" showDropDown="false" showErrorMessage="false" showInputMessage="false" sqref="G6:G47" type="list">
      <formula1>09_MASTER_LISTS!$D$6:$D$11</formula1>
      <formula2>0</formula2>
    </dataValidation>
    <dataValidation allowBlank="true" errorStyle="stop" operator="between" showDropDown="false" showErrorMessage="false" showInputMessage="false" sqref="AC6:AC47" type="list">
      <formula1>09_MASTER_LISTS!$E$6:$E$15</formula1>
      <formula2>0</formula2>
    </dataValidation>
    <dataValidation allowBlank="true" errorStyle="stop" operator="between" showDropDown="false" showErrorMessage="false" showInputMessage="false" sqref="AD6:AD47" type="list">
      <formula1>09_MASTER_LISTS!$F$6:$F$12</formula1>
      <formula2>0</formula2>
    </dataValidation>
    <dataValidation allowBlank="true" errorStyle="stop" operator="between" showDropDown="false" showErrorMessage="false" showInputMessage="false" sqref="O6:O47" type="list">
      <formula1>09_MASTER_LISTS!$G$6:$G$9</formula1>
      <formula2>0</formula2>
    </dataValidation>
    <dataValidation allowBlank="true" errorStyle="stop" operator="between" showDropDown="false" showErrorMessage="false" showInputMessage="false" sqref="P6:P47" type="list">
      <formula1>09_MASTER_LISTS!$G$6:$G$9</formula1>
      <formula2>0</formula2>
    </dataValidation>
    <dataValidation allowBlank="true" errorStyle="stop" operator="between" showDropDown="false" showErrorMessage="false" showInputMessage="false" sqref="AK6:AK47" type="list">
      <formula1>09_MASTER_LISTS!$H$6:$H$9</formula1>
      <formula2>0</formula2>
    </dataValidation>
  </dataValidation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02_OPPORTUNITY_REGISTER</oddHeader>
    <oddFooter>&amp;L&amp;7 INTERNAL - KAYAN CONFIDENTIAL&amp;R&amp;7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9A28"/>
    <pageSetUpPr fitToPage="true"/>
  </sheetPr>
  <dimension ref="A1:A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52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60"/>
  </cols>
  <sheetData>
    <row r="1" customFormat="false" ht="25.5" hidden="false" customHeight="true" outlineLevel="0" collapsed="false">
      <c r="A1" s="2" t="s">
        <v>705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706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1.5" hidden="false" customHeight="true" outlineLevel="0" collapsed="false">
      <c r="A5" s="23" t="s">
        <v>707</v>
      </c>
      <c r="B5" s="23" t="s">
        <v>708</v>
      </c>
      <c r="C5" s="23" t="s">
        <v>709</v>
      </c>
      <c r="D5" s="23" t="s">
        <v>710</v>
      </c>
      <c r="E5" s="23" t="s">
        <v>136</v>
      </c>
      <c r="F5" s="23" t="s">
        <v>711</v>
      </c>
      <c r="G5" s="23" t="s">
        <v>145</v>
      </c>
      <c r="H5" s="23" t="s">
        <v>712</v>
      </c>
      <c r="I5" s="23" t="s">
        <v>713</v>
      </c>
    </row>
    <row r="6" customFormat="false" ht="21.75" hidden="false" customHeight="true" outlineLevel="0" collapsed="false">
      <c r="A6" s="38" t="n">
        <v>1</v>
      </c>
      <c r="B6" s="38" t="s">
        <v>714</v>
      </c>
      <c r="C6" s="38" t="s">
        <v>715</v>
      </c>
      <c r="D6" s="38" t="s">
        <v>174</v>
      </c>
      <c r="E6" s="38" t="s">
        <v>187</v>
      </c>
      <c r="F6" s="39" t="n">
        <v>46244</v>
      </c>
      <c r="G6" s="42" t="s">
        <v>716</v>
      </c>
      <c r="H6" s="38" t="s">
        <v>717</v>
      </c>
      <c r="I6" s="38" t="s">
        <v>718</v>
      </c>
    </row>
    <row r="7" customFormat="false" ht="21.75" hidden="false" customHeight="true" outlineLevel="0" collapsed="false">
      <c r="A7" s="48" t="n">
        <v>2</v>
      </c>
      <c r="B7" s="48" t="s">
        <v>714</v>
      </c>
      <c r="C7" s="48" t="s">
        <v>719</v>
      </c>
      <c r="D7" s="48" t="s">
        <v>174</v>
      </c>
      <c r="E7" s="48" t="s">
        <v>187</v>
      </c>
      <c r="F7" s="49" t="n">
        <v>46244</v>
      </c>
      <c r="G7" s="42" t="s">
        <v>716</v>
      </c>
      <c r="H7" s="48" t="s">
        <v>720</v>
      </c>
      <c r="I7" s="48" t="s">
        <v>721</v>
      </c>
    </row>
    <row r="8" customFormat="false" ht="21.75" hidden="false" customHeight="true" outlineLevel="0" collapsed="false">
      <c r="A8" s="38" t="n">
        <v>3</v>
      </c>
      <c r="B8" s="38" t="s">
        <v>714</v>
      </c>
      <c r="C8" s="38" t="s">
        <v>722</v>
      </c>
      <c r="D8" s="38" t="s">
        <v>328</v>
      </c>
      <c r="E8" s="38" t="s">
        <v>187</v>
      </c>
      <c r="F8" s="39" t="n">
        <v>46258</v>
      </c>
      <c r="G8" s="42" t="s">
        <v>716</v>
      </c>
      <c r="H8" s="38" t="s">
        <v>717</v>
      </c>
      <c r="I8" s="38" t="s">
        <v>723</v>
      </c>
    </row>
    <row r="9" customFormat="false" ht="15" hidden="false" customHeight="true" outlineLevel="0" collapsed="false">
      <c r="A9" s="48" t="n">
        <v>4</v>
      </c>
      <c r="B9" s="48" t="s">
        <v>724</v>
      </c>
      <c r="C9" s="48" t="s">
        <v>725</v>
      </c>
      <c r="D9" s="48" t="s">
        <v>472</v>
      </c>
      <c r="E9" s="48" t="s">
        <v>187</v>
      </c>
      <c r="F9" s="49" t="n">
        <v>46265</v>
      </c>
      <c r="G9" s="42" t="s">
        <v>716</v>
      </c>
      <c r="H9" s="48" t="s">
        <v>717</v>
      </c>
      <c r="I9" s="48" t="s">
        <v>726</v>
      </c>
    </row>
    <row r="10" customFormat="false" ht="21.75" hidden="false" customHeight="true" outlineLevel="0" collapsed="false">
      <c r="A10" s="38" t="n">
        <v>5</v>
      </c>
      <c r="B10" s="38" t="s">
        <v>724</v>
      </c>
      <c r="C10" s="38" t="s">
        <v>727</v>
      </c>
      <c r="D10" s="38" t="s">
        <v>174</v>
      </c>
      <c r="E10" s="38" t="s">
        <v>215</v>
      </c>
      <c r="F10" s="39" t="n">
        <v>46251</v>
      </c>
      <c r="G10" s="42" t="s">
        <v>716</v>
      </c>
      <c r="H10" s="38" t="s">
        <v>717</v>
      </c>
      <c r="I10" s="38" t="s">
        <v>728</v>
      </c>
    </row>
    <row r="11" customFormat="false" ht="15" hidden="false" customHeight="true" outlineLevel="0" collapsed="false">
      <c r="A11" s="48" t="n">
        <v>6</v>
      </c>
      <c r="B11" s="48" t="s">
        <v>729</v>
      </c>
      <c r="C11" s="48" t="s">
        <v>730</v>
      </c>
      <c r="D11" s="48" t="s">
        <v>192</v>
      </c>
      <c r="E11" s="48" t="s">
        <v>187</v>
      </c>
      <c r="F11" s="49" t="n">
        <v>46258</v>
      </c>
      <c r="G11" s="42" t="s">
        <v>716</v>
      </c>
      <c r="H11" s="48" t="s">
        <v>717</v>
      </c>
      <c r="I11" s="48" t="s">
        <v>731</v>
      </c>
    </row>
    <row r="12" customFormat="false" ht="15" hidden="false" customHeight="true" outlineLevel="0" collapsed="false">
      <c r="A12" s="38" t="n">
        <v>7</v>
      </c>
      <c r="B12" s="38" t="s">
        <v>729</v>
      </c>
      <c r="C12" s="38" t="s">
        <v>732</v>
      </c>
      <c r="D12" s="38" t="s">
        <v>656</v>
      </c>
      <c r="E12" s="38" t="s">
        <v>215</v>
      </c>
      <c r="F12" s="39" t="n">
        <v>46272</v>
      </c>
      <c r="G12" s="42" t="s">
        <v>716</v>
      </c>
      <c r="H12" s="38" t="s">
        <v>717</v>
      </c>
      <c r="I12" s="38" t="s">
        <v>733</v>
      </c>
    </row>
    <row r="13" customFormat="false" ht="21.75" hidden="false" customHeight="true" outlineLevel="0" collapsed="false">
      <c r="A13" s="48" t="n">
        <v>8</v>
      </c>
      <c r="B13" s="48" t="s">
        <v>729</v>
      </c>
      <c r="C13" s="48" t="s">
        <v>734</v>
      </c>
      <c r="D13" s="48" t="s">
        <v>290</v>
      </c>
      <c r="E13" s="48" t="s">
        <v>365</v>
      </c>
      <c r="F13" s="49" t="n">
        <v>46272</v>
      </c>
      <c r="G13" s="42" t="s">
        <v>716</v>
      </c>
      <c r="H13" s="48" t="s">
        <v>720</v>
      </c>
      <c r="I13" s="48" t="s">
        <v>735</v>
      </c>
    </row>
    <row r="14" customFormat="false" ht="21.75" hidden="false" customHeight="true" outlineLevel="0" collapsed="false">
      <c r="A14" s="38" t="n">
        <v>9</v>
      </c>
      <c r="B14" s="38" t="s">
        <v>736</v>
      </c>
      <c r="C14" s="38" t="s">
        <v>737</v>
      </c>
      <c r="D14" s="38" t="s">
        <v>572</v>
      </c>
      <c r="E14" s="38" t="s">
        <v>365</v>
      </c>
      <c r="F14" s="39" t="n">
        <v>46266</v>
      </c>
      <c r="G14" s="42" t="s">
        <v>716</v>
      </c>
      <c r="H14" s="38" t="s">
        <v>717</v>
      </c>
      <c r="I14" s="38" t="s">
        <v>738</v>
      </c>
    </row>
    <row r="15" customFormat="false" ht="21.75" hidden="false" customHeight="true" outlineLevel="0" collapsed="false">
      <c r="A15" s="48" t="n">
        <v>10</v>
      </c>
      <c r="B15" s="48" t="s">
        <v>736</v>
      </c>
      <c r="C15" s="48" t="s">
        <v>739</v>
      </c>
      <c r="D15" s="48" t="s">
        <v>584</v>
      </c>
      <c r="E15" s="48" t="s">
        <v>365</v>
      </c>
      <c r="F15" s="49" t="n">
        <v>46265</v>
      </c>
      <c r="G15" s="42" t="s">
        <v>716</v>
      </c>
      <c r="H15" s="48" t="s">
        <v>717</v>
      </c>
      <c r="I15" s="48" t="s">
        <v>740</v>
      </c>
    </row>
    <row r="16" customFormat="false" ht="21.75" hidden="false" customHeight="true" outlineLevel="0" collapsed="false">
      <c r="A16" s="38" t="n">
        <v>11</v>
      </c>
      <c r="B16" s="38" t="s">
        <v>736</v>
      </c>
      <c r="C16" s="38" t="s">
        <v>741</v>
      </c>
      <c r="D16" s="38" t="s">
        <v>559</v>
      </c>
      <c r="E16" s="38" t="s">
        <v>530</v>
      </c>
      <c r="F16" s="39" t="n">
        <v>46266</v>
      </c>
      <c r="G16" s="42" t="s">
        <v>716</v>
      </c>
      <c r="H16" s="38" t="s">
        <v>717</v>
      </c>
      <c r="I16" s="38" t="s">
        <v>742</v>
      </c>
    </row>
    <row r="17" customFormat="false" ht="21.75" hidden="false" customHeight="true" outlineLevel="0" collapsed="false">
      <c r="A17" s="48" t="n">
        <v>12</v>
      </c>
      <c r="B17" s="48" t="s">
        <v>743</v>
      </c>
      <c r="C17" s="48" t="s">
        <v>744</v>
      </c>
      <c r="D17" s="48" t="s">
        <v>354</v>
      </c>
      <c r="E17" s="48" t="s">
        <v>365</v>
      </c>
      <c r="F17" s="49" t="n">
        <v>46280</v>
      </c>
      <c r="G17" s="42" t="s">
        <v>716</v>
      </c>
      <c r="H17" s="48" t="s">
        <v>717</v>
      </c>
      <c r="I17" s="48" t="s">
        <v>745</v>
      </c>
    </row>
    <row r="18" customFormat="false" ht="21.75" hidden="false" customHeight="true" outlineLevel="0" collapsed="false">
      <c r="A18" s="38" t="n">
        <v>13</v>
      </c>
      <c r="B18" s="38" t="s">
        <v>743</v>
      </c>
      <c r="C18" s="38" t="s">
        <v>746</v>
      </c>
      <c r="D18" s="38" t="s">
        <v>408</v>
      </c>
      <c r="E18" s="38" t="s">
        <v>276</v>
      </c>
      <c r="F18" s="39" t="n">
        <v>46280</v>
      </c>
      <c r="G18" s="42" t="s">
        <v>716</v>
      </c>
      <c r="H18" s="38" t="s">
        <v>720</v>
      </c>
      <c r="I18" s="38" t="s">
        <v>747</v>
      </c>
    </row>
    <row r="19" customFormat="false" ht="21.75" hidden="false" customHeight="true" outlineLevel="0" collapsed="false">
      <c r="A19" s="48" t="n">
        <v>14</v>
      </c>
      <c r="B19" s="48" t="s">
        <v>748</v>
      </c>
      <c r="C19" s="48" t="s">
        <v>749</v>
      </c>
      <c r="D19" s="48" t="s">
        <v>421</v>
      </c>
      <c r="E19" s="48" t="s">
        <v>276</v>
      </c>
      <c r="F19" s="49" t="n">
        <v>46287</v>
      </c>
      <c r="G19" s="42" t="s">
        <v>716</v>
      </c>
      <c r="H19" s="48" t="s">
        <v>717</v>
      </c>
      <c r="I19" s="48" t="s">
        <v>750</v>
      </c>
    </row>
    <row r="20" customFormat="false" ht="15" hidden="false" customHeight="true" outlineLevel="0" collapsed="false">
      <c r="A20" s="38" t="n">
        <v>15</v>
      </c>
      <c r="B20" s="38" t="s">
        <v>748</v>
      </c>
      <c r="C20" s="38" t="s">
        <v>751</v>
      </c>
      <c r="D20" s="38" t="s">
        <v>266</v>
      </c>
      <c r="E20" s="38" t="s">
        <v>300</v>
      </c>
      <c r="F20" s="39" t="n">
        <v>46287</v>
      </c>
      <c r="G20" s="42" t="s">
        <v>716</v>
      </c>
      <c r="H20" s="38" t="s">
        <v>717</v>
      </c>
      <c r="I20" s="38" t="s">
        <v>752</v>
      </c>
    </row>
    <row r="21" customFormat="false" ht="21.75" hidden="false" customHeight="true" outlineLevel="0" collapsed="false">
      <c r="A21" s="48" t="n">
        <v>16</v>
      </c>
      <c r="B21" s="48" t="s">
        <v>753</v>
      </c>
      <c r="C21" s="48" t="s">
        <v>754</v>
      </c>
      <c r="D21" s="48" t="s">
        <v>205</v>
      </c>
      <c r="E21" s="48" t="s">
        <v>300</v>
      </c>
      <c r="F21" s="49" t="n">
        <v>46295</v>
      </c>
      <c r="G21" s="42" t="s">
        <v>716</v>
      </c>
      <c r="H21" s="48" t="s">
        <v>720</v>
      </c>
      <c r="I21" s="48" t="s">
        <v>755</v>
      </c>
    </row>
    <row r="22" customFormat="false" ht="15" hidden="false" customHeight="true" outlineLevel="0" collapsed="false">
      <c r="A22" s="38" t="n">
        <v>17</v>
      </c>
      <c r="B22" s="38" t="s">
        <v>753</v>
      </c>
      <c r="C22" s="38" t="s">
        <v>756</v>
      </c>
      <c r="D22" s="38" t="s">
        <v>192</v>
      </c>
      <c r="E22" s="38" t="s">
        <v>215</v>
      </c>
      <c r="F22" s="39" t="n">
        <v>46295</v>
      </c>
      <c r="G22" s="42" t="s">
        <v>716</v>
      </c>
      <c r="H22" s="38" t="s">
        <v>717</v>
      </c>
      <c r="I22" s="38" t="s">
        <v>757</v>
      </c>
    </row>
    <row r="23" customFormat="false" ht="15" hidden="false" customHeight="true" outlineLevel="0" collapsed="false">
      <c r="A23" s="48" t="n">
        <v>18</v>
      </c>
      <c r="B23" s="48" t="s">
        <v>758</v>
      </c>
      <c r="C23" s="48" t="s">
        <v>759</v>
      </c>
      <c r="D23" s="48" t="s">
        <v>446</v>
      </c>
      <c r="E23" s="48" t="s">
        <v>300</v>
      </c>
      <c r="F23" s="49" t="n">
        <v>46295</v>
      </c>
      <c r="G23" s="42" t="s">
        <v>716</v>
      </c>
      <c r="H23" s="48" t="s">
        <v>717</v>
      </c>
      <c r="I23" s="48" t="s">
        <v>760</v>
      </c>
    </row>
    <row r="24" customFormat="false" ht="21.75" hidden="false" customHeight="true" outlineLevel="0" collapsed="false">
      <c r="A24" s="38" t="n">
        <v>19</v>
      </c>
      <c r="B24" s="38" t="s">
        <v>761</v>
      </c>
      <c r="C24" s="38" t="s">
        <v>762</v>
      </c>
      <c r="D24" s="38" t="s">
        <v>496</v>
      </c>
      <c r="E24" s="38" t="s">
        <v>365</v>
      </c>
      <c r="F24" s="39" t="n">
        <v>46310</v>
      </c>
      <c r="G24" s="42" t="s">
        <v>716</v>
      </c>
      <c r="H24" s="38" t="s">
        <v>717</v>
      </c>
      <c r="I24" s="38" t="s">
        <v>763</v>
      </c>
    </row>
    <row r="25" customFormat="false" ht="15" hidden="false" customHeight="true" outlineLevel="0" collapsed="false">
      <c r="A25" s="48" t="n">
        <v>20</v>
      </c>
      <c r="B25" s="48" t="s">
        <v>764</v>
      </c>
      <c r="C25" s="48" t="s">
        <v>765</v>
      </c>
      <c r="D25" s="48" t="s">
        <v>129</v>
      </c>
      <c r="E25" s="48" t="s">
        <v>530</v>
      </c>
      <c r="F25" s="49" t="n">
        <v>46310</v>
      </c>
      <c r="G25" s="42" t="s">
        <v>716</v>
      </c>
      <c r="H25" s="48" t="s">
        <v>717</v>
      </c>
      <c r="I25" s="48" t="s">
        <v>766</v>
      </c>
    </row>
    <row r="26" customFormat="false" ht="21.75" hidden="false" customHeight="true" outlineLevel="0" collapsed="false">
      <c r="A26" s="38" t="n">
        <v>21</v>
      </c>
      <c r="B26" s="38" t="s">
        <v>767</v>
      </c>
      <c r="C26" s="38" t="s">
        <v>768</v>
      </c>
      <c r="D26" s="38" t="s">
        <v>304</v>
      </c>
      <c r="E26" s="38" t="s">
        <v>215</v>
      </c>
      <c r="F26" s="39" t="n">
        <v>46326</v>
      </c>
      <c r="G26" s="42" t="s">
        <v>716</v>
      </c>
      <c r="H26" s="38" t="s">
        <v>717</v>
      </c>
      <c r="I26" s="38" t="s">
        <v>769</v>
      </c>
    </row>
    <row r="27" customFormat="false" ht="15" hidden="false" customHeight="true" outlineLevel="0" collapsed="false">
      <c r="A27" s="48" t="n">
        <v>22</v>
      </c>
      <c r="B27" s="48" t="s">
        <v>770</v>
      </c>
      <c r="C27" s="48" t="s">
        <v>771</v>
      </c>
      <c r="D27" s="48" t="s">
        <v>129</v>
      </c>
      <c r="E27" s="48" t="s">
        <v>215</v>
      </c>
      <c r="F27" s="49" t="n">
        <v>46326</v>
      </c>
      <c r="G27" s="42" t="s">
        <v>716</v>
      </c>
      <c r="H27" s="48" t="s">
        <v>717</v>
      </c>
      <c r="I27" s="48" t="s">
        <v>772</v>
      </c>
    </row>
    <row r="29" customFormat="false" ht="15" hidden="false" customHeight="true" outlineLevel="0" collapsed="false">
      <c r="A29" s="17" t="s">
        <v>773</v>
      </c>
      <c r="B29" s="17"/>
      <c r="C29" s="17"/>
      <c r="D29" s="17"/>
      <c r="E29" s="17"/>
      <c r="F29" s="17"/>
      <c r="G29" s="17"/>
      <c r="H29" s="17"/>
      <c r="I29" s="17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</row>
  </sheetData>
  <mergeCells count="4">
    <mergeCell ref="A1:I1"/>
    <mergeCell ref="A2:I2"/>
    <mergeCell ref="A3:I3"/>
    <mergeCell ref="A29:I30"/>
  </mergeCells>
  <conditionalFormatting sqref="G6:G27">
    <cfRule type="cellIs" priority="2" operator="equal" aboveAverage="0" equalAverage="0" bottom="0" percent="0" rank="0" text="" dxfId="44">
      <formula>"Done"</formula>
    </cfRule>
    <cfRule type="cellIs" priority="3" operator="equal" aboveAverage="0" equalAverage="0" bottom="0" percent="0" rank="0" text="" dxfId="43">
      <formula>"Blocked"</formula>
    </cfRule>
    <cfRule type="cellIs" priority="4" operator="equal" aboveAverage="0" equalAverage="0" bottom="0" percent="0" rank="0" text="" dxfId="40">
      <formula>"In progress"</formula>
    </cfRule>
  </conditionalFormatting>
  <dataValidations count="1">
    <dataValidation allowBlank="true" errorStyle="stop" operator="between" showDropDown="false" showErrorMessage="false" showInputMessage="false" sqref="G6:G27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03_ACTION_TRACKER</oddHeader>
    <oddFooter>&amp;L&amp;7 INTERNAL - KAYAN CONFIDENTIAL&amp;R&amp;7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674A"/>
    <pageSetUpPr fitToPage="true"/>
  </sheetPr>
  <dimension ref="A1:A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4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40"/>
  </cols>
  <sheetData>
    <row r="1" customFormat="false" ht="25.5" hidden="false" customHeight="true" outlineLevel="0" collapsed="false">
      <c r="A1" s="2" t="s">
        <v>774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775</v>
      </c>
      <c r="B2" s="4"/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1.5" hidden="false" customHeight="true" outlineLevel="0" collapsed="false">
      <c r="A5" s="23" t="s">
        <v>776</v>
      </c>
      <c r="B5" s="23" t="s">
        <v>777</v>
      </c>
      <c r="C5" s="23" t="s">
        <v>133</v>
      </c>
      <c r="D5" s="23" t="s">
        <v>132</v>
      </c>
      <c r="E5" s="23" t="s">
        <v>171</v>
      </c>
      <c r="F5" s="23" t="s">
        <v>778</v>
      </c>
      <c r="G5" s="23" t="s">
        <v>779</v>
      </c>
      <c r="H5" s="23" t="s">
        <v>780</v>
      </c>
    </row>
    <row r="6" customFormat="false" ht="32.25" hidden="false" customHeight="true" outlineLevel="0" collapsed="false">
      <c r="A6" s="38" t="s">
        <v>781</v>
      </c>
      <c r="B6" s="38" t="s">
        <v>782</v>
      </c>
      <c r="C6" s="38" t="s">
        <v>783</v>
      </c>
      <c r="D6" s="38" t="s">
        <v>784</v>
      </c>
      <c r="E6" s="38" t="s">
        <v>190</v>
      </c>
      <c r="F6" s="39" t="n">
        <v>46237</v>
      </c>
      <c r="G6" s="38" t="s">
        <v>785</v>
      </c>
      <c r="H6" s="38" t="s">
        <v>786</v>
      </c>
    </row>
    <row r="7" customFormat="false" ht="15" hidden="false" customHeight="true" outlineLevel="0" collapsed="false">
      <c r="A7" s="48" t="s">
        <v>787</v>
      </c>
      <c r="B7" s="48" t="s">
        <v>788</v>
      </c>
      <c r="C7" s="48" t="s">
        <v>560</v>
      </c>
      <c r="D7" s="48" t="s">
        <v>559</v>
      </c>
      <c r="E7" s="48" t="s">
        <v>190</v>
      </c>
      <c r="F7" s="49" t="n">
        <v>46266</v>
      </c>
      <c r="G7" s="48" t="s">
        <v>789</v>
      </c>
      <c r="H7" s="48" t="s">
        <v>790</v>
      </c>
    </row>
    <row r="8" customFormat="false" ht="21.75" hidden="false" customHeight="true" outlineLevel="0" collapsed="false">
      <c r="A8" s="38" t="s">
        <v>787</v>
      </c>
      <c r="B8" s="38" t="s">
        <v>791</v>
      </c>
      <c r="C8" s="38" t="s">
        <v>560</v>
      </c>
      <c r="D8" s="38" t="s">
        <v>559</v>
      </c>
      <c r="E8" s="38" t="s">
        <v>190</v>
      </c>
      <c r="F8" s="39" t="n">
        <v>46287</v>
      </c>
      <c r="G8" s="38" t="s">
        <v>792</v>
      </c>
      <c r="H8" s="38" t="s">
        <v>790</v>
      </c>
    </row>
    <row r="9" customFormat="false" ht="15" hidden="false" customHeight="true" outlineLevel="0" collapsed="false">
      <c r="A9" s="48" t="s">
        <v>793</v>
      </c>
      <c r="B9" s="48" t="s">
        <v>794</v>
      </c>
      <c r="C9" s="48" t="s">
        <v>795</v>
      </c>
      <c r="D9" s="48" t="s">
        <v>354</v>
      </c>
      <c r="E9" s="48" t="s">
        <v>594</v>
      </c>
      <c r="F9" s="49" t="n">
        <v>46296</v>
      </c>
      <c r="G9" s="48" t="s">
        <v>796</v>
      </c>
      <c r="H9" s="48" t="s">
        <v>797</v>
      </c>
    </row>
    <row r="10" customFormat="false" ht="15" hidden="false" customHeight="true" outlineLevel="0" collapsed="false">
      <c r="A10" s="38" t="s">
        <v>793</v>
      </c>
      <c r="B10" s="38" t="s">
        <v>798</v>
      </c>
      <c r="C10" s="38" t="s">
        <v>799</v>
      </c>
      <c r="D10" s="38" t="s">
        <v>520</v>
      </c>
      <c r="E10" s="38" t="s">
        <v>594</v>
      </c>
      <c r="F10" s="39" t="n">
        <v>46326</v>
      </c>
      <c r="G10" s="38" t="s">
        <v>800</v>
      </c>
      <c r="H10" s="38" t="s">
        <v>801</v>
      </c>
    </row>
    <row r="11" customFormat="false" ht="21.75" hidden="false" customHeight="true" outlineLevel="0" collapsed="false">
      <c r="A11" s="48" t="s">
        <v>802</v>
      </c>
      <c r="B11" s="48" t="s">
        <v>803</v>
      </c>
      <c r="C11" s="48" t="s">
        <v>804</v>
      </c>
      <c r="D11" s="48" t="s">
        <v>805</v>
      </c>
      <c r="E11" s="48" t="s">
        <v>594</v>
      </c>
      <c r="F11" s="49" t="n">
        <v>46327</v>
      </c>
      <c r="G11" s="48" t="s">
        <v>806</v>
      </c>
      <c r="H11" s="48" t="s">
        <v>807</v>
      </c>
    </row>
    <row r="12" customFormat="false" ht="21.75" hidden="false" customHeight="true" outlineLevel="0" collapsed="false">
      <c r="A12" s="38" t="s">
        <v>808</v>
      </c>
      <c r="B12" s="38" t="s">
        <v>809</v>
      </c>
      <c r="C12" s="38" t="s">
        <v>804</v>
      </c>
      <c r="D12" s="38" t="s">
        <v>304</v>
      </c>
      <c r="E12" s="38" t="s">
        <v>190</v>
      </c>
      <c r="F12" s="39" t="n">
        <v>46351</v>
      </c>
      <c r="G12" s="38" t="s">
        <v>810</v>
      </c>
      <c r="H12" s="38" t="s">
        <v>811</v>
      </c>
    </row>
    <row r="13" customFormat="false" ht="21.75" hidden="false" customHeight="true" outlineLevel="0" collapsed="false">
      <c r="A13" s="48" t="s">
        <v>812</v>
      </c>
      <c r="B13" s="48" t="s">
        <v>813</v>
      </c>
      <c r="C13" s="48" t="s">
        <v>814</v>
      </c>
      <c r="D13" s="48" t="s">
        <v>446</v>
      </c>
      <c r="E13" s="48" t="s">
        <v>594</v>
      </c>
      <c r="F13" s="49" t="n">
        <v>46371</v>
      </c>
      <c r="G13" s="48" t="s">
        <v>815</v>
      </c>
      <c r="H13" s="48" t="s">
        <v>816</v>
      </c>
    </row>
    <row r="14" customFormat="false" ht="21.75" hidden="false" customHeight="true" outlineLevel="0" collapsed="false">
      <c r="A14" s="38" t="s">
        <v>812</v>
      </c>
      <c r="B14" s="38" t="s">
        <v>817</v>
      </c>
      <c r="C14" s="38" t="s">
        <v>804</v>
      </c>
      <c r="D14" s="38" t="s">
        <v>319</v>
      </c>
      <c r="E14" s="38" t="s">
        <v>594</v>
      </c>
      <c r="F14" s="39" t="n">
        <v>46371</v>
      </c>
      <c r="G14" s="38" t="s">
        <v>818</v>
      </c>
      <c r="H14" s="38" t="s">
        <v>339</v>
      </c>
    </row>
    <row r="15" customFormat="false" ht="15" hidden="false" customHeight="true" outlineLevel="0" collapsed="false">
      <c r="A15" s="48" t="s">
        <v>812</v>
      </c>
      <c r="B15" s="48" t="s">
        <v>819</v>
      </c>
      <c r="C15" s="48" t="s">
        <v>820</v>
      </c>
      <c r="D15" s="48" t="s">
        <v>534</v>
      </c>
      <c r="E15" s="48" t="s">
        <v>594</v>
      </c>
      <c r="F15" s="49" t="n">
        <v>46387</v>
      </c>
      <c r="G15" s="48" t="s">
        <v>821</v>
      </c>
      <c r="H15" s="48" t="s">
        <v>822</v>
      </c>
    </row>
    <row r="16" customFormat="false" ht="21.75" hidden="false" customHeight="true" outlineLevel="0" collapsed="false">
      <c r="A16" s="38" t="s">
        <v>823</v>
      </c>
      <c r="B16" s="38" t="s">
        <v>824</v>
      </c>
      <c r="C16" s="38" t="s">
        <v>799</v>
      </c>
      <c r="D16" s="38" t="s">
        <v>520</v>
      </c>
      <c r="E16" s="38" t="s">
        <v>594</v>
      </c>
      <c r="F16" s="39" t="n">
        <v>46433</v>
      </c>
      <c r="G16" s="38" t="s">
        <v>825</v>
      </c>
      <c r="H16" s="38" t="s">
        <v>801</v>
      </c>
    </row>
    <row r="17" customFormat="false" ht="21.75" hidden="false" customHeight="true" outlineLevel="0" collapsed="false">
      <c r="A17" s="48" t="s">
        <v>826</v>
      </c>
      <c r="B17" s="48" t="s">
        <v>827</v>
      </c>
      <c r="C17" s="48" t="s">
        <v>560</v>
      </c>
      <c r="D17" s="48" t="s">
        <v>559</v>
      </c>
      <c r="E17" s="48" t="s">
        <v>594</v>
      </c>
      <c r="F17" s="49" t="n">
        <v>46492</v>
      </c>
      <c r="G17" s="48" t="s">
        <v>828</v>
      </c>
      <c r="H17" s="48" t="s">
        <v>790</v>
      </c>
    </row>
    <row r="18" customFormat="false" ht="21.75" hidden="false" customHeight="true" outlineLevel="0" collapsed="false">
      <c r="A18" s="38" t="s">
        <v>829</v>
      </c>
      <c r="B18" s="38" t="s">
        <v>830</v>
      </c>
      <c r="C18" s="38" t="s">
        <v>804</v>
      </c>
      <c r="D18" s="38" t="s">
        <v>304</v>
      </c>
      <c r="E18" s="38" t="s">
        <v>594</v>
      </c>
      <c r="F18" s="39" t="n">
        <v>46447</v>
      </c>
      <c r="G18" s="38" t="s">
        <v>831</v>
      </c>
      <c r="H18" s="38" t="s">
        <v>339</v>
      </c>
    </row>
    <row r="19" customFormat="false" ht="32.25" hidden="false" customHeight="true" outlineLevel="0" collapsed="false">
      <c r="A19" s="48" t="s">
        <v>832</v>
      </c>
      <c r="B19" s="48" t="s">
        <v>833</v>
      </c>
      <c r="C19" s="48" t="s">
        <v>783</v>
      </c>
      <c r="D19" s="48" t="s">
        <v>834</v>
      </c>
      <c r="E19" s="48" t="s">
        <v>190</v>
      </c>
      <c r="F19" s="49"/>
      <c r="G19" s="48" t="s">
        <v>835</v>
      </c>
      <c r="H19" s="48" t="s">
        <v>836</v>
      </c>
    </row>
    <row r="21" customFormat="false" ht="15" hidden="false" customHeight="true" outlineLevel="0" collapsed="false">
      <c r="A21" s="17" t="s">
        <v>837</v>
      </c>
      <c r="B21" s="17"/>
      <c r="C21" s="17"/>
      <c r="D21" s="17"/>
      <c r="E21" s="17"/>
      <c r="F21" s="17"/>
      <c r="G21" s="17"/>
      <c r="H21" s="17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</row>
  </sheetData>
  <mergeCells count="4">
    <mergeCell ref="A1:H1"/>
    <mergeCell ref="A2:H2"/>
    <mergeCell ref="A3:H3"/>
    <mergeCell ref="A21:H22"/>
  </mergeCells>
  <conditionalFormatting sqref="E6:E19">
    <cfRule type="cellIs" priority="2" operator="equal" aboveAverage="0" equalAverage="0" bottom="0" percent="0" rank="0" text="" dxfId="40">
      <formula>"INFERENCE"</formula>
    </cfRule>
    <cfRule type="cellIs" priority="3" operator="equal" aboveAverage="0" equalAverage="0" bottom="0" percent="0" rank="0" text="" dxfId="44">
      <formula>"FACT"</formula>
    </cfRule>
  </conditionalFormatting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04_CALENDAR_12M</oddHeader>
    <oddFooter>&amp;L&amp;7 INTERNAL - KAYAN CONFIDENTIAL&amp;R&amp;7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9A28"/>
    <pageSetUpPr fitToPage="true"/>
  </sheetPr>
  <dimension ref="A1:A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3" min="3" style="1" width="20"/>
    <col collapsed="false" customWidth="true" hidden="false" outlineLevel="0" max="4" min="4" style="1" width="40"/>
    <col collapsed="false" customWidth="true" hidden="false" outlineLevel="0" max="6" min="5" style="1" width="13"/>
    <col collapsed="false" customWidth="true" hidden="false" outlineLevel="0" max="8" min="7" style="1" width="16"/>
    <col collapsed="false" customWidth="true" hidden="false" outlineLevel="0" max="9" min="9" style="1" width="22"/>
    <col collapsed="false" customWidth="true" hidden="false" outlineLevel="0" max="10" min="10" style="1" width="13"/>
  </cols>
  <sheetData>
    <row r="1" customFormat="false" ht="25.5" hidden="false" customHeight="true" outlineLevel="0" collapsed="false">
      <c r="A1" s="2" t="s">
        <v>838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839</v>
      </c>
      <c r="B2" s="4"/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3.75" hidden="false" customHeight="true" outlineLevel="0" collapsed="false">
      <c r="A5" s="23" t="s">
        <v>707</v>
      </c>
      <c r="B5" s="23" t="s">
        <v>840</v>
      </c>
      <c r="C5" s="23" t="s">
        <v>841</v>
      </c>
      <c r="D5" s="23" t="s">
        <v>842</v>
      </c>
      <c r="E5" s="23" t="s">
        <v>843</v>
      </c>
      <c r="F5" s="23" t="s">
        <v>844</v>
      </c>
      <c r="G5" s="23" t="s">
        <v>845</v>
      </c>
      <c r="H5" s="23" t="s">
        <v>145</v>
      </c>
      <c r="I5" s="23" t="s">
        <v>136</v>
      </c>
      <c r="J5" s="23" t="s">
        <v>846</v>
      </c>
    </row>
    <row r="6" customFormat="false" ht="21.75" hidden="false" customHeight="true" outlineLevel="0" collapsed="false">
      <c r="A6" s="38" t="n">
        <v>1</v>
      </c>
      <c r="B6" s="38" t="s">
        <v>847</v>
      </c>
      <c r="C6" s="38" t="s">
        <v>848</v>
      </c>
      <c r="D6" s="38" t="s">
        <v>849</v>
      </c>
      <c r="E6" s="38" t="s">
        <v>181</v>
      </c>
      <c r="F6" s="38" t="s">
        <v>850</v>
      </c>
      <c r="G6" s="38" t="s">
        <v>181</v>
      </c>
      <c r="H6" s="42" t="s">
        <v>851</v>
      </c>
      <c r="I6" s="38" t="s">
        <v>187</v>
      </c>
      <c r="J6" s="39" t="n">
        <v>46244</v>
      </c>
    </row>
    <row r="7" customFormat="false" ht="21.75" hidden="false" customHeight="true" outlineLevel="0" collapsed="false">
      <c r="A7" s="48" t="n">
        <v>2</v>
      </c>
      <c r="B7" s="48" t="s">
        <v>852</v>
      </c>
      <c r="C7" s="48" t="s">
        <v>848</v>
      </c>
      <c r="D7" s="48" t="s">
        <v>853</v>
      </c>
      <c r="E7" s="48" t="s">
        <v>181</v>
      </c>
      <c r="F7" s="48" t="s">
        <v>850</v>
      </c>
      <c r="G7" s="48" t="s">
        <v>181</v>
      </c>
      <c r="H7" s="42" t="s">
        <v>851</v>
      </c>
      <c r="I7" s="48" t="s">
        <v>187</v>
      </c>
      <c r="J7" s="49" t="n">
        <v>46244</v>
      </c>
    </row>
    <row r="8" customFormat="false" ht="21.75" hidden="false" customHeight="true" outlineLevel="0" collapsed="false">
      <c r="A8" s="38" t="n">
        <v>3</v>
      </c>
      <c r="B8" s="38" t="s">
        <v>854</v>
      </c>
      <c r="C8" s="38" t="s">
        <v>848</v>
      </c>
      <c r="D8" s="38" t="s">
        <v>855</v>
      </c>
      <c r="E8" s="38" t="s">
        <v>181</v>
      </c>
      <c r="F8" s="38" t="s">
        <v>181</v>
      </c>
      <c r="G8" s="38" t="s">
        <v>181</v>
      </c>
      <c r="H8" s="42" t="s">
        <v>851</v>
      </c>
      <c r="I8" s="38" t="s">
        <v>187</v>
      </c>
      <c r="J8" s="39" t="n">
        <v>46258</v>
      </c>
    </row>
    <row r="9" customFormat="false" ht="15" hidden="false" customHeight="true" outlineLevel="0" collapsed="false">
      <c r="A9" s="48" t="n">
        <v>4</v>
      </c>
      <c r="B9" s="48" t="s">
        <v>856</v>
      </c>
      <c r="C9" s="48" t="s">
        <v>848</v>
      </c>
      <c r="D9" s="48" t="s">
        <v>857</v>
      </c>
      <c r="E9" s="48" t="s">
        <v>181</v>
      </c>
      <c r="F9" s="48" t="s">
        <v>181</v>
      </c>
      <c r="G9" s="48" t="s">
        <v>181</v>
      </c>
      <c r="H9" s="42" t="s">
        <v>858</v>
      </c>
      <c r="I9" s="48" t="s">
        <v>859</v>
      </c>
      <c r="J9" s="49" t="n">
        <v>46265</v>
      </c>
    </row>
    <row r="10" customFormat="false" ht="15" hidden="false" customHeight="true" outlineLevel="0" collapsed="false">
      <c r="A10" s="38" t="n">
        <v>5</v>
      </c>
      <c r="B10" s="38" t="s">
        <v>860</v>
      </c>
      <c r="C10" s="38" t="s">
        <v>861</v>
      </c>
      <c r="D10" s="38" t="s">
        <v>862</v>
      </c>
      <c r="E10" s="38" t="s">
        <v>181</v>
      </c>
      <c r="F10" s="38" t="s">
        <v>181</v>
      </c>
      <c r="G10" s="38" t="s">
        <v>863</v>
      </c>
      <c r="H10" s="42" t="s">
        <v>864</v>
      </c>
      <c r="I10" s="38" t="s">
        <v>859</v>
      </c>
      <c r="J10" s="39" t="n">
        <v>46265</v>
      </c>
    </row>
    <row r="11" customFormat="false" ht="15" hidden="false" customHeight="true" outlineLevel="0" collapsed="false">
      <c r="A11" s="48" t="n">
        <v>6</v>
      </c>
      <c r="B11" s="48" t="s">
        <v>865</v>
      </c>
      <c r="C11" s="48" t="s">
        <v>861</v>
      </c>
      <c r="D11" s="48" t="s">
        <v>866</v>
      </c>
      <c r="E11" s="48" t="s">
        <v>235</v>
      </c>
      <c r="F11" s="48" t="s">
        <v>181</v>
      </c>
      <c r="G11" s="48" t="s">
        <v>867</v>
      </c>
      <c r="H11" s="42" t="s">
        <v>868</v>
      </c>
      <c r="I11" s="48" t="s">
        <v>859</v>
      </c>
      <c r="J11" s="49" t="n">
        <v>46477</v>
      </c>
    </row>
    <row r="12" customFormat="false" ht="15" hidden="false" customHeight="true" outlineLevel="0" collapsed="false">
      <c r="A12" s="38" t="n">
        <v>7</v>
      </c>
      <c r="B12" s="38" t="s">
        <v>869</v>
      </c>
      <c r="C12" s="38" t="s">
        <v>861</v>
      </c>
      <c r="D12" s="38" t="s">
        <v>870</v>
      </c>
      <c r="E12" s="38" t="s">
        <v>235</v>
      </c>
      <c r="F12" s="38" t="s">
        <v>181</v>
      </c>
      <c r="G12" s="38" t="s">
        <v>181</v>
      </c>
      <c r="H12" s="42" t="s">
        <v>864</v>
      </c>
      <c r="I12" s="38" t="s">
        <v>859</v>
      </c>
      <c r="J12" s="39" t="n">
        <v>46280</v>
      </c>
    </row>
    <row r="13" customFormat="false" ht="15" hidden="false" customHeight="true" outlineLevel="0" collapsed="false">
      <c r="A13" s="48" t="n">
        <v>8</v>
      </c>
      <c r="B13" s="48" t="s">
        <v>871</v>
      </c>
      <c r="C13" s="48" t="s">
        <v>872</v>
      </c>
      <c r="D13" s="48" t="s">
        <v>873</v>
      </c>
      <c r="E13" s="48" t="s">
        <v>181</v>
      </c>
      <c r="F13" s="48" t="s">
        <v>181</v>
      </c>
      <c r="G13" s="48" t="s">
        <v>235</v>
      </c>
      <c r="H13" s="42" t="s">
        <v>864</v>
      </c>
      <c r="I13" s="48" t="s">
        <v>187</v>
      </c>
      <c r="J13" s="49" t="n">
        <v>46280</v>
      </c>
    </row>
    <row r="14" customFormat="false" ht="15" hidden="false" customHeight="true" outlineLevel="0" collapsed="false">
      <c r="A14" s="38" t="n">
        <v>9</v>
      </c>
      <c r="B14" s="38" t="s">
        <v>874</v>
      </c>
      <c r="C14" s="38" t="s">
        <v>875</v>
      </c>
      <c r="D14" s="38" t="s">
        <v>876</v>
      </c>
      <c r="E14" s="38" t="s">
        <v>181</v>
      </c>
      <c r="F14" s="38" t="s">
        <v>181</v>
      </c>
      <c r="G14" s="38" t="s">
        <v>877</v>
      </c>
      <c r="H14" s="42" t="s">
        <v>878</v>
      </c>
      <c r="I14" s="38" t="s">
        <v>300</v>
      </c>
      <c r="J14" s="39" t="n">
        <v>46295</v>
      </c>
    </row>
    <row r="15" customFormat="false" ht="15" hidden="false" customHeight="true" outlineLevel="0" collapsed="false">
      <c r="A15" s="48" t="n">
        <v>10</v>
      </c>
      <c r="B15" s="48" t="s">
        <v>879</v>
      </c>
      <c r="C15" s="48" t="s">
        <v>875</v>
      </c>
      <c r="D15" s="48" t="s">
        <v>880</v>
      </c>
      <c r="E15" s="48" t="s">
        <v>181</v>
      </c>
      <c r="F15" s="48" t="s">
        <v>181</v>
      </c>
      <c r="G15" s="48" t="s">
        <v>877</v>
      </c>
      <c r="H15" s="42" t="s">
        <v>878</v>
      </c>
      <c r="I15" s="48" t="s">
        <v>300</v>
      </c>
      <c r="J15" s="49" t="n">
        <v>46295</v>
      </c>
    </row>
    <row r="16" customFormat="false" ht="15" hidden="false" customHeight="true" outlineLevel="0" collapsed="false">
      <c r="A16" s="38" t="n">
        <v>11</v>
      </c>
      <c r="B16" s="38" t="s">
        <v>881</v>
      </c>
      <c r="C16" s="38" t="s">
        <v>875</v>
      </c>
      <c r="D16" s="38" t="s">
        <v>882</v>
      </c>
      <c r="E16" s="38" t="s">
        <v>181</v>
      </c>
      <c r="F16" s="38" t="s">
        <v>181</v>
      </c>
      <c r="G16" s="38" t="s">
        <v>877</v>
      </c>
      <c r="H16" s="42" t="s">
        <v>883</v>
      </c>
      <c r="I16" s="38" t="s">
        <v>530</v>
      </c>
      <c r="J16" s="39" t="n">
        <v>46280</v>
      </c>
    </row>
    <row r="17" customFormat="false" ht="15" hidden="false" customHeight="true" outlineLevel="0" collapsed="false">
      <c r="A17" s="48" t="n">
        <v>12</v>
      </c>
      <c r="B17" s="48" t="s">
        <v>884</v>
      </c>
      <c r="C17" s="48" t="s">
        <v>885</v>
      </c>
      <c r="D17" s="48" t="s">
        <v>886</v>
      </c>
      <c r="E17" s="48" t="s">
        <v>181</v>
      </c>
      <c r="F17" s="48" t="s">
        <v>181</v>
      </c>
      <c r="G17" s="48" t="s">
        <v>877</v>
      </c>
      <c r="H17" s="42" t="s">
        <v>883</v>
      </c>
      <c r="I17" s="48" t="s">
        <v>859</v>
      </c>
      <c r="J17" s="49" t="n">
        <v>46280</v>
      </c>
    </row>
    <row r="18" customFormat="false" ht="21.75" hidden="false" customHeight="true" outlineLevel="0" collapsed="false">
      <c r="A18" s="38" t="n">
        <v>13</v>
      </c>
      <c r="B18" s="38" t="s">
        <v>887</v>
      </c>
      <c r="C18" s="38" t="s">
        <v>885</v>
      </c>
      <c r="D18" s="38" t="s">
        <v>888</v>
      </c>
      <c r="E18" s="38" t="s">
        <v>181</v>
      </c>
      <c r="F18" s="38" t="s">
        <v>181</v>
      </c>
      <c r="G18" s="38" t="s">
        <v>877</v>
      </c>
      <c r="H18" s="42" t="s">
        <v>889</v>
      </c>
      <c r="I18" s="38" t="s">
        <v>859</v>
      </c>
      <c r="J18" s="39" t="n">
        <v>46280</v>
      </c>
    </row>
    <row r="19" customFormat="false" ht="15" hidden="false" customHeight="true" outlineLevel="0" collapsed="false">
      <c r="A19" s="48" t="n">
        <v>14</v>
      </c>
      <c r="B19" s="48" t="s">
        <v>890</v>
      </c>
      <c r="C19" s="48" t="s">
        <v>885</v>
      </c>
      <c r="D19" s="48" t="s">
        <v>891</v>
      </c>
      <c r="E19" s="48" t="s">
        <v>181</v>
      </c>
      <c r="F19" s="48" t="s">
        <v>181</v>
      </c>
      <c r="G19" s="48" t="s">
        <v>892</v>
      </c>
      <c r="H19" s="42" t="s">
        <v>878</v>
      </c>
      <c r="I19" s="48" t="s">
        <v>300</v>
      </c>
      <c r="J19" s="49" t="n">
        <v>46295</v>
      </c>
    </row>
    <row r="20" customFormat="false" ht="15" hidden="false" customHeight="true" outlineLevel="0" collapsed="false">
      <c r="A20" s="38" t="n">
        <v>15</v>
      </c>
      <c r="B20" s="38" t="s">
        <v>893</v>
      </c>
      <c r="C20" s="38" t="s">
        <v>885</v>
      </c>
      <c r="D20" s="38" t="s">
        <v>894</v>
      </c>
      <c r="E20" s="38" t="s">
        <v>181</v>
      </c>
      <c r="F20" s="38" t="s">
        <v>181</v>
      </c>
      <c r="G20" s="38" t="s">
        <v>877</v>
      </c>
      <c r="H20" s="42" t="s">
        <v>878</v>
      </c>
      <c r="I20" s="38" t="s">
        <v>300</v>
      </c>
      <c r="J20" s="39" t="n">
        <v>46310</v>
      </c>
    </row>
    <row r="21" customFormat="false" ht="15" hidden="false" customHeight="true" outlineLevel="0" collapsed="false">
      <c r="A21" s="48" t="n">
        <v>16</v>
      </c>
      <c r="B21" s="48" t="s">
        <v>895</v>
      </c>
      <c r="C21" s="48" t="s">
        <v>885</v>
      </c>
      <c r="D21" s="48" t="s">
        <v>896</v>
      </c>
      <c r="E21" s="48" t="s">
        <v>181</v>
      </c>
      <c r="F21" s="48" t="s">
        <v>181</v>
      </c>
      <c r="G21" s="48" t="s">
        <v>877</v>
      </c>
      <c r="H21" s="42" t="s">
        <v>883</v>
      </c>
      <c r="I21" s="48" t="s">
        <v>859</v>
      </c>
      <c r="J21" s="49" t="n">
        <v>46280</v>
      </c>
    </row>
    <row r="22" customFormat="false" ht="15" hidden="false" customHeight="true" outlineLevel="0" collapsed="false">
      <c r="A22" s="38" t="n">
        <v>17</v>
      </c>
      <c r="B22" s="38" t="s">
        <v>897</v>
      </c>
      <c r="C22" s="38" t="s">
        <v>898</v>
      </c>
      <c r="D22" s="38" t="s">
        <v>899</v>
      </c>
      <c r="E22" s="38" t="s">
        <v>181</v>
      </c>
      <c r="F22" s="38" t="s">
        <v>181</v>
      </c>
      <c r="G22" s="38" t="s">
        <v>877</v>
      </c>
      <c r="H22" s="42" t="s">
        <v>878</v>
      </c>
      <c r="I22" s="38" t="s">
        <v>300</v>
      </c>
      <c r="J22" s="39" t="n">
        <v>46287</v>
      </c>
    </row>
    <row r="23" customFormat="false" ht="15" hidden="false" customHeight="true" outlineLevel="0" collapsed="false">
      <c r="A23" s="48" t="n">
        <v>18</v>
      </c>
      <c r="B23" s="48" t="s">
        <v>900</v>
      </c>
      <c r="C23" s="48" t="s">
        <v>898</v>
      </c>
      <c r="D23" s="48" t="s">
        <v>901</v>
      </c>
      <c r="E23" s="48" t="s">
        <v>181</v>
      </c>
      <c r="F23" s="48" t="s">
        <v>181</v>
      </c>
      <c r="G23" s="48" t="s">
        <v>877</v>
      </c>
      <c r="H23" s="42" t="s">
        <v>878</v>
      </c>
      <c r="I23" s="48" t="s">
        <v>300</v>
      </c>
      <c r="J23" s="49" t="n">
        <v>46326</v>
      </c>
    </row>
    <row r="24" customFormat="false" ht="15" hidden="false" customHeight="true" outlineLevel="0" collapsed="false">
      <c r="A24" s="38" t="n">
        <v>19</v>
      </c>
      <c r="B24" s="38" t="s">
        <v>902</v>
      </c>
      <c r="C24" s="38" t="s">
        <v>903</v>
      </c>
      <c r="D24" s="38" t="s">
        <v>904</v>
      </c>
      <c r="E24" s="38" t="s">
        <v>235</v>
      </c>
      <c r="F24" s="38" t="s">
        <v>181</v>
      </c>
      <c r="G24" s="38" t="s">
        <v>905</v>
      </c>
      <c r="H24" s="42" t="s">
        <v>906</v>
      </c>
      <c r="I24" s="38" t="s">
        <v>215</v>
      </c>
      <c r="J24" s="39" t="n">
        <v>46295</v>
      </c>
    </row>
    <row r="25" customFormat="false" ht="15" hidden="false" customHeight="true" outlineLevel="0" collapsed="false">
      <c r="A25" s="48" t="n">
        <v>20</v>
      </c>
      <c r="B25" s="48" t="s">
        <v>907</v>
      </c>
      <c r="C25" s="48" t="s">
        <v>903</v>
      </c>
      <c r="D25" s="48" t="s">
        <v>908</v>
      </c>
      <c r="E25" s="48" t="s">
        <v>235</v>
      </c>
      <c r="F25" s="48" t="s">
        <v>181</v>
      </c>
      <c r="G25" s="48" t="s">
        <v>909</v>
      </c>
      <c r="H25" s="42" t="s">
        <v>864</v>
      </c>
      <c r="I25" s="48" t="s">
        <v>187</v>
      </c>
      <c r="J25" s="49" t="n">
        <v>46258</v>
      </c>
    </row>
    <row r="26" customFormat="false" ht="15" hidden="false" customHeight="true" outlineLevel="0" collapsed="false">
      <c r="A26" s="38" t="n">
        <v>21</v>
      </c>
      <c r="B26" s="38" t="s">
        <v>910</v>
      </c>
      <c r="C26" s="38" t="s">
        <v>872</v>
      </c>
      <c r="D26" s="38" t="s">
        <v>911</v>
      </c>
      <c r="E26" s="38" t="s">
        <v>235</v>
      </c>
      <c r="F26" s="38" t="s">
        <v>181</v>
      </c>
      <c r="G26" s="38" t="s">
        <v>912</v>
      </c>
      <c r="H26" s="42" t="s">
        <v>913</v>
      </c>
      <c r="I26" s="38" t="s">
        <v>215</v>
      </c>
      <c r="J26" s="39" t="n">
        <v>46568</v>
      </c>
    </row>
    <row r="27" customFormat="false" ht="32.25" hidden="false" customHeight="true" outlineLevel="0" collapsed="false">
      <c r="A27" s="48" t="n">
        <v>22</v>
      </c>
      <c r="B27" s="48" t="s">
        <v>914</v>
      </c>
      <c r="C27" s="48" t="s">
        <v>915</v>
      </c>
      <c r="D27" s="48" t="s">
        <v>916</v>
      </c>
      <c r="E27" s="48" t="s">
        <v>235</v>
      </c>
      <c r="F27" s="48" t="s">
        <v>181</v>
      </c>
      <c r="G27" s="48" t="s">
        <v>235</v>
      </c>
      <c r="H27" s="42" t="s">
        <v>917</v>
      </c>
      <c r="I27" s="48" t="s">
        <v>187</v>
      </c>
      <c r="J27" s="49" t="n">
        <v>46295</v>
      </c>
    </row>
    <row r="28" customFormat="false" ht="15" hidden="false" customHeight="true" outlineLevel="0" collapsed="false">
      <c r="A28" s="38" t="n">
        <v>23</v>
      </c>
      <c r="B28" s="38" t="s">
        <v>918</v>
      </c>
      <c r="C28" s="38" t="s">
        <v>872</v>
      </c>
      <c r="D28" s="38" t="s">
        <v>919</v>
      </c>
      <c r="E28" s="38" t="s">
        <v>181</v>
      </c>
      <c r="F28" s="38" t="s">
        <v>181</v>
      </c>
      <c r="G28" s="38" t="s">
        <v>235</v>
      </c>
      <c r="H28" s="42" t="s">
        <v>920</v>
      </c>
      <c r="I28" s="38" t="s">
        <v>215</v>
      </c>
      <c r="J28" s="39" t="n">
        <v>46272</v>
      </c>
    </row>
    <row r="29" customFormat="false" ht="15" hidden="false" customHeight="true" outlineLevel="0" collapsed="false">
      <c r="A29" s="48" t="n">
        <v>24</v>
      </c>
      <c r="B29" s="48" t="s">
        <v>921</v>
      </c>
      <c r="C29" s="48" t="s">
        <v>861</v>
      </c>
      <c r="D29" s="48" t="s">
        <v>922</v>
      </c>
      <c r="E29" s="48" t="s">
        <v>235</v>
      </c>
      <c r="F29" s="48" t="s">
        <v>181</v>
      </c>
      <c r="G29" s="48" t="s">
        <v>235</v>
      </c>
      <c r="H29" s="42" t="s">
        <v>923</v>
      </c>
      <c r="I29" s="48" t="s">
        <v>859</v>
      </c>
      <c r="J29" s="49" t="n">
        <v>46310</v>
      </c>
    </row>
    <row r="30" customFormat="false" ht="15" hidden="false" customHeight="true" outlineLevel="0" collapsed="false">
      <c r="A30" s="38" t="n">
        <v>25</v>
      </c>
      <c r="B30" s="38" t="s">
        <v>924</v>
      </c>
      <c r="C30" s="38" t="s">
        <v>925</v>
      </c>
      <c r="D30" s="38" t="s">
        <v>926</v>
      </c>
      <c r="E30" s="38" t="s">
        <v>181</v>
      </c>
      <c r="F30" s="38" t="s">
        <v>181</v>
      </c>
      <c r="G30" s="38" t="s">
        <v>235</v>
      </c>
      <c r="H30" s="42" t="s">
        <v>927</v>
      </c>
      <c r="I30" s="38" t="s">
        <v>530</v>
      </c>
      <c r="J30" s="39" t="n">
        <v>46287</v>
      </c>
    </row>
    <row r="32" customFormat="false" ht="15" hidden="false" customHeight="true" outlineLevel="0" collapsed="false">
      <c r="B32" s="7" t="s">
        <v>928</v>
      </c>
      <c r="C32" s="10" t="str">
        <f aca="false">COUNTIF(H6:H30,"COMPLETE")&amp;" of 25 complete"</f>
        <v>0 of 25 complete</v>
      </c>
    </row>
    <row r="33" customFormat="false" ht="15" hidden="false" customHeight="true" outlineLevel="0" collapsed="false">
      <c r="B33" s="17" t="s">
        <v>929</v>
      </c>
      <c r="C33" s="17"/>
      <c r="D33" s="17"/>
      <c r="E33" s="17"/>
      <c r="F33" s="17"/>
      <c r="G33" s="17"/>
      <c r="H33" s="17"/>
      <c r="I33" s="17"/>
      <c r="J33" s="17"/>
    </row>
    <row r="34" customFormat="false" ht="15" hidden="false" customHeight="true" outlineLevel="0" collapsed="false">
      <c r="B34" s="17"/>
      <c r="C34" s="17"/>
      <c r="D34" s="17"/>
      <c r="E34" s="17"/>
      <c r="F34" s="17"/>
      <c r="G34" s="17"/>
      <c r="H34" s="17"/>
      <c r="I34" s="17"/>
      <c r="J34" s="17"/>
    </row>
  </sheetData>
  <mergeCells count="4">
    <mergeCell ref="A1:J1"/>
    <mergeCell ref="A2:J2"/>
    <mergeCell ref="A3:J3"/>
    <mergeCell ref="B33:J34"/>
  </mergeCells>
  <conditionalFormatting sqref="H6:H30">
    <cfRule type="cellIs" priority="2" operator="equal" aboveAverage="0" equalAverage="0" bottom="0" percent="0" rank="0" text="" dxfId="44">
      <formula>"COMPLETE"</formula>
    </cfRule>
  </conditionalFormatting>
  <dataValidations count="1">
    <dataValidation allowBlank="true" errorStyle="stop" operator="between" showDropDown="false" showErrorMessage="false" showInputMessage="false" sqref="H6:H30" type="list">
      <formula1>"To draft,To prepare,To confirm,To collect,In progress,Held - needs translation,COMPLETE"</formula1>
      <formula2>0</formula2>
    </dataValidation>
  </dataValidation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05_COMPLIANCE_MASTER</oddHeader>
    <oddFooter>&amp;L&amp;7 INTERNAL - KAYAN CONFIDENTIAL&amp;R&amp;7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true"/>
  </sheetPr>
  <dimension ref="A1:A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44"/>
    <col collapsed="false" customWidth="true" hidden="false" outlineLevel="0" max="4" min="4" style="1" width="26"/>
    <col collapsed="false" customWidth="true" hidden="false" outlineLevel="0" max="6" min="5" style="1" width="14"/>
    <col collapsed="false" customWidth="true" hidden="false" outlineLevel="0" max="7" min="7" style="1" width="24"/>
    <col collapsed="false" customWidth="true" hidden="false" outlineLevel="0" max="8" min="8" style="1" width="16"/>
    <col collapsed="false" customWidth="true" hidden="false" outlineLevel="0" max="9" min="9" style="1" width="44"/>
  </cols>
  <sheetData>
    <row r="1" customFormat="false" ht="25.5" hidden="false" customHeight="true" outlineLevel="0" collapsed="false">
      <c r="A1" s="2" t="s">
        <v>930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931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1.5" hidden="false" customHeight="true" outlineLevel="0" collapsed="false">
      <c r="A5" s="23" t="s">
        <v>932</v>
      </c>
      <c r="B5" s="23" t="s">
        <v>119</v>
      </c>
      <c r="C5" s="23" t="s">
        <v>933</v>
      </c>
      <c r="D5" s="23" t="s">
        <v>934</v>
      </c>
      <c r="E5" s="23" t="s">
        <v>935</v>
      </c>
      <c r="F5" s="23" t="s">
        <v>936</v>
      </c>
      <c r="G5" s="23" t="s">
        <v>937</v>
      </c>
      <c r="H5" s="23" t="s">
        <v>145</v>
      </c>
      <c r="I5" s="23" t="s">
        <v>938</v>
      </c>
    </row>
    <row r="6" customFormat="false" ht="15" hidden="false" customHeight="true" outlineLevel="0" collapsed="false">
      <c r="A6" s="38" t="s">
        <v>284</v>
      </c>
      <c r="B6" s="38" t="s">
        <v>121</v>
      </c>
      <c r="C6" s="38" t="s">
        <v>183</v>
      </c>
      <c r="D6" s="42" t="s">
        <v>939</v>
      </c>
      <c r="E6" s="46"/>
      <c r="F6" s="38" t="s">
        <v>940</v>
      </c>
      <c r="G6" s="38" t="s">
        <v>187</v>
      </c>
      <c r="H6" s="42" t="s">
        <v>716</v>
      </c>
      <c r="I6" s="38" t="s">
        <v>941</v>
      </c>
    </row>
    <row r="7" customFormat="false" ht="15" hidden="false" customHeight="true" outlineLevel="0" collapsed="false">
      <c r="A7" s="48" t="s">
        <v>942</v>
      </c>
      <c r="B7" s="48" t="s">
        <v>121</v>
      </c>
      <c r="C7" s="48" t="s">
        <v>198</v>
      </c>
      <c r="D7" s="42" t="s">
        <v>943</v>
      </c>
      <c r="E7" s="46"/>
      <c r="F7" s="48" t="s">
        <v>944</v>
      </c>
      <c r="G7" s="48" t="s">
        <v>187</v>
      </c>
      <c r="H7" s="42" t="s">
        <v>716</v>
      </c>
      <c r="I7" s="48" t="s">
        <v>945</v>
      </c>
    </row>
    <row r="8" customFormat="false" ht="21.75" hidden="false" customHeight="true" outlineLevel="0" collapsed="false">
      <c r="A8" s="38" t="s">
        <v>946</v>
      </c>
      <c r="B8" s="38" t="s">
        <v>121</v>
      </c>
      <c r="C8" s="38" t="s">
        <v>334</v>
      </c>
      <c r="D8" s="42" t="s">
        <v>947</v>
      </c>
      <c r="E8" s="46"/>
      <c r="F8" s="38" t="s">
        <v>948</v>
      </c>
      <c r="G8" s="38" t="s">
        <v>187</v>
      </c>
      <c r="H8" s="42" t="s">
        <v>716</v>
      </c>
      <c r="I8" s="38" t="s">
        <v>949</v>
      </c>
    </row>
    <row r="9" customFormat="false" ht="21.75" hidden="false" customHeight="true" outlineLevel="0" collapsed="false">
      <c r="A9" s="48" t="s">
        <v>950</v>
      </c>
      <c r="B9" s="48" t="s">
        <v>123</v>
      </c>
      <c r="C9" s="48" t="s">
        <v>334</v>
      </c>
      <c r="D9" s="42" t="s">
        <v>947</v>
      </c>
      <c r="E9" s="46"/>
      <c r="F9" s="48" t="s">
        <v>948</v>
      </c>
      <c r="G9" s="48" t="s">
        <v>300</v>
      </c>
      <c r="H9" s="42" t="s">
        <v>951</v>
      </c>
      <c r="I9" s="48" t="s">
        <v>952</v>
      </c>
    </row>
    <row r="10" customFormat="false" ht="21.75" hidden="false" customHeight="true" outlineLevel="0" collapsed="false">
      <c r="A10" s="38" t="s">
        <v>953</v>
      </c>
      <c r="B10" s="38" t="s">
        <v>123</v>
      </c>
      <c r="C10" s="38" t="s">
        <v>334</v>
      </c>
      <c r="D10" s="42" t="s">
        <v>954</v>
      </c>
      <c r="E10" s="46"/>
      <c r="F10" s="38" t="s">
        <v>955</v>
      </c>
      <c r="G10" s="38" t="s">
        <v>300</v>
      </c>
      <c r="H10" s="42" t="s">
        <v>951</v>
      </c>
      <c r="I10" s="38" t="s">
        <v>956</v>
      </c>
    </row>
    <row r="11" customFormat="false" ht="15" hidden="false" customHeight="true" outlineLevel="0" collapsed="false">
      <c r="A11" s="48" t="s">
        <v>957</v>
      </c>
      <c r="B11" s="48" t="s">
        <v>121</v>
      </c>
      <c r="C11" s="48" t="s">
        <v>478</v>
      </c>
      <c r="D11" s="42" t="s">
        <v>958</v>
      </c>
      <c r="E11" s="46"/>
      <c r="F11" s="48" t="s">
        <v>944</v>
      </c>
      <c r="G11" s="48" t="s">
        <v>187</v>
      </c>
      <c r="H11" s="42" t="s">
        <v>716</v>
      </c>
      <c r="I11" s="48" t="s">
        <v>959</v>
      </c>
    </row>
    <row r="12" customFormat="false" ht="21.75" hidden="false" customHeight="true" outlineLevel="0" collapsed="false">
      <c r="A12" s="38" t="s">
        <v>960</v>
      </c>
      <c r="B12" s="38" t="s">
        <v>123</v>
      </c>
      <c r="C12" s="38" t="s">
        <v>478</v>
      </c>
      <c r="D12" s="42" t="s">
        <v>961</v>
      </c>
      <c r="E12" s="46"/>
      <c r="F12" s="38" t="s">
        <v>944</v>
      </c>
      <c r="G12" s="38" t="s">
        <v>300</v>
      </c>
      <c r="H12" s="42" t="s">
        <v>951</v>
      </c>
      <c r="I12" s="38" t="s">
        <v>962</v>
      </c>
    </row>
    <row r="13" customFormat="false" ht="21.75" hidden="false" customHeight="true" outlineLevel="0" collapsed="false">
      <c r="A13" s="48" t="s">
        <v>291</v>
      </c>
      <c r="B13" s="48" t="s">
        <v>123</v>
      </c>
      <c r="C13" s="48" t="s">
        <v>296</v>
      </c>
      <c r="D13" s="42" t="s">
        <v>963</v>
      </c>
      <c r="E13" s="46"/>
      <c r="F13" s="48" t="s">
        <v>964</v>
      </c>
      <c r="G13" s="48" t="s">
        <v>300</v>
      </c>
      <c r="H13" s="42" t="s">
        <v>951</v>
      </c>
      <c r="I13" s="48" t="s">
        <v>965</v>
      </c>
    </row>
    <row r="14" customFormat="false" ht="15" hidden="false" customHeight="true" outlineLevel="0" collapsed="false">
      <c r="A14" s="38" t="s">
        <v>966</v>
      </c>
      <c r="B14" s="38" t="s">
        <v>121</v>
      </c>
      <c r="C14" s="38" t="s">
        <v>401</v>
      </c>
      <c r="D14" s="42" t="s">
        <v>967</v>
      </c>
      <c r="E14" s="46"/>
      <c r="F14" s="38" t="s">
        <v>968</v>
      </c>
      <c r="G14" s="38" t="s">
        <v>215</v>
      </c>
      <c r="H14" s="42" t="s">
        <v>716</v>
      </c>
      <c r="I14" s="38" t="s">
        <v>969</v>
      </c>
    </row>
    <row r="15" customFormat="false" ht="21.75" hidden="false" customHeight="true" outlineLevel="0" collapsed="false">
      <c r="A15" s="48" t="s">
        <v>970</v>
      </c>
      <c r="B15" s="48" t="s">
        <v>123</v>
      </c>
      <c r="C15" s="48" t="s">
        <v>452</v>
      </c>
      <c r="D15" s="42" t="s">
        <v>971</v>
      </c>
      <c r="E15" s="46"/>
      <c r="F15" s="48" t="s">
        <v>944</v>
      </c>
      <c r="G15" s="48" t="s">
        <v>300</v>
      </c>
      <c r="H15" s="42" t="s">
        <v>951</v>
      </c>
      <c r="I15" s="48" t="s">
        <v>972</v>
      </c>
    </row>
    <row r="16" customFormat="false" ht="15" hidden="false" customHeight="true" outlineLevel="0" collapsed="false">
      <c r="A16" s="38" t="s">
        <v>973</v>
      </c>
      <c r="B16" s="38" t="s">
        <v>121</v>
      </c>
      <c r="C16" s="38" t="s">
        <v>625</v>
      </c>
      <c r="D16" s="42" t="s">
        <v>958</v>
      </c>
      <c r="E16" s="46"/>
      <c r="F16" s="38" t="s">
        <v>944</v>
      </c>
      <c r="G16" s="38" t="s">
        <v>215</v>
      </c>
      <c r="H16" s="42" t="s">
        <v>716</v>
      </c>
      <c r="I16" s="38" t="s">
        <v>974</v>
      </c>
    </row>
    <row r="17" customFormat="false" ht="15" hidden="false" customHeight="true" outlineLevel="0" collapsed="false">
      <c r="A17" s="48" t="s">
        <v>975</v>
      </c>
      <c r="B17" s="48" t="s">
        <v>121</v>
      </c>
      <c r="C17" s="48" t="s">
        <v>649</v>
      </c>
      <c r="D17" s="42" t="s">
        <v>958</v>
      </c>
      <c r="E17" s="46"/>
      <c r="F17" s="48" t="s">
        <v>944</v>
      </c>
      <c r="G17" s="48" t="s">
        <v>215</v>
      </c>
      <c r="H17" s="42" t="s">
        <v>716</v>
      </c>
      <c r="I17" s="48" t="s">
        <v>976</v>
      </c>
    </row>
    <row r="18" customFormat="false" ht="21.75" hidden="false" customHeight="true" outlineLevel="0" collapsed="false">
      <c r="A18" s="38" t="s">
        <v>977</v>
      </c>
      <c r="B18" s="38" t="s">
        <v>121</v>
      </c>
      <c r="C18" s="38" t="s">
        <v>978</v>
      </c>
      <c r="D18" s="42" t="s">
        <v>979</v>
      </c>
      <c r="E18" s="46"/>
      <c r="F18" s="38" t="s">
        <v>980</v>
      </c>
      <c r="G18" s="38" t="s">
        <v>859</v>
      </c>
      <c r="H18" s="42" t="s">
        <v>981</v>
      </c>
      <c r="I18" s="38" t="s">
        <v>982</v>
      </c>
    </row>
    <row r="19" customFormat="false" ht="15" hidden="false" customHeight="true" outlineLevel="0" collapsed="false">
      <c r="A19" s="48" t="s">
        <v>983</v>
      </c>
      <c r="B19" s="48" t="s">
        <v>121</v>
      </c>
      <c r="C19" s="48" t="s">
        <v>984</v>
      </c>
      <c r="D19" s="42" t="s">
        <v>985</v>
      </c>
      <c r="E19" s="46"/>
      <c r="F19" s="48" t="s">
        <v>944</v>
      </c>
      <c r="G19" s="48" t="s">
        <v>215</v>
      </c>
      <c r="H19" s="42" t="s">
        <v>716</v>
      </c>
      <c r="I19" s="48" t="s">
        <v>986</v>
      </c>
    </row>
    <row r="20" customFormat="false" ht="15" hidden="false" customHeight="true" outlineLevel="0" collapsed="false">
      <c r="A20" s="38" t="s">
        <v>987</v>
      </c>
      <c r="B20" s="38" t="s">
        <v>121</v>
      </c>
      <c r="C20" s="38" t="s">
        <v>988</v>
      </c>
      <c r="D20" s="42" t="s">
        <v>989</v>
      </c>
      <c r="E20" s="46"/>
      <c r="F20" s="38" t="s">
        <v>990</v>
      </c>
      <c r="G20" s="38" t="s">
        <v>276</v>
      </c>
      <c r="H20" s="42" t="s">
        <v>716</v>
      </c>
      <c r="I20" s="38" t="s">
        <v>991</v>
      </c>
    </row>
    <row r="22" customFormat="false" ht="15" hidden="false" customHeight="true" outlineLevel="0" collapsed="false">
      <c r="A22" s="17" t="s">
        <v>992</v>
      </c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</row>
  </sheetData>
  <mergeCells count="4">
    <mergeCell ref="A1:I1"/>
    <mergeCell ref="A2:I2"/>
    <mergeCell ref="A3:I3"/>
    <mergeCell ref="A22:I23"/>
  </mergeCells>
  <conditionalFormatting sqref="H6:H20">
    <cfRule type="cellIs" priority="2" operator="equal" aboveAverage="0" equalAverage="0" bottom="0" percent="0" rank="0" text="" dxfId="44">
      <formula>"ACTIVE"</formula>
    </cfRule>
  </conditionalFormatting>
  <dataValidations count="1">
    <dataValidation allowBlank="true" errorStyle="stop" operator="between" showDropDown="false" showErrorMessage="false" showInputMessage="false" sqref="H6:H20" type="list">
      <formula1>"Not started,In progress,ACTIVE,Blocked - needs K4Y,Contingency only,Lapsed"</formula1>
      <formula2>0</formula2>
    </dataValidation>
  </dataValidation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06_REGISTRATION_IDS</oddHeader>
    <oddFooter>&amp;L&amp;7 INTERNAL - KAYAN CONFIDENTIAL&amp;R&amp;7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true"/>
  </sheetPr>
  <dimension ref="A1:A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9" min="8" style="1" width="30"/>
    <col collapsed="false" customWidth="true" hidden="false" outlineLevel="0" max="11" min="10" style="1" width="14"/>
  </cols>
  <sheetData>
    <row r="1" customFormat="false" ht="25.5" hidden="false" customHeight="true" outlineLevel="0" collapsed="false">
      <c r="A1" s="2" t="s">
        <v>993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994</v>
      </c>
      <c r="B2" s="4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7.5" hidden="false" customHeight="true" outlineLevel="0" collapsed="false">
      <c r="A5" s="23" t="s">
        <v>707</v>
      </c>
      <c r="B5" s="23" t="s">
        <v>995</v>
      </c>
      <c r="C5" s="23" t="s">
        <v>996</v>
      </c>
      <c r="D5" s="23" t="s">
        <v>997</v>
      </c>
      <c r="E5" s="23" t="s">
        <v>998</v>
      </c>
      <c r="F5" s="23" t="s">
        <v>999</v>
      </c>
      <c r="G5" s="23" t="s">
        <v>712</v>
      </c>
      <c r="H5" s="23" t="s">
        <v>1000</v>
      </c>
      <c r="I5" s="23" t="s">
        <v>1001</v>
      </c>
      <c r="J5" s="23" t="s">
        <v>1002</v>
      </c>
      <c r="K5" s="23" t="s">
        <v>1003</v>
      </c>
    </row>
    <row r="6" customFormat="false" ht="21.75" hidden="false" customHeight="true" outlineLevel="0" collapsed="false">
      <c r="A6" s="38" t="n">
        <v>1</v>
      </c>
      <c r="B6" s="38" t="s">
        <v>1004</v>
      </c>
      <c r="C6" s="38" t="s">
        <v>1005</v>
      </c>
      <c r="D6" s="38" t="s">
        <v>1006</v>
      </c>
      <c r="E6" s="38" t="s">
        <v>1007</v>
      </c>
      <c r="F6" s="38" t="s">
        <v>1008</v>
      </c>
      <c r="G6" s="38" t="s">
        <v>717</v>
      </c>
      <c r="H6" s="38" t="s">
        <v>1009</v>
      </c>
      <c r="I6" s="38" t="s">
        <v>1010</v>
      </c>
      <c r="J6" s="38" t="s">
        <v>1011</v>
      </c>
      <c r="K6" s="38" t="s">
        <v>1012</v>
      </c>
    </row>
    <row r="7" customFormat="false" ht="32.25" hidden="false" customHeight="true" outlineLevel="0" collapsed="false">
      <c r="A7" s="48" t="n">
        <v>2</v>
      </c>
      <c r="B7" s="48" t="s">
        <v>1013</v>
      </c>
      <c r="C7" s="48" t="s">
        <v>1014</v>
      </c>
      <c r="D7" s="48" t="s">
        <v>1015</v>
      </c>
      <c r="E7" s="48" t="s">
        <v>1016</v>
      </c>
      <c r="F7" s="48" t="s">
        <v>1017</v>
      </c>
      <c r="G7" s="48" t="s">
        <v>1018</v>
      </c>
      <c r="H7" s="48" t="s">
        <v>1019</v>
      </c>
      <c r="I7" s="48" t="s">
        <v>1020</v>
      </c>
      <c r="J7" s="48" t="s">
        <v>1011</v>
      </c>
      <c r="K7" s="48" t="s">
        <v>1012</v>
      </c>
    </row>
    <row r="8" customFormat="false" ht="21.75" hidden="false" customHeight="true" outlineLevel="0" collapsed="false">
      <c r="A8" s="38" t="n">
        <v>3</v>
      </c>
      <c r="B8" s="38" t="s">
        <v>1021</v>
      </c>
      <c r="C8" s="38" t="s">
        <v>198</v>
      </c>
      <c r="D8" s="38" t="s">
        <v>1022</v>
      </c>
      <c r="E8" s="38" t="s">
        <v>1016</v>
      </c>
      <c r="F8" s="38" t="s">
        <v>1017</v>
      </c>
      <c r="G8" s="38" t="s">
        <v>717</v>
      </c>
      <c r="H8" s="38" t="s">
        <v>1023</v>
      </c>
      <c r="I8" s="38" t="s">
        <v>1024</v>
      </c>
      <c r="J8" s="38" t="s">
        <v>1011</v>
      </c>
      <c r="K8" s="38" t="s">
        <v>1012</v>
      </c>
    </row>
    <row r="9" customFormat="false" ht="15" hidden="false" customHeight="true" outlineLevel="0" collapsed="false">
      <c r="A9" s="48" t="n">
        <v>4</v>
      </c>
      <c r="B9" s="48" t="s">
        <v>1025</v>
      </c>
      <c r="C9" s="48" t="s">
        <v>1026</v>
      </c>
      <c r="D9" s="48" t="s">
        <v>1027</v>
      </c>
      <c r="E9" s="48" t="s">
        <v>1028</v>
      </c>
      <c r="F9" s="48" t="s">
        <v>390</v>
      </c>
      <c r="G9" s="48" t="s">
        <v>717</v>
      </c>
      <c r="H9" s="48" t="s">
        <v>1023</v>
      </c>
      <c r="I9" s="48" t="s">
        <v>181</v>
      </c>
      <c r="J9" s="48" t="s">
        <v>1011</v>
      </c>
      <c r="K9" s="48" t="s">
        <v>1029</v>
      </c>
    </row>
    <row r="10" customFormat="false" ht="15" hidden="false" customHeight="true" outlineLevel="0" collapsed="false">
      <c r="A10" s="38" t="n">
        <v>5</v>
      </c>
      <c r="B10" s="38" t="s">
        <v>1030</v>
      </c>
      <c r="C10" s="38" t="s">
        <v>1031</v>
      </c>
      <c r="D10" s="38" t="s">
        <v>1027</v>
      </c>
      <c r="E10" s="38" t="s">
        <v>1032</v>
      </c>
      <c r="F10" s="38" t="s">
        <v>390</v>
      </c>
      <c r="G10" s="38" t="s">
        <v>717</v>
      </c>
      <c r="H10" s="38" t="s">
        <v>1023</v>
      </c>
      <c r="I10" s="38" t="s">
        <v>181</v>
      </c>
      <c r="J10" s="38" t="s">
        <v>1033</v>
      </c>
      <c r="K10" s="38" t="s">
        <v>1034</v>
      </c>
    </row>
    <row r="11" customFormat="false" ht="15" hidden="false" customHeight="true" outlineLevel="0" collapsed="false">
      <c r="A11" s="48" t="n">
        <v>6</v>
      </c>
      <c r="B11" s="48" t="s">
        <v>1035</v>
      </c>
      <c r="C11" s="48" t="s">
        <v>1036</v>
      </c>
      <c r="D11" s="48" t="s">
        <v>1027</v>
      </c>
      <c r="E11" s="48" t="s">
        <v>1032</v>
      </c>
      <c r="F11" s="48" t="s">
        <v>390</v>
      </c>
      <c r="G11" s="48" t="s">
        <v>717</v>
      </c>
      <c r="H11" s="48" t="s">
        <v>1023</v>
      </c>
      <c r="I11" s="48" t="s">
        <v>181</v>
      </c>
      <c r="J11" s="48" t="s">
        <v>1033</v>
      </c>
      <c r="K11" s="48" t="s">
        <v>1034</v>
      </c>
    </row>
    <row r="12" customFormat="false" ht="21.75" hidden="false" customHeight="true" outlineLevel="0" collapsed="false">
      <c r="A12" s="38" t="n">
        <v>7</v>
      </c>
      <c r="B12" s="38" t="s">
        <v>1037</v>
      </c>
      <c r="C12" s="38" t="s">
        <v>1038</v>
      </c>
      <c r="D12" s="38" t="s">
        <v>1039</v>
      </c>
      <c r="E12" s="38" t="s">
        <v>1040</v>
      </c>
      <c r="F12" s="38" t="s">
        <v>390</v>
      </c>
      <c r="G12" s="38" t="s">
        <v>717</v>
      </c>
      <c r="H12" s="38" t="s">
        <v>1041</v>
      </c>
      <c r="I12" s="38" t="s">
        <v>1042</v>
      </c>
      <c r="J12" s="38" t="s">
        <v>1011</v>
      </c>
      <c r="K12" s="38" t="s">
        <v>1029</v>
      </c>
    </row>
    <row r="13" customFormat="false" ht="21.75" hidden="false" customHeight="true" outlineLevel="0" collapsed="false">
      <c r="A13" s="48" t="n">
        <v>8</v>
      </c>
      <c r="B13" s="48" t="s">
        <v>1043</v>
      </c>
      <c r="C13" s="48" t="s">
        <v>1044</v>
      </c>
      <c r="D13" s="48" t="s">
        <v>1045</v>
      </c>
      <c r="E13" s="48" t="s">
        <v>1007</v>
      </c>
      <c r="F13" s="48" t="s">
        <v>390</v>
      </c>
      <c r="G13" s="48" t="s">
        <v>717</v>
      </c>
      <c r="H13" s="48" t="s">
        <v>1046</v>
      </c>
      <c r="I13" s="48" t="s">
        <v>1047</v>
      </c>
      <c r="J13" s="48" t="s">
        <v>1033</v>
      </c>
      <c r="K13" s="48" t="s">
        <v>1029</v>
      </c>
    </row>
    <row r="14" customFormat="false" ht="21.75" hidden="false" customHeight="true" outlineLevel="0" collapsed="false">
      <c r="A14" s="38" t="n">
        <v>9</v>
      </c>
      <c r="B14" s="38" t="s">
        <v>1048</v>
      </c>
      <c r="C14" s="38" t="s">
        <v>1049</v>
      </c>
      <c r="D14" s="38" t="s">
        <v>1050</v>
      </c>
      <c r="E14" s="38" t="s">
        <v>1051</v>
      </c>
      <c r="F14" s="38" t="s">
        <v>1052</v>
      </c>
      <c r="G14" s="38" t="s">
        <v>717</v>
      </c>
      <c r="H14" s="38" t="s">
        <v>1053</v>
      </c>
      <c r="I14" s="38" t="s">
        <v>1054</v>
      </c>
      <c r="J14" s="38" t="s">
        <v>1011</v>
      </c>
      <c r="K14" s="38" t="s">
        <v>1034</v>
      </c>
    </row>
    <row r="15" customFormat="false" ht="15" hidden="false" customHeight="true" outlineLevel="0" collapsed="false">
      <c r="A15" s="48" t="n">
        <v>10</v>
      </c>
      <c r="B15" s="48" t="s">
        <v>1055</v>
      </c>
      <c r="C15" s="48" t="s">
        <v>1056</v>
      </c>
      <c r="D15" s="48" t="s">
        <v>1057</v>
      </c>
      <c r="E15" s="48" t="s">
        <v>1058</v>
      </c>
      <c r="F15" s="48" t="s">
        <v>1017</v>
      </c>
      <c r="G15" s="48" t="s">
        <v>717</v>
      </c>
      <c r="H15" s="48" t="s">
        <v>1059</v>
      </c>
      <c r="I15" s="48" t="s">
        <v>181</v>
      </c>
      <c r="J15" s="48" t="s">
        <v>1033</v>
      </c>
      <c r="K15" s="48" t="s">
        <v>1034</v>
      </c>
    </row>
    <row r="16" customFormat="false" ht="15" hidden="false" customHeight="true" outlineLevel="0" collapsed="false">
      <c r="A16" s="38" t="n">
        <v>11</v>
      </c>
      <c r="B16" s="38" t="s">
        <v>1060</v>
      </c>
      <c r="C16" s="38" t="s">
        <v>1061</v>
      </c>
      <c r="D16" s="38" t="s">
        <v>1027</v>
      </c>
      <c r="E16" s="38" t="s">
        <v>1062</v>
      </c>
      <c r="F16" s="38" t="s">
        <v>1063</v>
      </c>
      <c r="G16" s="38" t="s">
        <v>717</v>
      </c>
      <c r="H16" s="38" t="s">
        <v>1064</v>
      </c>
      <c r="I16" s="38" t="s">
        <v>181</v>
      </c>
      <c r="J16" s="38" t="s">
        <v>1033</v>
      </c>
      <c r="K16" s="38" t="s">
        <v>1029</v>
      </c>
    </row>
    <row r="17" customFormat="false" ht="15" hidden="false" customHeight="true" outlineLevel="0" collapsed="false">
      <c r="A17" s="48" t="n">
        <v>12</v>
      </c>
      <c r="B17" s="48" t="s">
        <v>1065</v>
      </c>
      <c r="C17" s="48" t="s">
        <v>1066</v>
      </c>
      <c r="D17" s="48" t="s">
        <v>1027</v>
      </c>
      <c r="E17" s="48" t="s">
        <v>1062</v>
      </c>
      <c r="F17" s="48" t="s">
        <v>390</v>
      </c>
      <c r="G17" s="48" t="s">
        <v>717</v>
      </c>
      <c r="H17" s="48" t="s">
        <v>1067</v>
      </c>
      <c r="I17" s="48" t="s">
        <v>181</v>
      </c>
      <c r="J17" s="48" t="s">
        <v>1033</v>
      </c>
      <c r="K17" s="48" t="s">
        <v>1029</v>
      </c>
    </row>
    <row r="18" customFormat="false" ht="21.75" hidden="false" customHeight="true" outlineLevel="0" collapsed="false">
      <c r="A18" s="38" t="n">
        <v>13</v>
      </c>
      <c r="B18" s="38" t="s">
        <v>1068</v>
      </c>
      <c r="C18" s="38" t="s">
        <v>1069</v>
      </c>
      <c r="D18" s="38" t="s">
        <v>1070</v>
      </c>
      <c r="E18" s="38" t="s">
        <v>1007</v>
      </c>
      <c r="F18" s="38" t="s">
        <v>1071</v>
      </c>
      <c r="G18" s="38" t="s">
        <v>717</v>
      </c>
      <c r="H18" s="38" t="s">
        <v>1072</v>
      </c>
      <c r="I18" s="38" t="s">
        <v>1073</v>
      </c>
      <c r="J18" s="38" t="s">
        <v>1033</v>
      </c>
      <c r="K18" s="38" t="s">
        <v>1029</v>
      </c>
    </row>
    <row r="19" customFormat="false" ht="15" hidden="false" customHeight="true" outlineLevel="0" collapsed="false">
      <c r="A19" s="48" t="n">
        <v>14</v>
      </c>
      <c r="B19" s="48" t="s">
        <v>1074</v>
      </c>
      <c r="C19" s="48" t="s">
        <v>1075</v>
      </c>
      <c r="D19" s="48" t="s">
        <v>1027</v>
      </c>
      <c r="E19" s="48" t="s">
        <v>1007</v>
      </c>
      <c r="F19" s="48" t="s">
        <v>390</v>
      </c>
      <c r="G19" s="48" t="s">
        <v>717</v>
      </c>
      <c r="H19" s="48" t="s">
        <v>1076</v>
      </c>
      <c r="I19" s="48" t="s">
        <v>1077</v>
      </c>
      <c r="J19" s="48" t="s">
        <v>1033</v>
      </c>
      <c r="K19" s="48" t="s">
        <v>1029</v>
      </c>
    </row>
    <row r="20" customFormat="false" ht="21.75" hidden="false" customHeight="true" outlineLevel="0" collapsed="false">
      <c r="A20" s="38" t="n">
        <v>15</v>
      </c>
      <c r="B20" s="38" t="s">
        <v>1078</v>
      </c>
      <c r="C20" s="38" t="s">
        <v>1079</v>
      </c>
      <c r="D20" s="38" t="s">
        <v>1027</v>
      </c>
      <c r="E20" s="38" t="s">
        <v>1080</v>
      </c>
      <c r="F20" s="38" t="s">
        <v>1081</v>
      </c>
      <c r="G20" s="38" t="s">
        <v>717</v>
      </c>
      <c r="H20" s="38" t="s">
        <v>1082</v>
      </c>
      <c r="I20" s="38" t="s">
        <v>1083</v>
      </c>
      <c r="J20" s="38" t="s">
        <v>1033</v>
      </c>
      <c r="K20" s="38" t="s">
        <v>1084</v>
      </c>
    </row>
    <row r="21" customFormat="false" ht="15" hidden="false" customHeight="true" outlineLevel="0" collapsed="false">
      <c r="A21" s="48" t="n">
        <v>16</v>
      </c>
      <c r="B21" s="48" t="s">
        <v>1085</v>
      </c>
      <c r="C21" s="48" t="s">
        <v>1086</v>
      </c>
      <c r="D21" s="48" t="s">
        <v>1027</v>
      </c>
      <c r="E21" s="48" t="s">
        <v>1007</v>
      </c>
      <c r="F21" s="48" t="s">
        <v>390</v>
      </c>
      <c r="G21" s="48" t="s">
        <v>717</v>
      </c>
      <c r="H21" s="48" t="s">
        <v>1087</v>
      </c>
      <c r="I21" s="48" t="s">
        <v>181</v>
      </c>
      <c r="J21" s="48" t="s">
        <v>1033</v>
      </c>
      <c r="K21" s="48" t="s">
        <v>1084</v>
      </c>
    </row>
    <row r="22" customFormat="false" ht="21.75" hidden="false" customHeight="true" outlineLevel="0" collapsed="false">
      <c r="A22" s="38" t="n">
        <v>17</v>
      </c>
      <c r="B22" s="38" t="s">
        <v>1088</v>
      </c>
      <c r="C22" s="38" t="s">
        <v>1089</v>
      </c>
      <c r="D22" s="38" t="s">
        <v>1090</v>
      </c>
      <c r="E22" s="38" t="s">
        <v>1091</v>
      </c>
      <c r="F22" s="38" t="s">
        <v>1017</v>
      </c>
      <c r="G22" s="38" t="s">
        <v>1092</v>
      </c>
      <c r="H22" s="38" t="s">
        <v>1093</v>
      </c>
      <c r="I22" s="38" t="s">
        <v>1094</v>
      </c>
      <c r="J22" s="38" t="s">
        <v>1033</v>
      </c>
      <c r="K22" s="38" t="s">
        <v>1095</v>
      </c>
    </row>
    <row r="23" customFormat="false" ht="15" hidden="false" customHeight="true" outlineLevel="0" collapsed="false">
      <c r="A23" s="48" t="n">
        <v>18</v>
      </c>
      <c r="B23" s="48" t="s">
        <v>1096</v>
      </c>
      <c r="C23" s="48" t="s">
        <v>1097</v>
      </c>
      <c r="D23" s="48" t="s">
        <v>1090</v>
      </c>
      <c r="E23" s="48" t="s">
        <v>1091</v>
      </c>
      <c r="F23" s="48" t="s">
        <v>1017</v>
      </c>
      <c r="G23" s="48" t="s">
        <v>1098</v>
      </c>
      <c r="H23" s="48" t="s">
        <v>1093</v>
      </c>
      <c r="I23" s="48" t="s">
        <v>1099</v>
      </c>
      <c r="J23" s="48" t="s">
        <v>1033</v>
      </c>
      <c r="K23" s="48" t="s">
        <v>1100</v>
      </c>
    </row>
    <row r="24" customFormat="false" ht="15" hidden="false" customHeight="true" outlineLevel="0" collapsed="false">
      <c r="A24" s="38" t="n">
        <v>19</v>
      </c>
      <c r="B24" s="38" t="s">
        <v>1101</v>
      </c>
      <c r="C24" s="38" t="s">
        <v>1102</v>
      </c>
      <c r="D24" s="38" t="s">
        <v>1103</v>
      </c>
      <c r="E24" s="38" t="s">
        <v>1104</v>
      </c>
      <c r="F24" s="38" t="s">
        <v>1017</v>
      </c>
      <c r="G24" s="38" t="s">
        <v>1105</v>
      </c>
      <c r="H24" s="38" t="s">
        <v>1106</v>
      </c>
      <c r="I24" s="38" t="s">
        <v>1107</v>
      </c>
      <c r="J24" s="38" t="s">
        <v>1033</v>
      </c>
      <c r="K24" s="38" t="s">
        <v>1029</v>
      </c>
    </row>
    <row r="25" customFormat="false" ht="21.75" hidden="false" customHeight="true" outlineLevel="0" collapsed="false">
      <c r="A25" s="48" t="n">
        <v>20</v>
      </c>
      <c r="B25" s="48" t="s">
        <v>1108</v>
      </c>
      <c r="C25" s="48" t="s">
        <v>1109</v>
      </c>
      <c r="D25" s="48" t="s">
        <v>1027</v>
      </c>
      <c r="E25" s="48" t="s">
        <v>1110</v>
      </c>
      <c r="F25" s="48" t="s">
        <v>1017</v>
      </c>
      <c r="G25" s="48" t="s">
        <v>717</v>
      </c>
      <c r="H25" s="48" t="s">
        <v>1111</v>
      </c>
      <c r="I25" s="48" t="s">
        <v>1112</v>
      </c>
      <c r="J25" s="48" t="s">
        <v>1011</v>
      </c>
      <c r="K25" s="48" t="s">
        <v>1113</v>
      </c>
    </row>
    <row r="27" customFormat="false" ht="15.75" hidden="false" customHeight="true" outlineLevel="0" collapsed="false">
      <c r="B27" s="6" t="s">
        <v>1114</v>
      </c>
    </row>
    <row r="28" customFormat="false" ht="27.75" hidden="false" customHeight="true" outlineLevel="0" collapsed="false">
      <c r="B28" s="19" t="s">
        <v>1115</v>
      </c>
      <c r="C28" s="19"/>
      <c r="D28" s="19"/>
      <c r="E28" s="19"/>
      <c r="F28" s="19"/>
      <c r="G28" s="19"/>
      <c r="H28" s="19"/>
      <c r="I28" s="19"/>
    </row>
    <row r="29" customFormat="false" ht="27.75" hidden="false" customHeight="true" outlineLevel="0" collapsed="false">
      <c r="B29" s="19" t="s">
        <v>1116</v>
      </c>
      <c r="C29" s="19"/>
      <c r="D29" s="19"/>
      <c r="E29" s="19"/>
      <c r="F29" s="19"/>
      <c r="G29" s="19"/>
      <c r="H29" s="19"/>
      <c r="I29" s="19"/>
    </row>
    <row r="30" customFormat="false" ht="27.75" hidden="false" customHeight="true" outlineLevel="0" collapsed="false">
      <c r="B30" s="19" t="s">
        <v>1117</v>
      </c>
      <c r="C30" s="19"/>
      <c r="D30" s="19"/>
      <c r="E30" s="19"/>
      <c r="F30" s="19"/>
      <c r="G30" s="19"/>
      <c r="H30" s="19"/>
      <c r="I30" s="19"/>
    </row>
    <row r="31" customFormat="false" ht="27.75" hidden="false" customHeight="true" outlineLevel="0" collapsed="false">
      <c r="B31" s="19" t="s">
        <v>1118</v>
      </c>
      <c r="C31" s="19"/>
      <c r="D31" s="19"/>
      <c r="E31" s="19"/>
      <c r="F31" s="19"/>
      <c r="G31" s="19"/>
      <c r="H31" s="19"/>
      <c r="I31" s="19"/>
    </row>
    <row r="32" customFormat="false" ht="6" hidden="false" customHeight="true" outlineLevel="0" collapsed="false">
      <c r="B32" s="17"/>
      <c r="C32" s="17"/>
      <c r="D32" s="17"/>
      <c r="E32" s="17"/>
      <c r="F32" s="17"/>
      <c r="G32" s="17"/>
      <c r="H32" s="17"/>
      <c r="I32" s="17"/>
    </row>
    <row r="33" customFormat="false" ht="27.75" hidden="false" customHeight="true" outlineLevel="0" collapsed="false">
      <c r="B33" s="19" t="s">
        <v>1119</v>
      </c>
      <c r="C33" s="19"/>
      <c r="D33" s="19"/>
      <c r="E33" s="19"/>
      <c r="F33" s="19"/>
      <c r="G33" s="19"/>
      <c r="H33" s="19"/>
      <c r="I33" s="19"/>
    </row>
  </sheetData>
  <mergeCells count="9">
    <mergeCell ref="A1:K1"/>
    <mergeCell ref="A2:K2"/>
    <mergeCell ref="A3:K3"/>
    <mergeCell ref="B28:I28"/>
    <mergeCell ref="B29:I29"/>
    <mergeCell ref="B30:I30"/>
    <mergeCell ref="B31:I31"/>
    <mergeCell ref="B32:I32"/>
    <mergeCell ref="B33:I33"/>
  </mergeCells>
  <conditionalFormatting sqref="J6:J25">
    <cfRule type="cellIs" priority="2" operator="equal" aboveAverage="0" equalAverage="0" bottom="0" percent="0" rank="0" text="" dxfId="39">
      <formula>"CORE"</formula>
    </cfRule>
  </conditionalFormatting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07_API_MONITORING</oddHeader>
    <oddFooter>&amp;L&amp;7 INTERNAL - KAYAN CONFIDENTIAL&amp;R&amp;7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9A28"/>
    <pageSetUpPr fitToPage="true"/>
  </sheetPr>
  <dimension ref="A1:A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50"/>
    <col collapsed="false" customWidth="true" hidden="false" outlineLevel="0" max="4" min="4" style="1" width="44"/>
    <col collapsed="false" customWidth="true" hidden="false" outlineLevel="0" max="5" min="5" style="1" width="26"/>
    <col collapsed="false" customWidth="true" hidden="false" outlineLevel="0" max="6" min="6" style="1" width="50"/>
    <col collapsed="false" customWidth="true" hidden="false" outlineLevel="0" max="7" min="7" style="1" width="14"/>
  </cols>
  <sheetData>
    <row r="1" customFormat="false" ht="25.5" hidden="false" customHeight="true" outlineLevel="0" collapsed="false">
      <c r="A1" s="2" t="s">
        <v>1120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1121</v>
      </c>
      <c r="B2" s="4"/>
      <c r="C2" s="4"/>
      <c r="D2" s="4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1.5" hidden="false" customHeight="true" outlineLevel="0" collapsed="false">
      <c r="A5" s="23" t="s">
        <v>1122</v>
      </c>
      <c r="B5" s="23" t="s">
        <v>1123</v>
      </c>
      <c r="C5" s="23" t="s">
        <v>156</v>
      </c>
      <c r="D5" s="23" t="s">
        <v>1124</v>
      </c>
      <c r="E5" s="23" t="s">
        <v>1125</v>
      </c>
      <c r="F5" s="23" t="s">
        <v>1126</v>
      </c>
      <c r="G5" s="23" t="s">
        <v>171</v>
      </c>
    </row>
    <row r="6" customFormat="false" ht="15" hidden="false" customHeight="true" outlineLevel="0" collapsed="false">
      <c r="A6" s="38" t="s">
        <v>284</v>
      </c>
      <c r="B6" s="38" t="s">
        <v>1127</v>
      </c>
      <c r="C6" s="38" t="s">
        <v>183</v>
      </c>
      <c r="D6" s="38" t="s">
        <v>1128</v>
      </c>
      <c r="E6" s="38" t="s">
        <v>1129</v>
      </c>
      <c r="F6" s="38" t="s">
        <v>1130</v>
      </c>
      <c r="G6" s="38" t="s">
        <v>190</v>
      </c>
    </row>
    <row r="7" customFormat="false" ht="15" hidden="false" customHeight="true" outlineLevel="0" collapsed="false">
      <c r="A7" s="48" t="s">
        <v>193</v>
      </c>
      <c r="B7" s="48" t="s">
        <v>1131</v>
      </c>
      <c r="C7" s="48" t="s">
        <v>198</v>
      </c>
      <c r="D7" s="48" t="s">
        <v>1132</v>
      </c>
      <c r="E7" s="48" t="s">
        <v>1133</v>
      </c>
      <c r="F7" s="48" t="s">
        <v>1134</v>
      </c>
      <c r="G7" s="48" t="s">
        <v>190</v>
      </c>
    </row>
    <row r="8" customFormat="false" ht="21.75" hidden="false" customHeight="true" outlineLevel="0" collapsed="false">
      <c r="A8" s="38" t="s">
        <v>305</v>
      </c>
      <c r="B8" s="38" t="s">
        <v>1135</v>
      </c>
      <c r="C8" s="38" t="s">
        <v>312</v>
      </c>
      <c r="D8" s="38" t="s">
        <v>811</v>
      </c>
      <c r="E8" s="38" t="s">
        <v>1136</v>
      </c>
      <c r="F8" s="38" t="s">
        <v>1137</v>
      </c>
      <c r="G8" s="38" t="s">
        <v>190</v>
      </c>
    </row>
    <row r="9" customFormat="false" ht="15" hidden="false" customHeight="true" outlineLevel="0" collapsed="false">
      <c r="A9" s="48" t="s">
        <v>1138</v>
      </c>
      <c r="B9" s="48" t="s">
        <v>1139</v>
      </c>
      <c r="C9" s="48" t="s">
        <v>334</v>
      </c>
      <c r="D9" s="48" t="s">
        <v>1140</v>
      </c>
      <c r="E9" s="48" t="s">
        <v>1129</v>
      </c>
      <c r="F9" s="48" t="s">
        <v>1141</v>
      </c>
      <c r="G9" s="48" t="s">
        <v>190</v>
      </c>
    </row>
    <row r="10" customFormat="false" ht="15" hidden="false" customHeight="true" outlineLevel="0" collapsed="false">
      <c r="A10" s="38" t="s">
        <v>1142</v>
      </c>
      <c r="B10" s="38" t="s">
        <v>1143</v>
      </c>
      <c r="C10" s="38" t="s">
        <v>347</v>
      </c>
      <c r="D10" s="38" t="s">
        <v>1144</v>
      </c>
      <c r="E10" s="38" t="s">
        <v>1129</v>
      </c>
      <c r="F10" s="38" t="s">
        <v>1145</v>
      </c>
      <c r="G10" s="38" t="s">
        <v>190</v>
      </c>
    </row>
    <row r="11" customFormat="false" ht="15" hidden="false" customHeight="true" outlineLevel="0" collapsed="false">
      <c r="A11" s="48" t="s">
        <v>1146</v>
      </c>
      <c r="B11" s="48" t="s">
        <v>1147</v>
      </c>
      <c r="C11" s="48" t="s">
        <v>361</v>
      </c>
      <c r="D11" s="48" t="s">
        <v>1148</v>
      </c>
      <c r="E11" s="48" t="s">
        <v>1149</v>
      </c>
      <c r="F11" s="48" t="s">
        <v>1150</v>
      </c>
      <c r="G11" s="48" t="s">
        <v>190</v>
      </c>
    </row>
    <row r="12" customFormat="false" ht="15" hidden="false" customHeight="true" outlineLevel="0" collapsed="false">
      <c r="A12" s="38" t="s">
        <v>1151</v>
      </c>
      <c r="B12" s="38" t="s">
        <v>1152</v>
      </c>
      <c r="C12" s="38" t="s">
        <v>375</v>
      </c>
      <c r="D12" s="38" t="s">
        <v>1153</v>
      </c>
      <c r="E12" s="38" t="s">
        <v>1154</v>
      </c>
      <c r="F12" s="38" t="s">
        <v>1155</v>
      </c>
      <c r="G12" s="38" t="s">
        <v>190</v>
      </c>
    </row>
    <row r="13" customFormat="false" ht="21.75" hidden="false" customHeight="true" outlineLevel="0" collapsed="false">
      <c r="A13" s="48" t="s">
        <v>1156</v>
      </c>
      <c r="B13" s="48" t="s">
        <v>1157</v>
      </c>
      <c r="C13" s="48" t="s">
        <v>401</v>
      </c>
      <c r="D13" s="48" t="s">
        <v>1158</v>
      </c>
      <c r="E13" s="48" t="s">
        <v>1159</v>
      </c>
      <c r="F13" s="48" t="s">
        <v>1160</v>
      </c>
      <c r="G13" s="48" t="s">
        <v>190</v>
      </c>
    </row>
    <row r="14" customFormat="false" ht="15" hidden="false" customHeight="true" outlineLevel="0" collapsed="false">
      <c r="A14" s="38" t="s">
        <v>1161</v>
      </c>
      <c r="B14" s="38" t="s">
        <v>1162</v>
      </c>
      <c r="C14" s="38" t="s">
        <v>414</v>
      </c>
      <c r="D14" s="38" t="s">
        <v>1163</v>
      </c>
      <c r="E14" s="38" t="s">
        <v>1164</v>
      </c>
      <c r="F14" s="38" t="s">
        <v>1165</v>
      </c>
      <c r="G14" s="38" t="s">
        <v>190</v>
      </c>
    </row>
    <row r="15" customFormat="false" ht="21.75" hidden="false" customHeight="true" outlineLevel="0" collapsed="false">
      <c r="A15" s="48" t="s">
        <v>1166</v>
      </c>
      <c r="B15" s="48" t="s">
        <v>1167</v>
      </c>
      <c r="C15" s="48" t="s">
        <v>427</v>
      </c>
      <c r="D15" s="48" t="s">
        <v>1168</v>
      </c>
      <c r="E15" s="48" t="s">
        <v>1169</v>
      </c>
      <c r="F15" s="48" t="s">
        <v>1170</v>
      </c>
      <c r="G15" s="48" t="s">
        <v>190</v>
      </c>
    </row>
    <row r="16" customFormat="false" ht="21.75" hidden="false" customHeight="true" outlineLevel="0" collapsed="false">
      <c r="A16" s="38" t="s">
        <v>1171</v>
      </c>
      <c r="B16" s="38" t="s">
        <v>1172</v>
      </c>
      <c r="C16" s="38" t="s">
        <v>440</v>
      </c>
      <c r="D16" s="38" t="s">
        <v>1173</v>
      </c>
      <c r="E16" s="38" t="s">
        <v>1174</v>
      </c>
      <c r="F16" s="38" t="s">
        <v>1175</v>
      </c>
      <c r="G16" s="38" t="s">
        <v>190</v>
      </c>
    </row>
    <row r="17" customFormat="false" ht="15" hidden="false" customHeight="true" outlineLevel="0" collapsed="false">
      <c r="A17" s="48" t="s">
        <v>1176</v>
      </c>
      <c r="B17" s="48" t="s">
        <v>1177</v>
      </c>
      <c r="C17" s="48" t="s">
        <v>452</v>
      </c>
      <c r="D17" s="48" t="s">
        <v>1178</v>
      </c>
      <c r="E17" s="48" t="s">
        <v>1179</v>
      </c>
      <c r="F17" s="48" t="s">
        <v>1180</v>
      </c>
      <c r="G17" s="48" t="s">
        <v>190</v>
      </c>
    </row>
    <row r="18" customFormat="false" ht="15" hidden="false" customHeight="true" outlineLevel="0" collapsed="false">
      <c r="A18" s="38" t="s">
        <v>473</v>
      </c>
      <c r="B18" s="38" t="s">
        <v>1181</v>
      </c>
      <c r="C18" s="38" t="s">
        <v>478</v>
      </c>
      <c r="D18" s="38" t="s">
        <v>1182</v>
      </c>
      <c r="E18" s="38" t="s">
        <v>1183</v>
      </c>
      <c r="F18" s="38" t="s">
        <v>1184</v>
      </c>
      <c r="G18" s="38" t="s">
        <v>190</v>
      </c>
    </row>
    <row r="19" customFormat="false" ht="15" hidden="false" customHeight="true" outlineLevel="0" collapsed="false">
      <c r="A19" s="48" t="s">
        <v>1185</v>
      </c>
      <c r="B19" s="48" t="s">
        <v>1186</v>
      </c>
      <c r="C19" s="48" t="s">
        <v>466</v>
      </c>
      <c r="D19" s="48" t="s">
        <v>1187</v>
      </c>
      <c r="E19" s="48" t="s">
        <v>1188</v>
      </c>
      <c r="F19" s="48" t="s">
        <v>1189</v>
      </c>
      <c r="G19" s="48" t="s">
        <v>190</v>
      </c>
    </row>
    <row r="20" customFormat="false" ht="15" hidden="false" customHeight="true" outlineLevel="0" collapsed="false">
      <c r="A20" s="38" t="s">
        <v>694</v>
      </c>
      <c r="B20" s="38" t="s">
        <v>1190</v>
      </c>
      <c r="C20" s="38" t="s">
        <v>502</v>
      </c>
      <c r="D20" s="38" t="s">
        <v>1191</v>
      </c>
      <c r="E20" s="38" t="s">
        <v>1192</v>
      </c>
      <c r="F20" s="38" t="s">
        <v>1193</v>
      </c>
      <c r="G20" s="38" t="s">
        <v>190</v>
      </c>
    </row>
    <row r="21" customFormat="false" ht="15" hidden="false" customHeight="true" outlineLevel="0" collapsed="false">
      <c r="A21" s="48" t="s">
        <v>1194</v>
      </c>
      <c r="B21" s="48" t="s">
        <v>1195</v>
      </c>
      <c r="C21" s="48" t="s">
        <v>526</v>
      </c>
      <c r="D21" s="48" t="s">
        <v>1196</v>
      </c>
      <c r="E21" s="48" t="s">
        <v>1129</v>
      </c>
      <c r="F21" s="48" t="s">
        <v>1197</v>
      </c>
      <c r="G21" s="48" t="s">
        <v>190</v>
      </c>
    </row>
    <row r="22" customFormat="false" ht="15" hidden="false" customHeight="true" outlineLevel="0" collapsed="false">
      <c r="A22" s="38" t="s">
        <v>535</v>
      </c>
      <c r="B22" s="38" t="s">
        <v>1198</v>
      </c>
      <c r="C22" s="38" t="s">
        <v>540</v>
      </c>
      <c r="D22" s="38" t="s">
        <v>1199</v>
      </c>
      <c r="E22" s="38" t="s">
        <v>1129</v>
      </c>
      <c r="F22" s="38" t="s">
        <v>1200</v>
      </c>
      <c r="G22" s="38" t="s">
        <v>190</v>
      </c>
    </row>
    <row r="23" customFormat="false" ht="15" hidden="false" customHeight="true" outlineLevel="0" collapsed="false">
      <c r="A23" s="48" t="s">
        <v>560</v>
      </c>
      <c r="B23" s="48" t="s">
        <v>1201</v>
      </c>
      <c r="C23" s="48" t="s">
        <v>565</v>
      </c>
      <c r="D23" s="48" t="s">
        <v>1202</v>
      </c>
      <c r="E23" s="48" t="s">
        <v>1203</v>
      </c>
      <c r="F23" s="48" t="s">
        <v>1204</v>
      </c>
      <c r="G23" s="48" t="s">
        <v>190</v>
      </c>
    </row>
    <row r="24" customFormat="false" ht="15" hidden="false" customHeight="true" outlineLevel="0" collapsed="false">
      <c r="A24" s="38" t="s">
        <v>548</v>
      </c>
      <c r="B24" s="38" t="s">
        <v>1205</v>
      </c>
      <c r="C24" s="38" t="s">
        <v>552</v>
      </c>
      <c r="D24" s="38" t="s">
        <v>1206</v>
      </c>
      <c r="E24" s="38" t="s">
        <v>1129</v>
      </c>
      <c r="F24" s="38" t="s">
        <v>1207</v>
      </c>
      <c r="G24" s="38" t="s">
        <v>190</v>
      </c>
    </row>
    <row r="25" customFormat="false" ht="21.75" hidden="false" customHeight="true" outlineLevel="0" collapsed="false">
      <c r="A25" s="48" t="s">
        <v>1208</v>
      </c>
      <c r="B25" s="48" t="s">
        <v>1209</v>
      </c>
      <c r="C25" s="48" t="s">
        <v>578</v>
      </c>
      <c r="D25" s="48" t="s">
        <v>1210</v>
      </c>
      <c r="E25" s="48" t="s">
        <v>1211</v>
      </c>
      <c r="F25" s="48" t="s">
        <v>1212</v>
      </c>
      <c r="G25" s="48" t="s">
        <v>190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08_CONTACTS_PORTALS</oddHeader>
    <oddFooter>&amp;L&amp;7 INTERNAL - KAYAN CONFIDENTIAL&amp;R&amp;7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9A28"/>
    <pageSetUpPr fitToPage="true"/>
  </sheetPr>
  <dimension ref="A1:A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26"/>
  </cols>
  <sheetData>
    <row r="1" customFormat="false" ht="25.5" hidden="false" customHeight="true" outlineLevel="0" collapsed="false">
      <c r="A1" s="2" t="s">
        <v>1213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1214</v>
      </c>
      <c r="B2" s="4"/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15" hidden="false" customHeight="true" outlineLevel="0" collapsed="false">
      <c r="A5" s="23" t="s">
        <v>92</v>
      </c>
      <c r="B5" s="23" t="s">
        <v>1215</v>
      </c>
      <c r="C5" s="23" t="s">
        <v>119</v>
      </c>
      <c r="D5" s="23" t="s">
        <v>145</v>
      </c>
      <c r="E5" s="23" t="s">
        <v>89</v>
      </c>
      <c r="F5" s="23" t="s">
        <v>136</v>
      </c>
      <c r="G5" s="23" t="s">
        <v>1216</v>
      </c>
      <c r="H5" s="23" t="s">
        <v>1217</v>
      </c>
      <c r="I5" s="23" t="s">
        <v>1218</v>
      </c>
      <c r="J5" s="23" t="s">
        <v>1219</v>
      </c>
    </row>
    <row r="6" customFormat="false" ht="15" hidden="false" customHeight="true" outlineLevel="0" collapsed="false">
      <c r="A6" s="26" t="s">
        <v>96</v>
      </c>
      <c r="B6" s="26" t="s">
        <v>120</v>
      </c>
      <c r="C6" s="26" t="s">
        <v>121</v>
      </c>
      <c r="D6" s="26" t="s">
        <v>1220</v>
      </c>
      <c r="E6" s="26" t="s">
        <v>95</v>
      </c>
      <c r="F6" s="26" t="s">
        <v>365</v>
      </c>
      <c r="G6" s="26" t="s">
        <v>181</v>
      </c>
      <c r="H6" s="26" t="s">
        <v>190</v>
      </c>
      <c r="I6" s="26" t="s">
        <v>1221</v>
      </c>
      <c r="J6" s="26" t="s">
        <v>1222</v>
      </c>
    </row>
    <row r="7" customFormat="false" ht="15" hidden="false" customHeight="true" outlineLevel="0" collapsed="false">
      <c r="A7" s="26" t="s">
        <v>98</v>
      </c>
      <c r="B7" s="26" t="s">
        <v>122</v>
      </c>
      <c r="C7" s="26" t="s">
        <v>123</v>
      </c>
      <c r="D7" s="26" t="s">
        <v>307</v>
      </c>
      <c r="E7" s="26" t="s">
        <v>97</v>
      </c>
      <c r="F7" s="26" t="s">
        <v>215</v>
      </c>
      <c r="G7" s="26" t="s">
        <v>235</v>
      </c>
      <c r="H7" s="26" t="s">
        <v>381</v>
      </c>
      <c r="I7" s="26" t="s">
        <v>1223</v>
      </c>
      <c r="J7" s="26" t="s">
        <v>1224</v>
      </c>
    </row>
    <row r="8" customFormat="false" ht="15" hidden="false" customHeight="true" outlineLevel="0" collapsed="false">
      <c r="A8" s="26" t="s">
        <v>101</v>
      </c>
      <c r="B8" s="26" t="s">
        <v>124</v>
      </c>
      <c r="C8" s="26" t="s">
        <v>125</v>
      </c>
      <c r="D8" s="26" t="s">
        <v>357</v>
      </c>
      <c r="E8" s="26" t="s">
        <v>100</v>
      </c>
      <c r="F8" s="26" t="s">
        <v>276</v>
      </c>
      <c r="G8" s="26" t="s">
        <v>1225</v>
      </c>
      <c r="H8" s="26" t="s">
        <v>594</v>
      </c>
      <c r="I8" s="26" t="s">
        <v>1226</v>
      </c>
      <c r="J8" s="26" t="s">
        <v>1227</v>
      </c>
    </row>
    <row r="9" customFormat="false" ht="15" hidden="false" customHeight="true" outlineLevel="0" collapsed="false">
      <c r="A9" s="26" t="s">
        <v>103</v>
      </c>
      <c r="B9" s="26" t="s">
        <v>126</v>
      </c>
      <c r="C9" s="26" t="s">
        <v>127</v>
      </c>
      <c r="D9" s="26" t="s">
        <v>177</v>
      </c>
      <c r="E9" s="26" t="s">
        <v>102</v>
      </c>
      <c r="F9" s="26" t="s">
        <v>187</v>
      </c>
      <c r="G9" s="26" t="s">
        <v>1228</v>
      </c>
      <c r="H9" s="26" t="s">
        <v>691</v>
      </c>
      <c r="J9" s="26" t="s">
        <v>307</v>
      </c>
    </row>
    <row r="10" customFormat="false" ht="15" hidden="false" customHeight="true" outlineLevel="0" collapsed="false">
      <c r="A10" s="26" t="s">
        <v>105</v>
      </c>
      <c r="B10" s="26" t="s">
        <v>128</v>
      </c>
      <c r="D10" s="26" t="s">
        <v>462</v>
      </c>
      <c r="E10" s="26" t="s">
        <v>104</v>
      </c>
      <c r="F10" s="26" t="s">
        <v>859</v>
      </c>
      <c r="J10" s="26" t="s">
        <v>1229</v>
      </c>
    </row>
    <row r="11" customFormat="false" ht="15" hidden="false" customHeight="true" outlineLevel="0" collapsed="false">
      <c r="A11" s="26" t="s">
        <v>107</v>
      </c>
      <c r="B11" s="26" t="s">
        <v>129</v>
      </c>
      <c r="D11" s="26" t="s">
        <v>385</v>
      </c>
      <c r="E11" s="26" t="s">
        <v>106</v>
      </c>
      <c r="F11" s="26" t="s">
        <v>530</v>
      </c>
    </row>
    <row r="12" customFormat="false" ht="15" hidden="false" customHeight="true" outlineLevel="0" collapsed="false">
      <c r="A12" s="26" t="s">
        <v>109</v>
      </c>
      <c r="E12" s="26" t="s">
        <v>108</v>
      </c>
      <c r="F12" s="26" t="s">
        <v>300</v>
      </c>
    </row>
    <row r="13" customFormat="false" ht="15" hidden="false" customHeight="true" outlineLevel="0" collapsed="false">
      <c r="A13" s="26" t="s">
        <v>111</v>
      </c>
      <c r="E13" s="26" t="s">
        <v>110</v>
      </c>
    </row>
    <row r="14" customFormat="false" ht="15" hidden="false" customHeight="true" outlineLevel="0" collapsed="false">
      <c r="A14" s="26" t="s">
        <v>113</v>
      </c>
      <c r="E14" s="26" t="s">
        <v>112</v>
      </c>
    </row>
    <row r="15" customFormat="false" ht="15" hidden="false" customHeight="true" outlineLevel="0" collapsed="false">
      <c r="E15" s="26" t="s">
        <v>114</v>
      </c>
    </row>
    <row r="20" customFormat="false" ht="15" hidden="false" customHeight="true" outlineLevel="0" collapsed="false">
      <c r="A20" s="17" t="s">
        <v>1230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</row>
  </sheetData>
  <mergeCells count="4">
    <mergeCell ref="A1:J1"/>
    <mergeCell ref="A2:J2"/>
    <mergeCell ref="A3:J3"/>
    <mergeCell ref="A20:J21"/>
  </mergeCell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09_MASTER_LISTS</oddHeader>
    <oddFooter>&amp;L&amp;7 INTERNAL - KAYAN CONFIDENTIAL&amp;R&amp;7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3B42"/>
    <pageSetUpPr fitToPage="true"/>
  </sheetPr>
  <dimension ref="A1:A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66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" t="s">
        <v>1231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1232</v>
      </c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0" hidden="false" customHeight="true" outlineLevel="0" collapsed="false">
      <c r="A5" s="23" t="s">
        <v>1233</v>
      </c>
      <c r="B5" s="23" t="s">
        <v>1234</v>
      </c>
      <c r="C5" s="23" t="s">
        <v>1235</v>
      </c>
      <c r="D5" s="23" t="s">
        <v>1236</v>
      </c>
      <c r="E5" s="23" t="s">
        <v>1237</v>
      </c>
      <c r="F5" s="23" t="s">
        <v>136</v>
      </c>
    </row>
    <row r="6" customFormat="false" ht="15" hidden="false" customHeight="true" outlineLevel="0" collapsed="false">
      <c r="A6" s="38" t="s">
        <v>1238</v>
      </c>
      <c r="B6" s="38" t="s">
        <v>132</v>
      </c>
      <c r="C6" s="38" t="s">
        <v>1239</v>
      </c>
      <c r="D6" s="38" t="s">
        <v>1240</v>
      </c>
      <c r="E6" s="38" t="s">
        <v>1241</v>
      </c>
      <c r="F6" s="38" t="s">
        <v>215</v>
      </c>
    </row>
    <row r="7" customFormat="false" ht="15" hidden="false" customHeight="true" outlineLevel="0" collapsed="false">
      <c r="A7" s="48" t="s">
        <v>1242</v>
      </c>
      <c r="B7" s="48" t="s">
        <v>141</v>
      </c>
      <c r="C7" s="48" t="s">
        <v>1243</v>
      </c>
      <c r="D7" s="48" t="s">
        <v>1244</v>
      </c>
      <c r="E7" s="48" t="s">
        <v>1241</v>
      </c>
      <c r="F7" s="48" t="s">
        <v>215</v>
      </c>
    </row>
    <row r="8" customFormat="false" ht="15" hidden="false" customHeight="true" outlineLevel="0" collapsed="false">
      <c r="A8" s="38" t="s">
        <v>1245</v>
      </c>
      <c r="B8" s="38" t="s">
        <v>142</v>
      </c>
      <c r="C8" s="38" t="s">
        <v>1246</v>
      </c>
      <c r="D8" s="38" t="s">
        <v>1244</v>
      </c>
      <c r="E8" s="38" t="s">
        <v>1241</v>
      </c>
      <c r="F8" s="38" t="s">
        <v>215</v>
      </c>
    </row>
    <row r="9" customFormat="false" ht="15" hidden="false" customHeight="true" outlineLevel="0" collapsed="false">
      <c r="A9" s="48" t="s">
        <v>1247</v>
      </c>
      <c r="B9" s="48" t="s">
        <v>92</v>
      </c>
      <c r="C9" s="48" t="s">
        <v>1248</v>
      </c>
      <c r="D9" s="48" t="s">
        <v>1249</v>
      </c>
      <c r="E9" s="48" t="s">
        <v>1250</v>
      </c>
      <c r="F9" s="48" t="s">
        <v>215</v>
      </c>
    </row>
    <row r="10" customFormat="false" ht="15" hidden="false" customHeight="true" outlineLevel="0" collapsed="false">
      <c r="A10" s="38" t="s">
        <v>1251</v>
      </c>
      <c r="B10" s="38" t="s">
        <v>143</v>
      </c>
      <c r="C10" s="38" t="s">
        <v>1252</v>
      </c>
      <c r="D10" s="38" t="s">
        <v>1253</v>
      </c>
      <c r="E10" s="38" t="s">
        <v>1250</v>
      </c>
      <c r="F10" s="38" t="s">
        <v>215</v>
      </c>
    </row>
    <row r="11" customFormat="false" ht="15" hidden="false" customHeight="true" outlineLevel="0" collapsed="false">
      <c r="A11" s="48" t="s">
        <v>1254</v>
      </c>
      <c r="B11" s="48" t="s">
        <v>144</v>
      </c>
      <c r="C11" s="48" t="s">
        <v>1255</v>
      </c>
      <c r="D11" s="48" t="s">
        <v>1256</v>
      </c>
      <c r="E11" s="48" t="s">
        <v>1250</v>
      </c>
      <c r="F11" s="48" t="s">
        <v>215</v>
      </c>
    </row>
    <row r="12" customFormat="false" ht="15" hidden="false" customHeight="true" outlineLevel="0" collapsed="false">
      <c r="A12" s="38" t="s">
        <v>1257</v>
      </c>
      <c r="B12" s="38" t="s">
        <v>145</v>
      </c>
      <c r="C12" s="38" t="s">
        <v>1258</v>
      </c>
      <c r="D12" s="38" t="s">
        <v>1259</v>
      </c>
      <c r="E12" s="38" t="s">
        <v>1250</v>
      </c>
      <c r="F12" s="38" t="s">
        <v>215</v>
      </c>
    </row>
    <row r="13" customFormat="false" ht="15" hidden="false" customHeight="true" outlineLevel="0" collapsed="false">
      <c r="A13" s="48" t="s">
        <v>1260</v>
      </c>
      <c r="B13" s="48" t="s">
        <v>138</v>
      </c>
      <c r="C13" s="48" t="s">
        <v>1261</v>
      </c>
      <c r="D13" s="48" t="s">
        <v>1262</v>
      </c>
      <c r="E13" s="48" t="s">
        <v>1241</v>
      </c>
      <c r="F13" s="48" t="s">
        <v>215</v>
      </c>
    </row>
    <row r="14" customFormat="false" ht="15" hidden="false" customHeight="true" outlineLevel="0" collapsed="false">
      <c r="A14" s="38" t="s">
        <v>1263</v>
      </c>
      <c r="B14" s="38" t="s">
        <v>1264</v>
      </c>
      <c r="C14" s="38" t="s">
        <v>1265</v>
      </c>
      <c r="D14" s="38" t="s">
        <v>1244</v>
      </c>
      <c r="E14" s="38" t="s">
        <v>1241</v>
      </c>
      <c r="F14" s="38" t="s">
        <v>215</v>
      </c>
    </row>
    <row r="15" customFormat="false" ht="15" hidden="false" customHeight="true" outlineLevel="0" collapsed="false">
      <c r="A15" s="48" t="s">
        <v>1266</v>
      </c>
      <c r="B15" s="48" t="s">
        <v>1267</v>
      </c>
      <c r="C15" s="48" t="s">
        <v>1268</v>
      </c>
      <c r="D15" s="48" t="s">
        <v>1269</v>
      </c>
      <c r="E15" s="48" t="s">
        <v>1241</v>
      </c>
      <c r="F15" s="48" t="s">
        <v>215</v>
      </c>
    </row>
    <row r="16" customFormat="false" ht="15" hidden="false" customHeight="true" outlineLevel="0" collapsed="false">
      <c r="A16" s="38" t="s">
        <v>1270</v>
      </c>
      <c r="B16" s="38" t="s">
        <v>1271</v>
      </c>
      <c r="C16" s="38" t="s">
        <v>1272</v>
      </c>
      <c r="D16" s="38" t="s">
        <v>1273</v>
      </c>
      <c r="E16" s="38" t="s">
        <v>1241</v>
      </c>
      <c r="F16" s="38" t="s">
        <v>859</v>
      </c>
    </row>
    <row r="17" customFormat="false" ht="21.75" hidden="false" customHeight="true" outlineLevel="0" collapsed="false">
      <c r="A17" s="48" t="s">
        <v>1274</v>
      </c>
      <c r="B17" s="48" t="s">
        <v>152</v>
      </c>
      <c r="C17" s="48" t="s">
        <v>1275</v>
      </c>
      <c r="D17" s="48" t="s">
        <v>1276</v>
      </c>
      <c r="E17" s="48" t="s">
        <v>1250</v>
      </c>
      <c r="F17" s="48" t="s">
        <v>215</v>
      </c>
    </row>
    <row r="18" customFormat="false" ht="15" hidden="false" customHeight="true" outlineLevel="0" collapsed="false">
      <c r="A18" s="38" t="s">
        <v>1277</v>
      </c>
      <c r="B18" s="38" t="s">
        <v>153</v>
      </c>
      <c r="C18" s="38" t="s">
        <v>1278</v>
      </c>
      <c r="D18" s="38" t="s">
        <v>1276</v>
      </c>
      <c r="E18" s="38" t="s">
        <v>1250</v>
      </c>
      <c r="F18" s="38" t="s">
        <v>215</v>
      </c>
    </row>
    <row r="19" customFormat="false" ht="21.75" hidden="false" customHeight="true" outlineLevel="0" collapsed="false">
      <c r="A19" s="48" t="s">
        <v>1279</v>
      </c>
      <c r="B19" s="48" t="s">
        <v>1280</v>
      </c>
      <c r="C19" s="48" t="s">
        <v>1281</v>
      </c>
      <c r="D19" s="48" t="s">
        <v>1282</v>
      </c>
      <c r="E19" s="48" t="s">
        <v>1241</v>
      </c>
      <c r="F19" s="48" t="s">
        <v>215</v>
      </c>
    </row>
    <row r="20" customFormat="false" ht="21.75" hidden="false" customHeight="true" outlineLevel="0" collapsed="false">
      <c r="A20" s="38" t="s">
        <v>1283</v>
      </c>
      <c r="B20" s="38" t="s">
        <v>1284</v>
      </c>
      <c r="C20" s="38" t="s">
        <v>1285</v>
      </c>
      <c r="D20" s="38" t="s">
        <v>1244</v>
      </c>
      <c r="E20" s="38" t="s">
        <v>1241</v>
      </c>
      <c r="F20" s="38" t="s">
        <v>215</v>
      </c>
    </row>
    <row r="21" customFormat="false" ht="15" hidden="false" customHeight="true" outlineLevel="0" collapsed="false">
      <c r="A21" s="48" t="s">
        <v>1286</v>
      </c>
      <c r="B21" s="48" t="s">
        <v>160</v>
      </c>
      <c r="C21" s="48" t="s">
        <v>1287</v>
      </c>
      <c r="D21" s="48" t="s">
        <v>1288</v>
      </c>
      <c r="E21" s="48" t="s">
        <v>1241</v>
      </c>
      <c r="F21" s="48" t="s">
        <v>215</v>
      </c>
    </row>
    <row r="22" customFormat="false" ht="15" hidden="false" customHeight="true" outlineLevel="0" collapsed="false">
      <c r="A22" s="38" t="s">
        <v>1289</v>
      </c>
      <c r="B22" s="38" t="s">
        <v>1290</v>
      </c>
      <c r="C22" s="38" t="s">
        <v>1291</v>
      </c>
      <c r="D22" s="38" t="s">
        <v>1292</v>
      </c>
      <c r="E22" s="38" t="s">
        <v>1241</v>
      </c>
      <c r="F22" s="38" t="s">
        <v>215</v>
      </c>
    </row>
    <row r="23" customFormat="false" ht="15" hidden="false" customHeight="true" outlineLevel="0" collapsed="false">
      <c r="A23" s="48" t="s">
        <v>1293</v>
      </c>
      <c r="B23" s="48" t="s">
        <v>162</v>
      </c>
      <c r="C23" s="48" t="s">
        <v>1294</v>
      </c>
      <c r="D23" s="48" t="s">
        <v>1288</v>
      </c>
      <c r="E23" s="48" t="s">
        <v>1241</v>
      </c>
      <c r="F23" s="48" t="s">
        <v>365</v>
      </c>
    </row>
    <row r="24" customFormat="false" ht="15" hidden="false" customHeight="true" outlineLevel="0" collapsed="false">
      <c r="A24" s="38" t="s">
        <v>1295</v>
      </c>
      <c r="B24" s="38" t="s">
        <v>1296</v>
      </c>
      <c r="C24" s="38" t="s">
        <v>1297</v>
      </c>
      <c r="D24" s="38" t="s">
        <v>1298</v>
      </c>
      <c r="E24" s="38" t="s">
        <v>1241</v>
      </c>
      <c r="F24" s="38" t="s">
        <v>215</v>
      </c>
    </row>
    <row r="25" customFormat="false" ht="15" hidden="false" customHeight="true" outlineLevel="0" collapsed="false">
      <c r="A25" s="48" t="s">
        <v>1299</v>
      </c>
      <c r="B25" s="48" t="s">
        <v>164</v>
      </c>
      <c r="C25" s="48" t="s">
        <v>1300</v>
      </c>
      <c r="D25" s="48" t="s">
        <v>1301</v>
      </c>
      <c r="E25" s="48" t="s">
        <v>1302</v>
      </c>
      <c r="F25" s="48" t="s">
        <v>1017</v>
      </c>
    </row>
    <row r="26" customFormat="false" ht="15" hidden="false" customHeight="true" outlineLevel="0" collapsed="false">
      <c r="A26" s="38" t="s">
        <v>1303</v>
      </c>
      <c r="B26" s="38" t="s">
        <v>165</v>
      </c>
      <c r="C26" s="38" t="s">
        <v>1304</v>
      </c>
      <c r="D26" s="38" t="s">
        <v>1301</v>
      </c>
      <c r="E26" s="38" t="s">
        <v>1302</v>
      </c>
      <c r="F26" s="38" t="s">
        <v>1017</v>
      </c>
    </row>
    <row r="27" customFormat="false" ht="15" hidden="false" customHeight="true" outlineLevel="0" collapsed="false">
      <c r="A27" s="48" t="s">
        <v>1305</v>
      </c>
      <c r="B27" s="48" t="s">
        <v>89</v>
      </c>
      <c r="C27" s="48" t="s">
        <v>1306</v>
      </c>
      <c r="D27" s="48" t="s">
        <v>1307</v>
      </c>
      <c r="E27" s="48" t="s">
        <v>1250</v>
      </c>
      <c r="F27" s="48" t="s">
        <v>136</v>
      </c>
    </row>
    <row r="28" customFormat="false" ht="15" hidden="false" customHeight="true" outlineLevel="0" collapsed="false">
      <c r="A28" s="38" t="s">
        <v>1308</v>
      </c>
      <c r="B28" s="38" t="s">
        <v>136</v>
      </c>
      <c r="C28" s="38" t="s">
        <v>1309</v>
      </c>
      <c r="D28" s="38" t="s">
        <v>1310</v>
      </c>
      <c r="E28" s="38" t="s">
        <v>1250</v>
      </c>
      <c r="F28" s="38" t="s">
        <v>365</v>
      </c>
    </row>
    <row r="29" customFormat="false" ht="15" hidden="false" customHeight="true" outlineLevel="0" collapsed="false">
      <c r="A29" s="48" t="s">
        <v>1311</v>
      </c>
      <c r="B29" s="48" t="s">
        <v>1312</v>
      </c>
      <c r="C29" s="48" t="s">
        <v>1313</v>
      </c>
      <c r="D29" s="48" t="s">
        <v>1314</v>
      </c>
      <c r="E29" s="48" t="s">
        <v>1241</v>
      </c>
      <c r="F29" s="48" t="s">
        <v>136</v>
      </c>
    </row>
    <row r="30" customFormat="false" ht="15" hidden="false" customHeight="true" outlineLevel="0" collapsed="false">
      <c r="A30" s="38" t="s">
        <v>1315</v>
      </c>
      <c r="B30" s="38" t="s">
        <v>168</v>
      </c>
      <c r="C30" s="38" t="s">
        <v>1316</v>
      </c>
      <c r="D30" s="38" t="s">
        <v>1301</v>
      </c>
      <c r="E30" s="38" t="s">
        <v>1302</v>
      </c>
      <c r="F30" s="38" t="s">
        <v>1017</v>
      </c>
    </row>
    <row r="31" customFormat="false" ht="21.75" hidden="false" customHeight="true" outlineLevel="0" collapsed="false">
      <c r="A31" s="48" t="s">
        <v>1317</v>
      </c>
      <c r="B31" s="48" t="s">
        <v>137</v>
      </c>
      <c r="C31" s="48" t="s">
        <v>1318</v>
      </c>
      <c r="D31" s="48" t="s">
        <v>1301</v>
      </c>
      <c r="E31" s="48" t="s">
        <v>1302</v>
      </c>
      <c r="F31" s="48" t="s">
        <v>1017</v>
      </c>
    </row>
    <row r="32" customFormat="false" ht="15" hidden="false" customHeight="true" outlineLevel="0" collapsed="false">
      <c r="A32" s="38" t="s">
        <v>1319</v>
      </c>
      <c r="B32" s="38" t="s">
        <v>169</v>
      </c>
      <c r="C32" s="38" t="s">
        <v>1320</v>
      </c>
      <c r="D32" s="38" t="s">
        <v>1292</v>
      </c>
      <c r="E32" s="38" t="s">
        <v>1241</v>
      </c>
      <c r="F32" s="38" t="s">
        <v>187</v>
      </c>
    </row>
    <row r="33" customFormat="false" ht="15" hidden="false" customHeight="true" outlineLevel="0" collapsed="false">
      <c r="A33" s="48" t="s">
        <v>1321</v>
      </c>
      <c r="B33" s="48" t="s">
        <v>170</v>
      </c>
      <c r="C33" s="48" t="s">
        <v>1322</v>
      </c>
      <c r="D33" s="48" t="s">
        <v>1244</v>
      </c>
      <c r="E33" s="48" t="s">
        <v>1241</v>
      </c>
      <c r="F33" s="48" t="s">
        <v>530</v>
      </c>
    </row>
    <row r="34" customFormat="false" ht="21.75" hidden="false" customHeight="true" outlineLevel="0" collapsed="false">
      <c r="A34" s="38" t="s">
        <v>1323</v>
      </c>
      <c r="B34" s="38" t="s">
        <v>171</v>
      </c>
      <c r="C34" s="38" t="s">
        <v>1324</v>
      </c>
      <c r="D34" s="38" t="s">
        <v>1325</v>
      </c>
      <c r="E34" s="38" t="s">
        <v>1250</v>
      </c>
      <c r="F34" s="38" t="s">
        <v>215</v>
      </c>
    </row>
    <row r="35" customFormat="false" ht="15" hidden="false" customHeight="true" outlineLevel="0" collapsed="false">
      <c r="A35" s="48" t="s">
        <v>1326</v>
      </c>
      <c r="B35" s="48" t="s">
        <v>1327</v>
      </c>
      <c r="C35" s="48" t="s">
        <v>1328</v>
      </c>
      <c r="D35" s="48" t="s">
        <v>1244</v>
      </c>
      <c r="E35" s="48" t="s">
        <v>1241</v>
      </c>
      <c r="F35" s="48" t="s">
        <v>365</v>
      </c>
    </row>
    <row r="36" customFormat="false" ht="15" hidden="false" customHeight="true" outlineLevel="0" collapsed="false">
      <c r="A36" s="38" t="s">
        <v>1329</v>
      </c>
      <c r="B36" s="38" t="s">
        <v>173</v>
      </c>
      <c r="C36" s="38" t="s">
        <v>1330</v>
      </c>
      <c r="D36" s="38" t="s">
        <v>1301</v>
      </c>
      <c r="E36" s="38" t="s">
        <v>1302</v>
      </c>
      <c r="F36" s="38" t="s">
        <v>1017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10_DATA_DICTIONARY</oddHeader>
    <oddFooter>&amp;L&amp;7 INTERNAL - KAYAN CONFIDENTIAL&amp;R&amp;7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674A"/>
    <pageSetUpPr fitToPage="true"/>
  </sheetPr>
  <dimension ref="A1:A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2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24"/>
    <col collapsed="false" customWidth="true" hidden="false" outlineLevel="0" max="6" min="6" style="1" width="44"/>
  </cols>
  <sheetData>
    <row r="1" customFormat="false" ht="25.5" hidden="false" customHeight="true" outlineLevel="0" collapsed="false">
      <c r="A1" s="2" t="s">
        <v>1331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1332</v>
      </c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1.5" hidden="false" customHeight="true" outlineLevel="0" collapsed="false">
      <c r="A5" s="23" t="s">
        <v>1333</v>
      </c>
      <c r="B5" s="23" t="s">
        <v>1334</v>
      </c>
      <c r="C5" s="23" t="s">
        <v>1335</v>
      </c>
      <c r="D5" s="23" t="s">
        <v>1336</v>
      </c>
      <c r="E5" s="23" t="s">
        <v>1337</v>
      </c>
      <c r="F5" s="23" t="s">
        <v>1338</v>
      </c>
    </row>
    <row r="6" customFormat="false" ht="21.75" hidden="false" customHeight="true" outlineLevel="0" collapsed="false">
      <c r="A6" s="38" t="s">
        <v>1339</v>
      </c>
      <c r="B6" s="38" t="s">
        <v>1340</v>
      </c>
      <c r="C6" s="38" t="s">
        <v>190</v>
      </c>
      <c r="D6" s="38" t="s">
        <v>1341</v>
      </c>
      <c r="E6" s="38" t="s">
        <v>174</v>
      </c>
      <c r="F6" s="38" t="s">
        <v>1342</v>
      </c>
    </row>
    <row r="7" customFormat="false" ht="21.75" hidden="false" customHeight="true" outlineLevel="0" collapsed="false">
      <c r="A7" s="48" t="s">
        <v>1343</v>
      </c>
      <c r="B7" s="48" t="s">
        <v>1344</v>
      </c>
      <c r="C7" s="48" t="s">
        <v>190</v>
      </c>
      <c r="D7" s="48" t="s">
        <v>1345</v>
      </c>
      <c r="E7" s="48" t="s">
        <v>304</v>
      </c>
      <c r="F7" s="48" t="s">
        <v>1346</v>
      </c>
    </row>
    <row r="8" customFormat="false" ht="21.75" hidden="false" customHeight="true" outlineLevel="0" collapsed="false">
      <c r="A8" s="38" t="s">
        <v>1347</v>
      </c>
      <c r="B8" s="38" t="s">
        <v>1348</v>
      </c>
      <c r="C8" s="38" t="s">
        <v>190</v>
      </c>
      <c r="D8" s="38" t="s">
        <v>1349</v>
      </c>
      <c r="E8" s="38" t="s">
        <v>319</v>
      </c>
      <c r="F8" s="38" t="s">
        <v>1350</v>
      </c>
    </row>
    <row r="9" customFormat="false" ht="21.75" hidden="false" customHeight="true" outlineLevel="0" collapsed="false">
      <c r="A9" s="48" t="s">
        <v>1351</v>
      </c>
      <c r="B9" s="48" t="s">
        <v>1352</v>
      </c>
      <c r="C9" s="48" t="s">
        <v>190</v>
      </c>
      <c r="D9" s="48" t="s">
        <v>1349</v>
      </c>
      <c r="E9" s="48" t="s">
        <v>1353</v>
      </c>
      <c r="F9" s="48" t="s">
        <v>1354</v>
      </c>
    </row>
    <row r="10" customFormat="false" ht="21.75" hidden="false" customHeight="true" outlineLevel="0" collapsed="false">
      <c r="A10" s="38" t="s">
        <v>1355</v>
      </c>
      <c r="B10" s="38" t="s">
        <v>1356</v>
      </c>
      <c r="C10" s="38" t="s">
        <v>190</v>
      </c>
      <c r="D10" s="38" t="s">
        <v>1349</v>
      </c>
      <c r="E10" s="38" t="s">
        <v>1353</v>
      </c>
      <c r="F10" s="38" t="s">
        <v>1357</v>
      </c>
    </row>
    <row r="11" customFormat="false" ht="15" hidden="false" customHeight="true" outlineLevel="0" collapsed="false">
      <c r="A11" s="48" t="s">
        <v>1358</v>
      </c>
      <c r="B11" s="48" t="s">
        <v>1359</v>
      </c>
      <c r="C11" s="48" t="s">
        <v>691</v>
      </c>
      <c r="D11" s="48" t="s">
        <v>1360</v>
      </c>
      <c r="E11" s="48" t="s">
        <v>1361</v>
      </c>
      <c r="F11" s="48" t="s">
        <v>1362</v>
      </c>
    </row>
    <row r="12" customFormat="false" ht="21.75" hidden="false" customHeight="true" outlineLevel="0" collapsed="false">
      <c r="A12" s="38" t="s">
        <v>1363</v>
      </c>
      <c r="B12" s="38" t="s">
        <v>1364</v>
      </c>
      <c r="C12" s="38" t="s">
        <v>190</v>
      </c>
      <c r="D12" s="38" t="s">
        <v>1365</v>
      </c>
      <c r="E12" s="38" t="s">
        <v>446</v>
      </c>
      <c r="F12" s="38" t="s">
        <v>1366</v>
      </c>
    </row>
    <row r="13" customFormat="false" ht="21.75" hidden="false" customHeight="true" outlineLevel="0" collapsed="false">
      <c r="A13" s="48" t="s">
        <v>1367</v>
      </c>
      <c r="B13" s="48" t="s">
        <v>1368</v>
      </c>
      <c r="C13" s="48" t="s">
        <v>190</v>
      </c>
      <c r="D13" s="48" t="s">
        <v>1369</v>
      </c>
      <c r="E13" s="48" t="s">
        <v>446</v>
      </c>
      <c r="F13" s="48" t="s">
        <v>1370</v>
      </c>
    </row>
    <row r="14" customFormat="false" ht="21.75" hidden="false" customHeight="true" outlineLevel="0" collapsed="false">
      <c r="A14" s="38" t="s">
        <v>1371</v>
      </c>
      <c r="B14" s="38" t="s">
        <v>1372</v>
      </c>
      <c r="C14" s="38" t="s">
        <v>190</v>
      </c>
      <c r="D14" s="38" t="s">
        <v>1373</v>
      </c>
      <c r="E14" s="38" t="s">
        <v>1374</v>
      </c>
      <c r="F14" s="38" t="s">
        <v>1375</v>
      </c>
    </row>
    <row r="15" customFormat="false" ht="21.75" hidden="false" customHeight="true" outlineLevel="0" collapsed="false">
      <c r="A15" s="48" t="s">
        <v>1376</v>
      </c>
      <c r="B15" s="48" t="s">
        <v>1377</v>
      </c>
      <c r="C15" s="48" t="s">
        <v>190</v>
      </c>
      <c r="D15" s="48" t="s">
        <v>1378</v>
      </c>
      <c r="E15" s="48" t="s">
        <v>606</v>
      </c>
      <c r="F15" s="48" t="s">
        <v>1379</v>
      </c>
    </row>
    <row r="16" customFormat="false" ht="21.75" hidden="false" customHeight="true" outlineLevel="0" collapsed="false">
      <c r="A16" s="38" t="s">
        <v>1380</v>
      </c>
      <c r="B16" s="38" t="s">
        <v>1381</v>
      </c>
      <c r="C16" s="38" t="s">
        <v>190</v>
      </c>
      <c r="D16" s="38" t="s">
        <v>1382</v>
      </c>
      <c r="E16" s="38" t="s">
        <v>496</v>
      </c>
      <c r="F16" s="38" t="s">
        <v>1383</v>
      </c>
    </row>
    <row r="17" customFormat="false" ht="21.75" hidden="false" customHeight="true" outlineLevel="0" collapsed="false">
      <c r="A17" s="48" t="s">
        <v>1194</v>
      </c>
      <c r="B17" s="48" t="s">
        <v>1384</v>
      </c>
      <c r="C17" s="48" t="s">
        <v>190</v>
      </c>
      <c r="D17" s="48" t="s">
        <v>1385</v>
      </c>
      <c r="E17" s="48" t="s">
        <v>520</v>
      </c>
      <c r="F17" s="48" t="s">
        <v>1386</v>
      </c>
    </row>
    <row r="18" customFormat="false" ht="21.75" hidden="false" customHeight="true" outlineLevel="0" collapsed="false">
      <c r="A18" s="38" t="s">
        <v>535</v>
      </c>
      <c r="B18" s="38" t="s">
        <v>1387</v>
      </c>
      <c r="C18" s="38" t="s">
        <v>190</v>
      </c>
      <c r="D18" s="38" t="s">
        <v>822</v>
      </c>
      <c r="E18" s="38" t="s">
        <v>534</v>
      </c>
      <c r="F18" s="38" t="s">
        <v>1388</v>
      </c>
    </row>
    <row r="19" customFormat="false" ht="21.75" hidden="false" customHeight="true" outlineLevel="0" collapsed="false">
      <c r="A19" s="48" t="s">
        <v>548</v>
      </c>
      <c r="B19" s="48" t="s">
        <v>1389</v>
      </c>
      <c r="C19" s="48" t="s">
        <v>190</v>
      </c>
      <c r="D19" s="48" t="s">
        <v>1390</v>
      </c>
      <c r="E19" s="48" t="s">
        <v>547</v>
      </c>
      <c r="F19" s="48" t="s">
        <v>1391</v>
      </c>
    </row>
    <row r="20" customFormat="false" ht="32.25" hidden="false" customHeight="true" outlineLevel="0" collapsed="false">
      <c r="A20" s="38" t="s">
        <v>1392</v>
      </c>
      <c r="B20" s="38" t="s">
        <v>1393</v>
      </c>
      <c r="C20" s="38" t="s">
        <v>190</v>
      </c>
      <c r="D20" s="38" t="s">
        <v>790</v>
      </c>
      <c r="E20" s="38" t="s">
        <v>559</v>
      </c>
      <c r="F20" s="38" t="s">
        <v>1394</v>
      </c>
    </row>
    <row r="21" customFormat="false" ht="21.75" hidden="false" customHeight="true" outlineLevel="0" collapsed="false">
      <c r="A21" s="48" t="s">
        <v>1395</v>
      </c>
      <c r="B21" s="48" t="s">
        <v>1396</v>
      </c>
      <c r="C21" s="48" t="s">
        <v>190</v>
      </c>
      <c r="D21" s="48" t="s">
        <v>1397</v>
      </c>
      <c r="E21" s="48" t="s">
        <v>434</v>
      </c>
      <c r="F21" s="48" t="s">
        <v>1398</v>
      </c>
    </row>
    <row r="22" customFormat="false" ht="15" hidden="false" customHeight="true" outlineLevel="0" collapsed="false">
      <c r="A22" s="38" t="s">
        <v>1399</v>
      </c>
      <c r="B22" s="38" t="s">
        <v>1400</v>
      </c>
      <c r="C22" s="38" t="s">
        <v>190</v>
      </c>
      <c r="D22" s="38" t="s">
        <v>1401</v>
      </c>
      <c r="E22" s="38" t="s">
        <v>1402</v>
      </c>
      <c r="F22" s="38" t="s">
        <v>1403</v>
      </c>
    </row>
    <row r="23" customFormat="false" ht="21.75" hidden="false" customHeight="true" outlineLevel="0" collapsed="false">
      <c r="A23" s="48" t="s">
        <v>1404</v>
      </c>
      <c r="B23" s="48" t="s">
        <v>1405</v>
      </c>
      <c r="C23" s="48" t="s">
        <v>190</v>
      </c>
      <c r="D23" s="48" t="s">
        <v>1406</v>
      </c>
      <c r="E23" s="48" t="s">
        <v>174</v>
      </c>
      <c r="F23" s="48" t="s">
        <v>1407</v>
      </c>
    </row>
    <row r="24" customFormat="false" ht="21.75" hidden="false" customHeight="true" outlineLevel="0" collapsed="false">
      <c r="A24" s="38" t="s">
        <v>1408</v>
      </c>
      <c r="B24" s="38" t="s">
        <v>1409</v>
      </c>
      <c r="C24" s="38" t="s">
        <v>190</v>
      </c>
      <c r="D24" s="38" t="s">
        <v>1410</v>
      </c>
      <c r="E24" s="38" t="s">
        <v>290</v>
      </c>
      <c r="F24" s="38" t="s">
        <v>1411</v>
      </c>
    </row>
    <row r="25" customFormat="false" ht="15" hidden="false" customHeight="true" outlineLevel="0" collapsed="false">
      <c r="A25" s="48" t="s">
        <v>1412</v>
      </c>
      <c r="B25" s="48" t="s">
        <v>1413</v>
      </c>
      <c r="C25" s="48" t="s">
        <v>691</v>
      </c>
      <c r="D25" s="48" t="s">
        <v>1414</v>
      </c>
      <c r="E25" s="48" t="s">
        <v>459</v>
      </c>
      <c r="F25" s="48" t="s">
        <v>1415</v>
      </c>
    </row>
    <row r="26" customFormat="false" ht="15" hidden="false" customHeight="true" outlineLevel="0" collapsed="false">
      <c r="A26" s="38" t="s">
        <v>1416</v>
      </c>
      <c r="B26" s="38" t="s">
        <v>1417</v>
      </c>
      <c r="C26" s="38" t="s">
        <v>691</v>
      </c>
      <c r="D26" s="38" t="s">
        <v>1418</v>
      </c>
      <c r="E26" s="38" t="s">
        <v>434</v>
      </c>
      <c r="F26" s="38" t="s">
        <v>1419</v>
      </c>
    </row>
    <row r="27" customFormat="false" ht="15" hidden="false" customHeight="true" outlineLevel="0" collapsed="false">
      <c r="A27" s="48" t="s">
        <v>1420</v>
      </c>
      <c r="B27" s="48" t="s">
        <v>1421</v>
      </c>
      <c r="C27" s="48" t="s">
        <v>381</v>
      </c>
      <c r="D27" s="48" t="s">
        <v>1422</v>
      </c>
      <c r="E27" s="48" t="s">
        <v>1423</v>
      </c>
      <c r="F27" s="48" t="s">
        <v>1424</v>
      </c>
    </row>
    <row r="28" customFormat="false" ht="15" hidden="false" customHeight="true" outlineLevel="0" collapsed="false">
      <c r="A28" s="38" t="s">
        <v>1425</v>
      </c>
      <c r="B28" s="38" t="s">
        <v>1426</v>
      </c>
      <c r="C28" s="38" t="s">
        <v>691</v>
      </c>
      <c r="D28" s="38" t="s">
        <v>1427</v>
      </c>
      <c r="E28" s="38" t="s">
        <v>1428</v>
      </c>
      <c r="F28" s="38" t="s">
        <v>1429</v>
      </c>
    </row>
    <row r="29" customFormat="false" ht="15" hidden="false" customHeight="true" outlineLevel="0" collapsed="false">
      <c r="A29" s="48" t="s">
        <v>1430</v>
      </c>
      <c r="B29" s="48" t="s">
        <v>1431</v>
      </c>
      <c r="C29" s="48" t="s">
        <v>594</v>
      </c>
      <c r="D29" s="48" t="s">
        <v>1432</v>
      </c>
      <c r="E29" s="48" t="s">
        <v>51</v>
      </c>
      <c r="F29" s="48" t="s">
        <v>1433</v>
      </c>
    </row>
    <row r="31" customFormat="false" ht="15" hidden="false" customHeight="true" outlineLevel="0" collapsed="false">
      <c r="A31" s="17" t="s">
        <v>1434</v>
      </c>
      <c r="B31" s="17"/>
      <c r="C31" s="17"/>
      <c r="D31" s="17"/>
      <c r="E31" s="17"/>
      <c r="F31" s="17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</row>
  </sheetData>
  <mergeCells count="4">
    <mergeCell ref="A1:F1"/>
    <mergeCell ref="A2:F2"/>
    <mergeCell ref="A3:F3"/>
    <mergeCell ref="A31:F32"/>
  </mergeCells>
  <conditionalFormatting sqref="C6:C29">
    <cfRule type="cellIs" priority="2" operator="equal" aboveAverage="0" equalAverage="0" bottom="0" percent="0" rank="0" text="" dxfId="41">
      <formula>"UNVERIFIED"</formula>
    </cfRule>
    <cfRule type="cellIs" priority="3" operator="equal" aboveAverage="0" equalAverage="0" bottom="0" percent="0" rank="0" text="" dxfId="44">
      <formula>"FACT"</formula>
    </cfRule>
    <cfRule type="cellIs" priority="4" operator="equal" aboveAverage="0" equalAverage="0" bottom="0" percent="0" rank="0" text="" dxfId="40">
      <formula>"RESEARCH CLAIM"</formula>
    </cfRule>
    <cfRule type="cellIs" priority="5" operator="equal" aboveAverage="0" equalAverage="0" bottom="0" percent="0" rank="0" text="" dxfId="40">
      <formula>"INFERENCE"</formula>
    </cfRule>
  </conditionalFormatting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11_EVIDENCE_LOG</oddHeader>
    <oddFooter>&amp;L&amp;7 INTERNAL - KAYAN CONFIDENTIAL&amp;R&amp;7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3B42"/>
    <pageSetUpPr fitToPage="true"/>
  </sheetPr>
  <dimension ref="A1:A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  <col collapsed="false" customWidth="true" hidden="false" outlineLevel="0" max="4" min="3" style="1" width="24"/>
    <col collapsed="false" customWidth="true" hidden="false" outlineLevel="0" max="5" min="5" style="1" width="60"/>
  </cols>
  <sheetData>
    <row r="1" customFormat="false" ht="25.5" hidden="false" customHeight="true" outlineLevel="0" collapsed="false">
      <c r="A1" s="2" t="s">
        <v>1435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3.5" hidden="false" customHeight="true" outlineLevel="0" collapsed="false">
      <c r="A2" s="4" t="s">
        <v>1436</v>
      </c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5" customFormat="false" ht="30" hidden="false" customHeight="true" outlineLevel="0" collapsed="false">
      <c r="A5" s="23" t="s">
        <v>1437</v>
      </c>
      <c r="B5" s="23" t="s">
        <v>1438</v>
      </c>
      <c r="C5" s="23" t="s">
        <v>136</v>
      </c>
      <c r="D5" s="23" t="s">
        <v>1439</v>
      </c>
      <c r="E5" s="23" t="s">
        <v>1440</v>
      </c>
    </row>
    <row r="6" customFormat="false" ht="21.75" hidden="false" customHeight="true" outlineLevel="0" collapsed="false">
      <c r="A6" s="38" t="s">
        <v>1441</v>
      </c>
      <c r="B6" s="38" t="s">
        <v>1442</v>
      </c>
      <c r="C6" s="38" t="s">
        <v>215</v>
      </c>
      <c r="D6" s="38" t="s">
        <v>1443</v>
      </c>
      <c r="E6" s="38" t="s">
        <v>1444</v>
      </c>
    </row>
    <row r="7" customFormat="false" ht="15" hidden="false" customHeight="true" outlineLevel="0" collapsed="false">
      <c r="A7" s="48" t="s">
        <v>1445</v>
      </c>
      <c r="B7" s="48" t="s">
        <v>1446</v>
      </c>
      <c r="C7" s="48" t="s">
        <v>215</v>
      </c>
      <c r="D7" s="48" t="s">
        <v>1443</v>
      </c>
      <c r="E7" s="48" t="s">
        <v>1447</v>
      </c>
    </row>
    <row r="8" customFormat="false" ht="21.75" hidden="false" customHeight="true" outlineLevel="0" collapsed="false">
      <c r="A8" s="38" t="s">
        <v>1448</v>
      </c>
      <c r="B8" s="38" t="s">
        <v>1449</v>
      </c>
      <c r="C8" s="38" t="s">
        <v>215</v>
      </c>
      <c r="D8" s="38" t="s">
        <v>1450</v>
      </c>
      <c r="E8" s="38" t="s">
        <v>1451</v>
      </c>
    </row>
    <row r="9" customFormat="false" ht="21.75" hidden="false" customHeight="true" outlineLevel="0" collapsed="false">
      <c r="A9" s="48" t="s">
        <v>1452</v>
      </c>
      <c r="B9" s="48" t="s">
        <v>1453</v>
      </c>
      <c r="C9" s="48" t="s">
        <v>187</v>
      </c>
      <c r="D9" s="48" t="s">
        <v>1454</v>
      </c>
      <c r="E9" s="48" t="s">
        <v>1455</v>
      </c>
    </row>
    <row r="10" customFormat="false" ht="21.75" hidden="false" customHeight="true" outlineLevel="0" collapsed="false">
      <c r="A10" s="38" t="s">
        <v>1456</v>
      </c>
      <c r="B10" s="38" t="s">
        <v>1457</v>
      </c>
      <c r="C10" s="38" t="s">
        <v>136</v>
      </c>
      <c r="D10" s="38" t="s">
        <v>1458</v>
      </c>
      <c r="E10" s="38" t="s">
        <v>1459</v>
      </c>
    </row>
    <row r="11" customFormat="false" ht="15" hidden="false" customHeight="true" outlineLevel="0" collapsed="false">
      <c r="A11" s="48" t="s">
        <v>1460</v>
      </c>
      <c r="B11" s="48" t="s">
        <v>1461</v>
      </c>
      <c r="C11" s="48" t="s">
        <v>187</v>
      </c>
      <c r="D11" s="48" t="s">
        <v>1458</v>
      </c>
      <c r="E11" s="48" t="s">
        <v>1462</v>
      </c>
    </row>
    <row r="12" customFormat="false" ht="15" hidden="false" customHeight="true" outlineLevel="0" collapsed="false">
      <c r="A12" s="38" t="s">
        <v>1463</v>
      </c>
      <c r="B12" s="38" t="s">
        <v>1464</v>
      </c>
      <c r="C12" s="38" t="s">
        <v>859</v>
      </c>
      <c r="D12" s="38" t="s">
        <v>1458</v>
      </c>
      <c r="E12" s="38" t="s">
        <v>1465</v>
      </c>
    </row>
    <row r="13" customFormat="false" ht="15" hidden="false" customHeight="true" outlineLevel="0" collapsed="false">
      <c r="A13" s="48" t="s">
        <v>1466</v>
      </c>
      <c r="B13" s="48" t="s">
        <v>1467</v>
      </c>
      <c r="C13" s="48" t="s">
        <v>136</v>
      </c>
      <c r="D13" s="48" t="s">
        <v>1468</v>
      </c>
      <c r="E13" s="48" t="s">
        <v>1469</v>
      </c>
    </row>
    <row r="14" customFormat="false" ht="15" hidden="false" customHeight="true" outlineLevel="0" collapsed="false">
      <c r="A14" s="38" t="s">
        <v>1470</v>
      </c>
      <c r="B14" s="38" t="s">
        <v>1471</v>
      </c>
      <c r="C14" s="38" t="s">
        <v>136</v>
      </c>
      <c r="D14" s="38" t="s">
        <v>1472</v>
      </c>
      <c r="E14" s="38" t="s">
        <v>1473</v>
      </c>
    </row>
    <row r="15" customFormat="false" ht="15" hidden="false" customHeight="true" outlineLevel="0" collapsed="false">
      <c r="A15" s="48" t="s">
        <v>1474</v>
      </c>
      <c r="B15" s="48" t="s">
        <v>1475</v>
      </c>
      <c r="C15" s="48" t="s">
        <v>136</v>
      </c>
      <c r="D15" s="48" t="s">
        <v>1476</v>
      </c>
      <c r="E15" s="48" t="s">
        <v>1477</v>
      </c>
    </row>
    <row r="16" customFormat="false" ht="15" hidden="false" customHeight="true" outlineLevel="0" collapsed="false">
      <c r="A16" s="38" t="s">
        <v>1478</v>
      </c>
      <c r="B16" s="38" t="s">
        <v>1479</v>
      </c>
      <c r="C16" s="38" t="s">
        <v>859</v>
      </c>
      <c r="D16" s="38" t="s">
        <v>1480</v>
      </c>
      <c r="E16" s="38" t="s">
        <v>1481</v>
      </c>
    </row>
    <row r="18" customFormat="false" ht="15.75" hidden="false" customHeight="true" outlineLevel="0" collapsed="false">
      <c r="A18" s="6" t="s">
        <v>1482</v>
      </c>
    </row>
    <row r="19" customFormat="false" ht="25.5" hidden="false" customHeight="true" outlineLevel="0" collapsed="false">
      <c r="A19" s="19" t="s">
        <v>1483</v>
      </c>
      <c r="B19" s="19"/>
      <c r="C19" s="19"/>
      <c r="D19" s="19"/>
      <c r="E19" s="19"/>
    </row>
    <row r="20" customFormat="false" ht="25.5" hidden="false" customHeight="true" outlineLevel="0" collapsed="false">
      <c r="A20" s="19" t="s">
        <v>1484</v>
      </c>
      <c r="B20" s="19"/>
      <c r="C20" s="19"/>
      <c r="D20" s="19"/>
      <c r="E20" s="19"/>
    </row>
    <row r="21" customFormat="false" ht="25.5" hidden="false" customHeight="true" outlineLevel="0" collapsed="false">
      <c r="A21" s="19" t="s">
        <v>1485</v>
      </c>
      <c r="B21" s="19"/>
      <c r="C21" s="19"/>
      <c r="D21" s="19"/>
      <c r="E21" s="19"/>
    </row>
    <row r="22" customFormat="false" ht="6" hidden="false" customHeight="true" outlineLevel="0" collapsed="false">
      <c r="A22" s="17"/>
      <c r="B22" s="17"/>
      <c r="C22" s="17"/>
      <c r="D22" s="17"/>
      <c r="E22" s="17"/>
    </row>
    <row r="23" customFormat="false" ht="25.5" hidden="false" customHeight="true" outlineLevel="0" collapsed="false">
      <c r="A23" s="19" t="s">
        <v>1486</v>
      </c>
      <c r="B23" s="19"/>
      <c r="C23" s="19"/>
      <c r="D23" s="19"/>
      <c r="E23" s="19"/>
    </row>
  </sheetData>
  <mergeCells count="8">
    <mergeCell ref="A1:E1"/>
    <mergeCell ref="A2:E2"/>
    <mergeCell ref="A3:E3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3" right="0.3" top="0.45" bottom="0.45" header="0.511805555555556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KAYAN  |  KAY-FUND-OPS-001&amp;R&amp;8 12_FOLDER_STANDARD</oddHeader>
    <oddFooter>&amp;L&amp;7 INTERNAL - KAYAN CONFIDENTIAL&amp;R&amp;7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2026-08-05T09:12:00Z</dcterms:created>
  <dc:creator>openpyxl</dc:creator>
  <dc:description/>
  <dc:language>en-US</dc:language>
  <cp:lastModifiedBy/>
  <dcterms:modified xsi:type="dcterms:W3CDTF">2026-08-05T09:13:27Z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