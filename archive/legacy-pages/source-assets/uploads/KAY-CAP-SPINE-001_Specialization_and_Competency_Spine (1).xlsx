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causewaygrp-my.sharepoint.com/personal/ceo_causewaygrp_com1/Documents/Kayan - behind every success a Kayan/"/>
    </mc:Choice>
  </mc:AlternateContent>
  <xr:revisionPtr revIDLastSave="11" documentId="11_F5BE533AED54D0EDB6681B0BA04A7F2B78E4DD24" xr6:coauthVersionLast="47" xr6:coauthVersionMax="47" xr10:uidLastSave="{AA1D4CE7-388D-4028-AD00-C79FE8993B2C}"/>
  <bookViews>
    <workbookView xWindow="28680" yWindow="-120" windowWidth="29040" windowHeight="15720" tabRatio="500" firstSheet="6" activeTab="9" xr2:uid="{00000000-000D-0000-FFFF-FFFF00000000}"/>
  </bookViews>
  <sheets>
    <sheet name="README" sheetId="1" r:id="rId1"/>
    <sheet name="00_Locked_Facts" sheetId="2" r:id="rId2"/>
    <sheet name="01_Family_Map" sheetId="3" r:id="rId3"/>
    <sheet name="02_Spec_Registry" sheetId="4" r:id="rId4"/>
    <sheet name="03_Competency_Model" sheetId="5" r:id="rId5"/>
    <sheet name="04_Freelancer_Competency" sheetId="6" r:id="rId6"/>
    <sheet name="05_Coach_Competency" sheetId="7" r:id="rId7"/>
    <sheet name="06_Staff_Competency" sheetId="8" r:id="rId8"/>
    <sheet name="07_MASTER_LISTS" sheetId="9" r:id="rId9"/>
    <sheet name="08_Golden_Product_Economics" sheetId="10" r:id="rId10"/>
  </sheets>
  <externalReferences>
    <externalReference r:id="rId11"/>
  </externalReferenc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2" i="10" l="1"/>
  <c r="E14" i="10" s="1"/>
  <c r="D12" i="10"/>
  <c r="D14" i="10" s="1"/>
  <c r="C12" i="10"/>
  <c r="C14" i="10" s="1"/>
  <c r="D15" i="10" l="1"/>
  <c r="C13" i="10"/>
  <c r="E15" i="10"/>
  <c r="D13" i="10"/>
  <c r="E13" i="10"/>
  <c r="E16" i="10" s="1"/>
  <c r="D16" i="10"/>
  <c r="C15" i="10"/>
  <c r="C16" i="10" s="1"/>
  <c r="C18" i="10" l="1"/>
  <c r="C17" i="10"/>
  <c r="E18" i="10"/>
  <c r="E17" i="10"/>
  <c r="D18" i="10"/>
  <c r="D17" i="10"/>
</calcChain>
</file>

<file path=xl/sharedStrings.xml><?xml version="1.0" encoding="utf-8"?>
<sst xmlns="http://schemas.openxmlformats.org/spreadsheetml/2006/main" count="924" uniqueCount="592">
  <si>
    <t>KAYAN  ·  SPECIALIZATION &amp; COMPETENCY SPINE</t>
  </si>
  <si>
    <t>KAY-CAP-SPINE-001  ·  v0.1 DRAFT  ·  12 July 2026  ·  Owner: CEO-01 with VER-01  ·  INTERNAL</t>
  </si>
  <si>
    <t>What this is</t>
  </si>
  <si>
    <t>The one layer everything about talent consumes. A ready product is a package on a micro-specialisation. A freelancer registers into one. A coach and a staff role are measured against one. Every JD, matching rule and 'three lines ring, someone asks for work' intake reads from here. Build this right once and the 50 products assemble on top of it to one standard.</t>
  </si>
  <si>
    <t>The three-level code</t>
  </si>
  <si>
    <t>SPEC-[FAMILY]-[SPECIALISATION]-[MICRO].  Example: SPEC-LNG-TRA-LEG = Language &amp; Content -&gt; Translation -&gt; Legal/Contract EN&lt;-&gt;AR. This is a taxonomy code, separate from the estate KAY-… document codes and from position codes (CEO-01 …). Three code systems, never confused.</t>
  </si>
  <si>
    <t>L1 Family</t>
  </si>
  <si>
    <t>L2 Specialisation</t>
  </si>
  <si>
    <t>A professional discipline inside a family (e.g. Translation, Writing).</t>
  </si>
  <si>
    <t>L3 Micro-specialisation</t>
  </si>
  <si>
    <t>The atom: the specific, scopeable capability a client requests and a freelancer registers into. See 02_Spec_Registry.</t>
  </si>
  <si>
    <t>Two ladders it maps to</t>
  </si>
  <si>
    <t>Talent proficiency maps to the Trust Ladder T0–T4 (no pod member below T2). Staff proficiency maps to bands S1–S4 + Founders. Both ride one 5-level proficiency scale. See 03_Competency_Model.</t>
  </si>
  <si>
    <t>What is complete vs scaffold</t>
  </si>
  <si>
    <t>COMPLETE this pass: the architecture, the 12-family map, the Language &amp; Content family fully worked to L3, and the three competency frameworks as full models. SCAFFOLD: the other 11 families carry their L2 headers only — L3 depth is batch-built next, family by family.</t>
  </si>
  <si>
    <t>How to read a cell</t>
  </si>
  <si>
    <t>BLUE on yellow = you may edit (an input/assumption). Black = reference or formula. Green = a link to another sheet. Nothing here is final until the reconciliation pass against the existing drafts (micro-spec registry, taxonomy, HR competency files) is logged.</t>
  </si>
  <si>
    <t>Sheet index</t>
  </si>
  <si>
    <t>00_Locked_Facts</t>
  </si>
  <si>
    <t>Compact SSOT — entity, money model, FX assumption</t>
  </si>
  <si>
    <t>01_Family_Map</t>
  </si>
  <si>
    <t>The 12 families, EN/AR, scope, demand, golden-product flag</t>
  </si>
  <si>
    <t>02_Spec_Registry</t>
  </si>
  <si>
    <t>The atom registry — Language worked to L3; others scaffolded</t>
  </si>
  <si>
    <t>03_Competency_Model</t>
  </si>
  <si>
    <t>The shared architecture: 5-level scale -&gt; T0–T4 and S1–S4</t>
  </si>
  <si>
    <t>04_Freelancer_Competency</t>
  </si>
  <si>
    <t>Two axes: Craft × Professional; how the T-tier is earned</t>
  </si>
  <si>
    <t>05_Coach_Competency</t>
  </si>
  <si>
    <t>Craft mastery gate + pedagogy + assessment integrity</t>
  </si>
  <si>
    <t>06_Staff_Competency</t>
  </si>
  <si>
    <t>The Kayan Six — the core every employee is held to</t>
  </si>
  <si>
    <t>07_MASTER_LISTS</t>
  </si>
  <si>
    <t>Dropdown sources (edit here to change everywhere)</t>
  </si>
  <si>
    <t>08_Golden_Product_Economics</t>
  </si>
  <si>
    <t>Managed Translation — live P&amp;L, agent/net-fee view</t>
  </si>
  <si>
    <t>LOCKED FACTS — SINGLE SOURCE OF TRUTH</t>
  </si>
  <si>
    <t>Field</t>
  </si>
  <si>
    <t>Value</t>
  </si>
  <si>
    <t>Type</t>
  </si>
  <si>
    <t>Legal name (AR, governing)</t>
  </si>
  <si>
    <t>شركة كيان للابتكار وريادة الاعمال وبيئات العمل ذ.م.م</t>
  </si>
  <si>
    <t>FACT</t>
  </si>
  <si>
    <t>Legal name (EN)</t>
  </si>
  <si>
    <t>Kayan Innovation, Entrepreneurship &amp; Work Environments LLC</t>
  </si>
  <si>
    <t>Legal form</t>
  </si>
  <si>
    <t>Yemen LLC (ذ.م.م) — Republic of Yemen, Aden</t>
  </si>
  <si>
    <t>Registered capital</t>
  </si>
  <si>
    <t>Address (AR)</t>
  </si>
  <si>
    <t>خورمكسر، شارع الكورنيش، بجوار فندق ريلاكس، عدن، اليمن</t>
  </si>
  <si>
    <t>Address (EN)</t>
  </si>
  <si>
    <t>Khormaksar, Corniche Street, next to Relax Hotel, Aden, Yemen</t>
  </si>
  <si>
    <t>Phone</t>
  </si>
  <si>
    <t>+967 2 236655 / +967 2 232096</t>
  </si>
  <si>
    <t>Bank</t>
  </si>
  <si>
    <t>Tadamon Islamic International Bank — Aden Main Branch</t>
  </si>
  <si>
    <t>Revenue mode</t>
  </si>
  <si>
    <t>Agent (Net Fee) — only Kayan commission is revenue, not gross project value</t>
  </si>
  <si>
    <t>Managed-delivery take rate</t>
  </si>
  <si>
    <t>20%</t>
  </si>
  <si>
    <t>Self-serve take rate</t>
  </si>
  <si>
    <t>15%</t>
  </si>
  <si>
    <t>Base currency</t>
  </si>
  <si>
    <t>USD (functional tracking YER)</t>
  </si>
  <si>
    <t>Trust Ladder</t>
  </si>
  <si>
    <t>Staff bands</t>
  </si>
  <si>
    <t>S1 Support / S2 Admin / S3 Professional / S4 Senior Prof. / Founders</t>
  </si>
  <si>
    <t>Tagline</t>
  </si>
  <si>
    <t>Opening target</t>
  </si>
  <si>
    <t>Blue-on-yellow = editable assumption. Everything else is locked; change here and it propagates by reference where sheets link to it.</t>
  </si>
  <si>
    <t>THE 12 FAMILIES — L1</t>
  </si>
  <si>
    <t>L1 Code</t>
  </si>
  <si>
    <t>Family (EN)</t>
  </si>
  <si>
    <t>Family (AR)</t>
  </si>
  <si>
    <t>Scope — one line</t>
  </si>
  <si>
    <t>Example specialisations</t>
  </si>
  <si>
    <t>Demand</t>
  </si>
  <si>
    <t>Golden?</t>
  </si>
  <si>
    <t>LNG</t>
  </si>
  <si>
    <t>Language &amp; Content</t>
  </si>
  <si>
    <t>اللغة والمحتوى</t>
  </si>
  <si>
    <t>Turning meaning between languages and into words that work</t>
  </si>
  <si>
    <t>Translation · Writing · Editing · Transcription · Subtitling · Localisation</t>
  </si>
  <si>
    <t>High</t>
  </si>
  <si>
    <t>Yes</t>
  </si>
  <si>
    <t>DES</t>
  </si>
  <si>
    <t>Design &amp; Creative</t>
  </si>
  <si>
    <t>التصميم والإبداع</t>
  </si>
  <si>
    <t>Visual identity, interfaces and creative assets</t>
  </si>
  <si>
    <t>Graphic · Brand · UI/UX · Illustration · Presentation · Motion</t>
  </si>
  <si>
    <t>No</t>
  </si>
  <si>
    <t>TEC</t>
  </si>
  <si>
    <t>Technology &amp; Development</t>
  </si>
  <si>
    <t>التقنية والتطوير</t>
  </si>
  <si>
    <t>Building and maintaining software and websites</t>
  </si>
  <si>
    <t>Web · Mobile · Backend · QA/Test · No-code · Maintenance</t>
  </si>
  <si>
    <t>DTA</t>
  </si>
  <si>
    <t>Data &amp; AI</t>
  </si>
  <si>
    <t>البيانات والذكاء الاصطناعي</t>
  </si>
  <si>
    <t>Preparing, labelling and making sense of data</t>
  </si>
  <si>
    <t>Annotation · Entry · Analysis · Dashboards · ML support · Research data</t>
  </si>
  <si>
    <t>MKT</t>
  </si>
  <si>
    <t>Marketing &amp; Growth</t>
  </si>
  <si>
    <t>التسويق والنمو</t>
  </si>
  <si>
    <t>Reaching, converting and keeping an audience</t>
  </si>
  <si>
    <t>Social · SEO · Paid ads · Content strategy · Email · Community</t>
  </si>
  <si>
    <t>BUS</t>
  </si>
  <si>
    <t>Business &amp; Consulting</t>
  </si>
  <si>
    <t>الأعمال والاستشارات</t>
  </si>
  <si>
    <t>Helping organisations decide and plan</t>
  </si>
  <si>
    <t>Market research · Business plans · Financial modelling · PM · Ops design</t>
  </si>
  <si>
    <t>Med</t>
  </si>
  <si>
    <t>MED</t>
  </si>
  <si>
    <t>Media &amp; Production</t>
  </si>
  <si>
    <t>الإعلام والإنتاج</t>
  </si>
  <si>
    <t>Producing and finishing audio and video</t>
  </si>
  <si>
    <t>Video editing · Audio · Photography · Animation · Podcast production</t>
  </si>
  <si>
    <t>FIN</t>
  </si>
  <si>
    <t>Finance &amp; Accounting</t>
  </si>
  <si>
    <t>المالية والمحاسبة</t>
  </si>
  <si>
    <t>Keeping the books and reading the numbers</t>
  </si>
  <si>
    <t>Bookkeeping · Financial analysis · Payroll support · Audit support</t>
  </si>
  <si>
    <t>ENG</t>
  </si>
  <si>
    <t>Engineering &amp; Technical</t>
  </si>
  <si>
    <t>الهندسة والتقنية</t>
  </si>
  <si>
    <t>Technical drawing and the built/spatial world</t>
  </si>
  <si>
    <t>CAD/drafting · Architecture support · GIS · Surveying · BOQ</t>
  </si>
  <si>
    <t>EDU</t>
  </si>
  <si>
    <t>Education &amp; Training</t>
  </si>
  <si>
    <t>التعليم والتدريب</t>
  </si>
  <si>
    <t>Designing learning and teaching skills</t>
  </si>
  <si>
    <t>Curriculum · E-learning · Tutoring · Instructional design · Assessment</t>
  </si>
  <si>
    <t>ADM</t>
  </si>
  <si>
    <t>Administration &amp; Support</t>
  </si>
  <si>
    <t>الإدارة والدعم</t>
  </si>
  <si>
    <t>Running the day-to-day so others deliver</t>
  </si>
  <si>
    <t>Virtual assistance · Data entry · Customer support · Scheduling · Ops</t>
  </si>
  <si>
    <t>PRO</t>
  </si>
  <si>
    <t>Specialised Professional Services</t>
  </si>
  <si>
    <t>خدمات مهنية متخصصة</t>
  </si>
  <si>
    <t>Regulated and specialised professional work</t>
  </si>
  <si>
    <t>Legal-drafting support · HR · Procurement · Translation of specialised docs</t>
  </si>
  <si>
    <t>SPECIALISATION REGISTRY — L2 / L3   (Language &amp; Content fully worked; other families scaffolded at L2)</t>
  </si>
  <si>
    <t>L3 Code</t>
  </si>
  <si>
    <t>Family</t>
  </si>
  <si>
    <t>Specialisation (EN)</t>
  </si>
  <si>
    <t>Specialisation (AR)</t>
  </si>
  <si>
    <t>Micro-spec (EN)</t>
  </si>
  <si>
    <t>Micro-spec (AR)</t>
  </si>
  <si>
    <t>Client-legible definition</t>
  </si>
  <si>
    <t>Typical deliverables</t>
  </si>
  <si>
    <t>Unit of pricing</t>
  </si>
  <si>
    <t>Min T-tier</t>
  </si>
  <si>
    <t>Band</t>
  </si>
  <si>
    <t>QA method</t>
  </si>
  <si>
    <t>Common client phrasing</t>
  </si>
  <si>
    <t>Ready product</t>
  </si>
  <si>
    <t>SPEC-LNG-TRA-GEN</t>
  </si>
  <si>
    <t>Translation</t>
  </si>
  <si>
    <t>الترجمة</t>
  </si>
  <si>
    <t>General EN&lt;-&gt;AR</t>
  </si>
  <si>
    <t>ترجمة عامة انجليزي/عربي</t>
  </si>
  <si>
    <t>Everyday documents and correspondence rendered accurately between English and Arabic</t>
  </si>
  <si>
    <t>Translated file (Word/PDF), matched formatting</t>
  </si>
  <si>
    <t>Per word</t>
  </si>
  <si>
    <t>T2</t>
  </si>
  <si>
    <t>S3</t>
  </si>
  <si>
    <t>Second-linguist review + glossary/consistency check</t>
  </si>
  <si>
    <t>I need this document translated to Arabic</t>
  </si>
  <si>
    <t>PROD-TRA-001</t>
  </si>
  <si>
    <t>SPEC-LNG-TRA-LEG</t>
  </si>
  <si>
    <t>Legal / Contract EN&lt;-&gt;AR</t>
  </si>
  <si>
    <t>ترجمة قانونية/عقود</t>
  </si>
  <si>
    <t>Contracts, agreements and official papers translated with legal precision and consistent terminology</t>
  </si>
  <si>
    <t>Translated legal document, terminology note</t>
  </si>
  <si>
    <t>T3</t>
  </si>
  <si>
    <t>S4</t>
  </si>
  <si>
    <t>Legal-terminology review by a second linguist; source-clause mapping</t>
  </si>
  <si>
    <t>Can you translate this contract officially</t>
  </si>
  <si>
    <t>SPEC-LNG-TRA-TEC</t>
  </si>
  <si>
    <t>Technical / Engineering EN&lt;-&gt;AR</t>
  </si>
  <si>
    <t>ترجمة تقنية/هندسية</t>
  </si>
  <si>
    <t>Manuals, specs and technical material translated with domain-correct terminology</t>
  </si>
  <si>
    <t>Translated technical doc + term list</t>
  </si>
  <si>
    <t>Domain-terminology QA; figures/units integrity check</t>
  </si>
  <si>
    <t>Translate this technical manual</t>
  </si>
  <si>
    <t>SPEC-LNG-TRA-MED</t>
  </si>
  <si>
    <t>Medical EN&lt;-&gt;AR</t>
  </si>
  <si>
    <t>ترجمة طبية</t>
  </si>
  <si>
    <t>Medical reports and health content translated accurately and sensitively</t>
  </si>
  <si>
    <t>Translated medical document</t>
  </si>
  <si>
    <t>Medical-terminology review; sensitivity/confidentiality gate</t>
  </si>
  <si>
    <t>Translate this medical report</t>
  </si>
  <si>
    <t>SPEC-LNG-TRA-MKT</t>
  </si>
  <si>
    <t>Marketing / Transcreation EN&lt;-&gt;AR</t>
  </si>
  <si>
    <t>ترجمة تسويقية/إبداعية</t>
  </si>
  <si>
    <t>Adverts, slogans and campaigns recreated to land in the target language, not translated literally</t>
  </si>
  <si>
    <t>Adapted copy + rationale</t>
  </si>
  <si>
    <t>Per project</t>
  </si>
  <si>
    <t>Native-reader review for tone and cultural fit</t>
  </si>
  <si>
    <t>Adapt our campaign into Arabic</t>
  </si>
  <si>
    <t>PROD-TRA-002</t>
  </si>
  <si>
    <t>SPEC-LNG-TRA-FIN</t>
  </si>
  <si>
    <t>Financial EN&lt;-&gt;AR</t>
  </si>
  <si>
    <t>ترجمة مالية</t>
  </si>
  <si>
    <t>Financial statements and reports translated with accounting-correct terminology</t>
  </si>
  <si>
    <t>Translated financial doc</t>
  </si>
  <si>
    <t>Finance-terminology QA; numbers/tables integrity check</t>
  </si>
  <si>
    <t>Translate our financial statements</t>
  </si>
  <si>
    <t>SPEC-LNG-WRI-ACW</t>
  </si>
  <si>
    <t>Writing &amp; Copywriting</t>
  </si>
  <si>
    <t>الكتابة والمحتوى</t>
  </si>
  <si>
    <t>Arabic Copywriting</t>
  </si>
  <si>
    <t>كتابة إعلانية عربية</t>
  </si>
  <si>
    <t>Persuasive Arabic copy for pages, ads and profiles</t>
  </si>
  <si>
    <t>Copy deck (Word)</t>
  </si>
  <si>
    <t>Editor pass + brief-fit review</t>
  </si>
  <si>
    <t>We need Arabic copy for our website</t>
  </si>
  <si>
    <t>PROD-WRI-001</t>
  </si>
  <si>
    <t>SPEC-LNG-WRI-ECW</t>
  </si>
  <si>
    <t>English Copywriting</t>
  </si>
  <si>
    <t>كتابة إعلانية انجليزية</t>
  </si>
  <si>
    <t>Persuasive English copy for pages, ads and profiles</t>
  </si>
  <si>
    <t>Write English copy for our brand</t>
  </si>
  <si>
    <t>SPEC-LNG-WRI-ART</t>
  </si>
  <si>
    <t>Article / Blog Writing</t>
  </si>
  <si>
    <t>كتابة مقالات</t>
  </si>
  <si>
    <t>Researched articles and blog posts on a brief</t>
  </si>
  <si>
    <t>Article (per word count)</t>
  </si>
  <si>
    <t>Per 1000 words</t>
  </si>
  <si>
    <t>Editor pass + originality/plagiarism check</t>
  </si>
  <si>
    <t>Write blog articles for us</t>
  </si>
  <si>
    <t>PROD-WRI-002</t>
  </si>
  <si>
    <t>SPEC-LNG-WRI-TEC</t>
  </si>
  <si>
    <t>Technical Writing</t>
  </si>
  <si>
    <t>كتابة تقنية</t>
  </si>
  <si>
    <t>User guides, help docs and technical explainers</t>
  </si>
  <si>
    <t>Structured guide</t>
  </si>
  <si>
    <t>Technical-review + readability check</t>
  </si>
  <si>
    <t>We need product documentation written</t>
  </si>
  <si>
    <t>PROD-WRI-003</t>
  </si>
  <si>
    <t>SPEC-LNG-WRI-GRT</t>
  </si>
  <si>
    <t>Grant / Proposal Writing</t>
  </si>
  <si>
    <t>كتابة مقترحات ومنح</t>
  </si>
  <si>
    <t>Funding proposals and concept notes for NGOs and SMEs</t>
  </si>
  <si>
    <t>Proposal document</t>
  </si>
  <si>
    <t>Compliance-to-donor-template review</t>
  </si>
  <si>
    <t>Help us write a funding proposal</t>
  </si>
  <si>
    <t>PROD-WRI-004</t>
  </si>
  <si>
    <t>SPEC-LNG-WRI-CVR</t>
  </si>
  <si>
    <t>CV / Resume Writing</t>
  </si>
  <si>
    <t>كتابة سير ذاتية</t>
  </si>
  <si>
    <t>Professional CVs and cover letters, AR or EN</t>
  </si>
  <si>
    <t>CV + cover letter</t>
  </si>
  <si>
    <t>T1</t>
  </si>
  <si>
    <t>S2</t>
  </si>
  <si>
    <t>Editor pass + format check</t>
  </si>
  <si>
    <t>Write me a professional CV</t>
  </si>
  <si>
    <t>PROD-WRI-005</t>
  </si>
  <si>
    <t>SPEC-LNG-EDT-ARB</t>
  </si>
  <si>
    <t>Editing &amp; Proofreading</t>
  </si>
  <si>
    <t>التحرير والتدقيق</t>
  </si>
  <si>
    <t>Arabic Editing / Proofreading</t>
  </si>
  <si>
    <t>تحرير وتدقيق عربي</t>
  </si>
  <si>
    <t>Grammar, spelling and clarity polish for Arabic text</t>
  </si>
  <si>
    <t>Tracked-changes file</t>
  </si>
  <si>
    <t>Second-reader spot check</t>
  </si>
  <si>
    <t>Proofread my Arabic document</t>
  </si>
  <si>
    <t>PROD-EDT-001</t>
  </si>
  <si>
    <t>SPEC-LNG-EDT-ENG</t>
  </si>
  <si>
    <t>English Editing / Proofreading</t>
  </si>
  <si>
    <t>تحرير وتدقيق انجليزي</t>
  </si>
  <si>
    <t>Grammar, spelling and clarity polish for English text</t>
  </si>
  <si>
    <t>Proofread my English document</t>
  </si>
  <si>
    <t>SPEC-LNG-EDT-ACA</t>
  </si>
  <si>
    <t>Academic Editing</t>
  </si>
  <si>
    <t>تحرير أكاديمي</t>
  </si>
  <si>
    <t>Theses and papers edited to academic style</t>
  </si>
  <si>
    <t>Edited manuscript + notes</t>
  </si>
  <si>
    <t>Style-guide conformance review</t>
  </si>
  <si>
    <t>Edit my thesis</t>
  </si>
  <si>
    <t>PROD-EDT-002</t>
  </si>
  <si>
    <t>SPEC-LNG-TRS-ARB</t>
  </si>
  <si>
    <t>Transcription</t>
  </si>
  <si>
    <t>النسخ الصوتي</t>
  </si>
  <si>
    <t>Arabic Audio Transcription</t>
  </si>
  <si>
    <t>نسخ صوتي عربي</t>
  </si>
  <si>
    <t>Arabic audio/video turned into accurate text</t>
  </si>
  <si>
    <t>Transcript (timestamped optional)</t>
  </si>
  <si>
    <t>Per audio minute</t>
  </si>
  <si>
    <t>Accuracy pass against audio</t>
  </si>
  <si>
    <t>Transcribe this Arabic recording</t>
  </si>
  <si>
    <t>PROD-TRS-001</t>
  </si>
  <si>
    <t>SPEC-LNG-TRS-ENG</t>
  </si>
  <si>
    <t>English Audio Transcription</t>
  </si>
  <si>
    <t>نسخ صوتي انجليزي</t>
  </si>
  <si>
    <t>English audio/video turned into accurate text</t>
  </si>
  <si>
    <t>Transcribe this English recording</t>
  </si>
  <si>
    <t>SPEC-LNG-SUB-ENAR</t>
  </si>
  <si>
    <t>Subtitling &amp; Captioning</t>
  </si>
  <si>
    <t>الترجمة المرئية</t>
  </si>
  <si>
    <t>Subtitling EN&lt;-&gt;AR</t>
  </si>
  <si>
    <t>سترجة انجليزي/عربي</t>
  </si>
  <si>
    <t>Video subtitled and time-synced between English and Arabic</t>
  </si>
  <si>
    <t>SRT/VTT + burned-in optional</t>
  </si>
  <si>
    <t>Per video minute</t>
  </si>
  <si>
    <t>Timing + reading-speed QA</t>
  </si>
  <si>
    <t>Add Arabic subtitles to our video</t>
  </si>
  <si>
    <t>PROD-SUB-001</t>
  </si>
  <si>
    <t>SPEC-LNG-LOC-WEB</t>
  </si>
  <si>
    <t>Localisation</t>
  </si>
  <si>
    <t>التوطين</t>
  </si>
  <si>
    <t>Website / App Localisation (AR)</t>
  </si>
  <si>
    <t>توطين مواقع وتطبيقات</t>
  </si>
  <si>
    <t>Software and sites adapted for Arabic users incl. RTL and cultural fit</t>
  </si>
  <si>
    <t>Localised strings + QA notes</t>
  </si>
  <si>
    <t>In-context UI review + RTL check</t>
  </si>
  <si>
    <t>Make our app work in Arabic</t>
  </si>
  <si>
    <t>PROD-LOC-001</t>
  </si>
  <si>
    <t>SCAFFOLD — other 11 families (L2 specialisations listed; L3 micro-spec depth is batch-built next, family by family)</t>
  </si>
  <si>
    <t>SPEC-DES-…</t>
  </si>
  <si>
    <t>Graphic Design</t>
  </si>
  <si>
    <t>— to be worked to L3 —</t>
  </si>
  <si>
    <t>Brand Identity</t>
  </si>
  <si>
    <t>UI/UX Design</t>
  </si>
  <si>
    <t>Illustration</t>
  </si>
  <si>
    <t>Presentation Design</t>
  </si>
  <si>
    <t>Motion Graphics</t>
  </si>
  <si>
    <t>SPEC-TEC-…</t>
  </si>
  <si>
    <t>Web Development</t>
  </si>
  <si>
    <t>Mobile Development</t>
  </si>
  <si>
    <t>Backend/API</t>
  </si>
  <si>
    <t>QA &amp; Testing</t>
  </si>
  <si>
    <t>No-code / Automation</t>
  </si>
  <si>
    <t>Maintenance &amp; Support</t>
  </si>
  <si>
    <t>SPEC-DTA-…</t>
  </si>
  <si>
    <t>Data Annotation/Labelling</t>
  </si>
  <si>
    <t>Data Entry</t>
  </si>
  <si>
    <t>Data Analysis</t>
  </si>
  <si>
    <t>Dashboards/BI</t>
  </si>
  <si>
    <t>ML Support</t>
  </si>
  <si>
    <t>Research Data</t>
  </si>
  <si>
    <t>SPEC-MKT-…</t>
  </si>
  <si>
    <t>Social Media Management</t>
  </si>
  <si>
    <t>SEO</t>
  </si>
  <si>
    <t>Paid Ads</t>
  </si>
  <si>
    <t>Content Strategy</t>
  </si>
  <si>
    <t>Email Marketing</t>
  </si>
  <si>
    <t>Community Management</t>
  </si>
  <si>
    <t>SPEC-BUS-…</t>
  </si>
  <si>
    <t>Market Research</t>
  </si>
  <si>
    <t>Business Plans</t>
  </si>
  <si>
    <t>Financial Modelling</t>
  </si>
  <si>
    <t>Project Management</t>
  </si>
  <si>
    <t>Operations Design</t>
  </si>
  <si>
    <t>SPEC-MED-…</t>
  </si>
  <si>
    <t>Video Editing</t>
  </si>
  <si>
    <t>Audio Production</t>
  </si>
  <si>
    <t>Photography</t>
  </si>
  <si>
    <t>Animation</t>
  </si>
  <si>
    <t>Podcast Production</t>
  </si>
  <si>
    <t>SPEC-FIN-…</t>
  </si>
  <si>
    <t>Bookkeeping</t>
  </si>
  <si>
    <t>Financial Analysis</t>
  </si>
  <si>
    <t>Payroll Support</t>
  </si>
  <si>
    <t>Audit Support</t>
  </si>
  <si>
    <t>SPEC-ENG-…</t>
  </si>
  <si>
    <t>CAD / Drafting</t>
  </si>
  <si>
    <t>Architecture Support</t>
  </si>
  <si>
    <t>GIS</t>
  </si>
  <si>
    <t>Surveying</t>
  </si>
  <si>
    <t>BOQ / Estimation</t>
  </si>
  <si>
    <t>SPEC-EDU-…</t>
  </si>
  <si>
    <t>Curriculum Design</t>
  </si>
  <si>
    <t>E-learning Development</t>
  </si>
  <si>
    <t>Tutoring</t>
  </si>
  <si>
    <t>Instructional Design</t>
  </si>
  <si>
    <t>Assessment Design</t>
  </si>
  <si>
    <t>SPEC-ADM-…</t>
  </si>
  <si>
    <t>Virtual Assistance</t>
  </si>
  <si>
    <t>Data Entry (Admin)</t>
  </si>
  <si>
    <t>Customer Support</t>
  </si>
  <si>
    <t>Scheduling &amp; Coordination</t>
  </si>
  <si>
    <t>Operations Support</t>
  </si>
  <si>
    <t>SPEC-PRO-…</t>
  </si>
  <si>
    <t>Legal-drafting Support</t>
  </si>
  <si>
    <t>HR Services</t>
  </si>
  <si>
    <t>Procurement Support</t>
  </si>
  <si>
    <t>Specialised Document Translation</t>
  </si>
  <si>
    <t>THE COMPETENCY MODEL — ONE LADDER, THREE FRAMEWORKS</t>
  </si>
  <si>
    <t>Everyone in the Kayan world — freelancer, coach, staff — is read on one 5-level proficiency scale. The scale then maps to the Trust Ladder (talent) and the pay bands (staff). Same language, one calibration.</t>
  </si>
  <si>
    <t>Level</t>
  </si>
  <si>
    <t>Meaning</t>
  </si>
  <si>
    <t>Talent -&gt; Trust Ladder</t>
  </si>
  <si>
    <t>Staff -&gt; Band</t>
  </si>
  <si>
    <t>Can they…</t>
  </si>
  <si>
    <t>L0 Emerging</t>
  </si>
  <si>
    <t>Learning the craft; not yet independent</t>
  </si>
  <si>
    <t>T0 — registered, unverified</t>
  </si>
  <si>
    <t>(intern / trainee)</t>
  </si>
  <si>
    <t>Work only with supervision</t>
  </si>
  <si>
    <t>L1 Foundational</t>
  </si>
  <si>
    <t>Delivers simple, well-defined tasks reliably</t>
  </si>
  <si>
    <t>T1 — Foundational verified</t>
  </si>
  <si>
    <t>S1 / S2</t>
  </si>
  <si>
    <t>Own a small, clearly-scoped task</t>
  </si>
  <si>
    <t>L2 Proficient</t>
  </si>
  <si>
    <t>Delivers standard work independently to standard</t>
  </si>
  <si>
    <t>T2 — Proficient (pod-eligible)</t>
  </si>
  <si>
    <t>Own a full standard job end-to-end</t>
  </si>
  <si>
    <t>L3 Advanced</t>
  </si>
  <si>
    <t>Handles complex/ambiguous work; guides others</t>
  </si>
  <si>
    <t>T3 — Advanced</t>
  </si>
  <si>
    <t>Lead work and set the quality bar</t>
  </si>
  <si>
    <t>L4 Expert / Master</t>
  </si>
  <si>
    <t>Top of the craft; the reference others check against</t>
  </si>
  <si>
    <t>T4 — Expert</t>
  </si>
  <si>
    <t>S4 / Founders</t>
  </si>
  <si>
    <t>Define the standard; assess and coach</t>
  </si>
  <si>
    <t>The freelancer test = two axes</t>
  </si>
  <si>
    <t>A freelancer's Trust tier is a function of BOTH their Craft level (the micro-spec skill, proven by portfolio + skills assessment + delivery record) AND their Professional level (reliability, communication, deadline, process). Craft without reliability is not pod-eligible. See 04.</t>
  </si>
  <si>
    <t>The coach gate</t>
  </si>
  <si>
    <t>A coach may only coach or assess a specialisation they are at least L3 (Advanced) in — and they sit the same Ladder tests, visibly. Mastery + pedagogy + assessment integrity. See 05.</t>
  </si>
  <si>
    <t>The staff core = the Kayan Six</t>
  </si>
  <si>
    <t>Every employee, whatever the craft, is held to six shared competencies, plus their role-family craft. See 06.</t>
  </si>
  <si>
    <t>FREELANCER COMPETENCY — CRAFT × PROFESSIONAL</t>
  </si>
  <si>
    <t>The Trust tier is earned on both axes. Axis A = the craft itself (portfolio + skills assessment + delivery record). Axis B = the professional behaviours that make managed delivery work. Anchors below are the Professional axis; the Craft axis is instantiated per micro-specialisation.</t>
  </si>
  <si>
    <t>Competency</t>
  </si>
  <si>
    <t>L1 Foundational — looks like</t>
  </si>
  <si>
    <t>L2 Proficient — looks like</t>
  </si>
  <si>
    <t>L3 Advanced — looks like</t>
  </si>
  <si>
    <t>L4 Expert — looks like</t>
  </si>
  <si>
    <t>A · Craft (per micro-spec)</t>
  </si>
  <si>
    <t>Completes simple tasks correctly with guidance</t>
  </si>
  <si>
    <t>Delivers standard scope independently to spec</t>
  </si>
  <si>
    <t>Handles complex/ambiguous briefs; sets craft quality</t>
  </si>
  <si>
    <t>Reference-level; others verify against them</t>
  </si>
  <si>
    <t>B1 · Brief comprehension</t>
  </si>
  <si>
    <t>Follows an explicit checklist</t>
  </si>
  <si>
    <t>Reads a brief and asks the right questions upfront</t>
  </si>
  <si>
    <t>Spots gaps/risks in a brief and proposes scope</t>
  </si>
  <si>
    <t>Reframes the client's ask into the best outcome</t>
  </si>
  <si>
    <t>B2 · Communication &amp; responsiveness</t>
  </si>
  <si>
    <t>Replies within agreed window when prompted</t>
  </si>
  <si>
    <t>Proactive, clear updates at each stage</t>
  </si>
  <si>
    <t>Manages expectations and hard conversations calmly</t>
  </si>
  <si>
    <t>Sets the standard others are coached to</t>
  </si>
  <si>
    <t>B3 · Deadline reliability</t>
  </si>
  <si>
    <t>Meets deadlines on simple tasks</t>
  </si>
  <si>
    <t>Consistently on time on standard jobs</t>
  </si>
  <si>
    <t>Reliable under pressure and on complex jobs</t>
  </si>
  <si>
    <t>Never a missed date across a long record</t>
  </si>
  <si>
    <t>B4 · Revision handling</t>
  </si>
  <si>
    <t>Accepts and applies feedback</t>
  </si>
  <si>
    <t>Anticipates likely revisions; low rework</t>
  </si>
  <si>
    <t>Turns feedback into better outcomes, not just fixes</t>
  </si>
  <si>
    <t>Coaches others on receiving feedback</t>
  </si>
  <si>
    <t>B5 · Process &amp; escrow compliance</t>
  </si>
  <si>
    <t>Follows the platform process when reminded</t>
  </si>
  <si>
    <t>Works fully inside the process by default</t>
  </si>
  <si>
    <t>Protects the process integrity under pressure</t>
  </si>
  <si>
    <t>Models the process; flags leakage risk</t>
  </si>
  <si>
    <t>B6 · Confidentiality &amp; integrity</t>
  </si>
  <si>
    <t>Understands and signs the NDA</t>
  </si>
  <si>
    <t>Handles sensitive material correctly</t>
  </si>
  <si>
    <t>Manages confidential/regulated work safely</t>
  </si>
  <si>
    <t>Trusted with the most sensitive engagements</t>
  </si>
  <si>
    <t>Tier rule (plain): T2 (pod-eligible) requires Craft &gt;= L2 AND Professional axis average &gt;= L2 AND a clean delivery record on &gt;= 2 verified jobs. T3/T4 add complexity handled and a longer evidenced record. Assessed by VER-01, calibrated quarterly.</t>
  </si>
  <si>
    <t>COACH &amp; ASSESSOR COMPETENCY</t>
  </si>
  <si>
    <t>A coach is a craftsperson who can also teach and assess fairly. Hard gate: L3 (Advanced) or above in the specialisation coached. Coaches sit the same Ladder tests as learners — nobody asks for a standard they have not sat.</t>
  </si>
  <si>
    <t>Craft mastery (GATE)</t>
  </si>
  <si>
    <t>(not eligible below L3)</t>
  </si>
  <si>
    <t>Advanced practitioner in the specialisation</t>
  </si>
  <si>
    <t>Reference master; defines the standard</t>
  </si>
  <si>
    <t>Instructional design &amp; teaching</t>
  </si>
  <si>
    <t>Explains a task clearly one-to-one</t>
  </si>
  <si>
    <t>Runs a structured session to an outcome</t>
  </si>
  <si>
    <t>Designs a learning path that lands in delivery</t>
  </si>
  <si>
    <t>Builds the curriculum others teach from</t>
  </si>
  <si>
    <t>Fair assessment</t>
  </si>
  <si>
    <t>Applies a rubric consistently</t>
  </si>
  <si>
    <t>Assesses against evidence, not impression</t>
  </si>
  <si>
    <t>Calibrates so a score means the same everywhere</t>
  </si>
  <si>
    <t>Sets and audits the assessment standard</t>
  </si>
  <si>
    <t>Evidence-based feedback</t>
  </si>
  <si>
    <t>Gives specific, kind, usable feedback</t>
  </si>
  <si>
    <t>Ties feedback to observed dated moments</t>
  </si>
  <si>
    <t>Turns feedback into measurable growth</t>
  </si>
  <si>
    <t>Models the feedback culture Kayan runs on</t>
  </si>
  <si>
    <t>Learner care</t>
  </si>
  <si>
    <t>Supportive and patient</t>
  </si>
  <si>
    <t>Reads where a learner is stuck and adapts</t>
  </si>
  <si>
    <t>Builds confidence without lowering the bar</t>
  </si>
  <si>
    <t>Grows people who become coaches themselves</t>
  </si>
  <si>
    <t>Integrity (sits the tests)</t>
  </si>
  <si>
    <t>Takes the same assessments</t>
  </si>
  <si>
    <t>Visibly meets the standard being taught</t>
  </si>
  <si>
    <t>Protects fairness under pressure/favouritism</t>
  </si>
  <si>
    <t>The trusted reference for the programme</t>
  </si>
  <si>
    <t>STAFF COMPETENCY — THE KAYAN SIX</t>
  </si>
  <si>
    <t>Every employee, whatever the craft, is held to six shared competencies (plus their role-family craft, added in each JD). These are the culture made measurable — the guarantee-account discipline, in a person.</t>
  </si>
  <si>
    <t>1 · Ownership &amp; Delivery  (يملك ويسلّم)</t>
  </si>
  <si>
    <t>Completes assigned tasks on time</t>
  </si>
  <si>
    <t>Owns an outcome end-to-end; no dropped balls</t>
  </si>
  <si>
    <t>Owns ambiguous problems and drives them to done</t>
  </si>
  <si>
    <t>Others rely on them to carry the hardest outcomes</t>
  </si>
  <si>
    <t>2 · Trust &amp; Integrity  (الأمانة والثقة)</t>
  </si>
  <si>
    <t>Honest; follows the rules</t>
  </si>
  <si>
    <t>Protects client money and Kayan's word by default</t>
  </si>
  <si>
    <t>Holds the line on integrity under pressure</t>
  </si>
  <si>
    <t>The reference for what 'the guarantee' means here</t>
  </si>
  <si>
    <t>3 · Client &amp; Talent Care  (رعاية الطرفين)</t>
  </si>
  <si>
    <t>Courteous and responsive to both sides</t>
  </si>
  <si>
    <t>Anticipates what client and talent each need</t>
  </si>
  <si>
    <t>Turns hard moments into trust on both sides</t>
  </si>
  <si>
    <t>Sets the care standard the team is coached to</t>
  </si>
  <si>
    <t>4 · Evidence over Adjectives  (الدليل قبل الوصف)</t>
  </si>
  <si>
    <t>States facts, not impressions</t>
  </si>
  <si>
    <t>Backs claims with dated, logged moments</t>
  </si>
  <si>
    <t>Makes decisions and reviews on evidence</t>
  </si>
  <si>
    <t>Builds the habit across the team</t>
  </si>
  <si>
    <t>5 · Judgment under Constraint  (الحكم تحت الضغط)</t>
  </si>
  <si>
    <t>Follows the playbook when things break</t>
  </si>
  <si>
    <t>Makes good calls when internet/power/cash fail</t>
  </si>
  <si>
    <t>Designs around the Aden reality proactively</t>
  </si>
  <si>
    <t>The calm hand others look to in a crisis</t>
  </si>
  <si>
    <t>6 · Collaboration &amp; Standard  (التعاون والمعيار)</t>
  </si>
  <si>
    <t>Works well within the team</t>
  </si>
  <si>
    <t>Raises the shared bar; helps others deliver</t>
  </si>
  <si>
    <t>Lifts the standard across functions</t>
  </si>
  <si>
    <t>Embodies the standard; never asks what they won't do</t>
  </si>
  <si>
    <t>Families</t>
  </si>
  <si>
    <t>Trust tiers</t>
  </si>
  <si>
    <t>Bands</t>
  </si>
  <si>
    <t>Units of pricing</t>
  </si>
  <si>
    <t>Status</t>
  </si>
  <si>
    <t>Proficiency</t>
  </si>
  <si>
    <t>Yes/No</t>
  </si>
  <si>
    <t>T0</t>
  </si>
  <si>
    <t>S1</t>
  </si>
  <si>
    <t>Live</t>
  </si>
  <si>
    <t>Second-linguist review</t>
  </si>
  <si>
    <t>Draft</t>
  </si>
  <si>
    <t>Editor pass</t>
  </si>
  <si>
    <t>Low</t>
  </si>
  <si>
    <t>Scaffold</t>
  </si>
  <si>
    <t>Domain-terminology QA</t>
  </si>
  <si>
    <t>Retired</t>
  </si>
  <si>
    <t>In-context UI review</t>
  </si>
  <si>
    <t>T4</t>
  </si>
  <si>
    <t>Founders</t>
  </si>
  <si>
    <t>Per page</t>
  </si>
  <si>
    <t>Accuracy pass vs source</t>
  </si>
  <si>
    <t>Peer review</t>
  </si>
  <si>
    <t>Per day</t>
  </si>
  <si>
    <t>Independent QA panel</t>
  </si>
  <si>
    <t>Per asset</t>
  </si>
  <si>
    <t>Retainer</t>
  </si>
  <si>
    <t>GOLDEN PRODUCT — MANAGED TRANSLATION · LIVE ECONOMICS</t>
  </si>
  <si>
    <t>PROD-TRA-001  ·  agent / net-fee view (per Locked Facts)  ·  BLUE-on-yellow = editable input</t>
  </si>
  <si>
    <t>Driver</t>
  </si>
  <si>
    <t>Standard</t>
  </si>
  <si>
    <t>Certified</t>
  </si>
  <si>
    <t>Specialised</t>
  </si>
  <si>
    <t>Note</t>
  </si>
  <si>
    <t>Word count (words)</t>
  </si>
  <si>
    <t>Client input at scoping</t>
  </si>
  <si>
    <t>Client rate ($/word)</t>
  </si>
  <si>
    <t>Kayan's published client price</t>
  </si>
  <si>
    <t>Linguist share (% of client price)</t>
  </si>
  <si>
    <t>What the verified linguist earns</t>
  </si>
  <si>
    <t>QA reviewer (% of client price)</t>
  </si>
  <si>
    <t>Second-linguist review (the guarantee)</t>
  </si>
  <si>
    <t>Payment processing (% of gross)</t>
  </si>
  <si>
    <t>Rails / FX handling</t>
  </si>
  <si>
    <t>Gross transaction value ($)</t>
  </si>
  <si>
    <t>Client pays this — PASS-THROUGH, not Kayan revenue</t>
  </si>
  <si>
    <t xml:space="preserve">  Linguist payout ($)</t>
  </si>
  <si>
    <t xml:space="preserve">  QA reviewer cost ($)</t>
  </si>
  <si>
    <t xml:space="preserve">  Payment processing ($)</t>
  </si>
  <si>
    <t>KAYAN NET FEE ($) = revenue recognised</t>
  </si>
  <si>
    <t>THIS is Kayan revenue (agent/net-fee)</t>
  </si>
  <si>
    <t>Kayan net fee (% of gross)</t>
  </si>
  <si>
    <t>Target ~20–25% take</t>
  </si>
  <si>
    <t>Kayan net fee (YER, at locked FX)</t>
  </si>
  <si>
    <t>Functional-currency view</t>
  </si>
  <si>
    <t>HOW IT POSTS  ·  ACCOUNTING &amp; TAX</t>
  </si>
  <si>
    <t>Per the Locked Fact (Agent / Net Fee): only the Kayan Net Fee (row 16) is recorded as revenue. The gross transaction value (row 12) flows through and is NOT Kayan turnover — this is what keeps Kayan from being taxed on money that belongs to linguists.</t>
  </si>
  <si>
    <t>FLAG for counsel + accountant: for fully-managed delivery Kayan may be the PRINCIPAL (contracts the linguist, delivers to the client), not an agent — which under revenue-recognition rules could change what counts as turnover. Confirm principal-vs-agent treatment per product before filing. Do not assume; get it in writing.</t>
  </si>
  <si>
    <t>Client funds are held in a protected/receiving account and released on acceptance — never pooled informally. Payout to the linguist only after signed acceptance (delivery gate).</t>
  </si>
  <si>
    <t>Behind every success, a Kayan.  —  خلف كل نجاح، كيان</t>
  </si>
  <si>
    <t>1 augest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</si>
</sst>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
  </numFmts>
  <fonts count="19" x14ac:knownFonts="1">
    <font>
      <sz val="11"/>
      <color theme="1"/>
      <name val="Calibri"/>
      <family val="2"/>
      <charset val="1"/>
    </font>
    <font>
      <b/>
      <sz val="16"/>
      <color rgb="FFFFFFFF"/>
      <name val="Arial"/>
      <charset val="1"/>
    </font>
    <font>
      <b/>
      <sz val="9"/>
      <color rgb="FFC8962E"/>
      <name val="Arial"/>
      <charset val="1"/>
    </font>
    <font>
      <b/>
      <sz val="10"/>
      <color rgb="FF0D4F4F"/>
      <name val="Arial"/>
      <charset val="1"/>
    </font>
    <font>
      <sz val="9"/>
      <color rgb="FF1A1A1A"/>
      <name val="Arial"/>
      <charset val="1"/>
    </font>
    <font>
      <b/>
      <sz val="10"/>
      <color rgb="FFC8962E"/>
      <name val="Arial"/>
      <charset val="1"/>
    </font>
    <font>
      <b/>
      <sz val="9"/>
      <color rgb="FF1A1A1A"/>
      <name val="Arial"/>
      <charset val="1"/>
    </font>
    <font>
      <sz val="9"/>
      <color rgb="FF6B6B6B"/>
      <name val="Arial"/>
      <charset val="1"/>
    </font>
    <font>
      <b/>
      <sz val="9"/>
      <color rgb="FFFFFFFF"/>
      <name val="Arial"/>
      <charset val="1"/>
    </font>
    <font>
      <b/>
      <sz val="8"/>
      <color rgb="FF0D4F4F"/>
      <name val="Arial"/>
      <charset val="1"/>
    </font>
    <font>
      <sz val="10"/>
      <color rgb="FF0000FF"/>
      <name val="Arial"/>
      <charset val="1"/>
    </font>
    <font>
      <b/>
      <sz val="8"/>
      <color rgb="FFC8962E"/>
      <name val="Arial"/>
      <charset val="1"/>
    </font>
    <font>
      <i/>
      <sz val="8"/>
      <color rgb="FF6B6B6B"/>
      <name val="Arial"/>
      <charset val="1"/>
    </font>
    <font>
      <b/>
      <sz val="9"/>
      <color rgb="FF0D4F4F"/>
      <name val="Arial"/>
      <charset val="1"/>
    </font>
    <font>
      <sz val="8"/>
      <color rgb="FF1A1A1A"/>
      <name val="Arial"/>
      <charset val="1"/>
    </font>
    <font>
      <sz val="8"/>
      <name val="Arial"/>
      <charset val="1"/>
    </font>
    <font>
      <b/>
      <sz val="8"/>
      <color rgb="FF6B6B6B"/>
      <name val="Arial"/>
      <charset val="1"/>
    </font>
    <font>
      <i/>
      <sz val="9"/>
      <color rgb="FF1A1A1A"/>
      <name val="Arial"/>
      <charset val="1"/>
    </font>
    <font>
      <b/>
      <sz val="10"/>
      <color rgb="FFFFFFFF"/>
      <name val="Arial"/>
      <charset val="1"/>
    </font>
  </fonts>
  <fills count="8">
    <fill>
      <patternFill patternType="none"/>
    </fill>
    <fill>
      <patternFill patternType="gray125"/>
    </fill>
    <fill>
      <patternFill patternType="solid">
        <fgColor rgb="FF15181D"/>
        <bgColor rgb="FF1A1A1A"/>
      </patternFill>
    </fill>
    <fill>
      <patternFill patternType="solid">
        <fgColor rgb="FFF7F5F0"/>
        <bgColor rgb="FFFBF8F0"/>
      </patternFill>
    </fill>
    <fill>
      <patternFill patternType="solid">
        <fgColor rgb="FFFFF7CC"/>
        <bgColor rgb="FFFBF8F0"/>
      </patternFill>
    </fill>
    <fill>
      <patternFill patternType="solid">
        <fgColor rgb="FFC8962E"/>
        <bgColor rgb="FFFF8080"/>
      </patternFill>
    </fill>
    <fill>
      <patternFill patternType="solid">
        <fgColor rgb="FFFBF8F0"/>
        <bgColor rgb="FFF7F5F0"/>
      </patternFill>
    </fill>
    <fill>
      <patternFill patternType="solid">
        <fgColor rgb="FF0D4F4F"/>
        <bgColor rgb="FF333399"/>
      </patternFill>
    </fill>
  </fills>
  <borders count="2">
    <border>
      <left/>
      <right/>
      <top/>
      <bottom/>
      <diagonal/>
    </border>
    <border>
      <left style="thin">
        <color rgb="FFD8D3C7"/>
      </left>
      <right style="thin">
        <color rgb="FFD8D3C7"/>
      </right>
      <top style="thin">
        <color rgb="FFD8D3C7"/>
      </top>
      <bottom style="thin">
        <color rgb="FFD8D3C7"/>
      </bottom>
      <diagonal/>
    </border>
  </borders>
  <cellStyleXfs count="1">
    <xf numFmtId="0" fontId="0" fillId="0" borderId="0"/>
  </cellStyleXfs>
  <cellXfs count="60">
    <xf numFmtId="0" fontId="0" fillId="0" borderId="0" xfId="0"/>
    <xf numFmtId="0" fontId="18" fillId="7" borderId="0" xfId="0" applyFont="1" applyFill="1"/>
    <xf numFmtId="0" fontId="2" fillId="0" borderId="0" xfId="0" applyFont="1" applyAlignment="1">
      <alignment vertical="top" wrapText="1"/>
    </xf>
    <xf numFmtId="0" fontId="17" fillId="0" borderId="0" xfId="0" applyFont="1" applyAlignment="1">
      <alignment vertical="top" wrapText="1"/>
    </xf>
    <xf numFmtId="0" fontId="8" fillId="5" borderId="0" xfId="0" applyFont="1" applyFill="1"/>
    <xf numFmtId="0" fontId="12" fillId="0" borderId="0" xfId="0" applyFont="1" applyAlignment="1">
      <alignment vertical="top" wrapText="1"/>
    </xf>
    <xf numFmtId="0" fontId="7" fillId="0" borderId="0" xfId="0" applyFont="1"/>
    <xf numFmtId="0" fontId="6" fillId="0" borderId="0" xfId="0" applyFont="1"/>
    <xf numFmtId="0" fontId="5" fillId="0" borderId="0" xfId="0" applyFont="1"/>
    <xf numFmtId="0" fontId="4" fillId="0" borderId="0" xfId="0" applyFont="1" applyAlignment="1">
      <alignment vertical="top" wrapText="1"/>
    </xf>
    <xf numFmtId="0" fontId="2" fillId="0" borderId="0" xfId="0" applyFont="1"/>
    <xf numFmtId="0" fontId="1" fillId="2" borderId="0" xfId="0" applyFont="1" applyFill="1" applyAlignment="1">
      <alignment vertical="center"/>
    </xf>
    <xf numFmtId="0" fontId="3" fillId="0" borderId="0" xfId="0" applyFont="1" applyAlignment="1">
      <alignment vertical="top" wrapText="1"/>
    </xf>
    <xf numFmtId="0" fontId="8" fillId="2" borderId="1" xfId="0" applyFont="1" applyFill="1" applyBorder="1" applyAlignment="1">
      <alignment horizontal="left" vertical="center" wrapText="1"/>
    </xf>
    <xf numFmtId="0" fontId="6" fillId="0" borderId="1" xfId="0" applyFont="1" applyBorder="1" applyAlignment="1">
      <alignment horizontal="left" vertical="top" wrapText="1"/>
    </xf>
    <xf numFmtId="0" fontId="4" fillId="0" borderId="1" xfId="0" applyFont="1" applyBorder="1" applyAlignment="1">
      <alignment horizontal="left" vertical="top" wrapText="1"/>
    </xf>
    <xf numFmtId="0" fontId="9" fillId="0" borderId="1" xfId="0" applyFont="1" applyBorder="1" applyAlignment="1">
      <alignment horizontal="center" vertical="top" wrapText="1"/>
    </xf>
    <xf numFmtId="0" fontId="6"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9" fillId="3" borderId="1" xfId="0" applyFont="1" applyFill="1" applyBorder="1" applyAlignment="1">
      <alignment horizontal="center" vertical="top" wrapText="1"/>
    </xf>
    <xf numFmtId="0" fontId="10" fillId="4" borderId="1" xfId="0" applyFont="1" applyFill="1" applyBorder="1" applyAlignment="1">
      <alignment horizontal="left" wrapText="1"/>
    </xf>
    <xf numFmtId="0" fontId="11" fillId="0" borderId="1" xfId="0" applyFont="1" applyBorder="1" applyAlignment="1">
      <alignment horizontal="center" vertical="top" wrapText="1"/>
    </xf>
    <xf numFmtId="0" fontId="13" fillId="0" borderId="1" xfId="0" applyFont="1" applyBorder="1" applyAlignment="1">
      <alignment horizontal="center" vertical="top" wrapText="1"/>
    </xf>
    <xf numFmtId="0" fontId="4" fillId="0" borderId="1" xfId="0" applyFont="1" applyBorder="1" applyAlignment="1">
      <alignment horizontal="right" vertical="top" wrapText="1"/>
    </xf>
    <xf numFmtId="0" fontId="4" fillId="0" borderId="1" xfId="0" applyFont="1" applyBorder="1" applyAlignment="1">
      <alignment horizontal="center" vertical="top" wrapText="1"/>
    </xf>
    <xf numFmtId="0" fontId="2" fillId="0" borderId="1" xfId="0" applyFont="1" applyBorder="1" applyAlignment="1">
      <alignment horizontal="center" vertical="top" wrapText="1"/>
    </xf>
    <xf numFmtId="0" fontId="13" fillId="3" borderId="1" xfId="0" applyFont="1" applyFill="1" applyBorder="1" applyAlignment="1">
      <alignment horizontal="center" vertical="top" wrapText="1"/>
    </xf>
    <xf numFmtId="0" fontId="4" fillId="3" borderId="1" xfId="0" applyFont="1" applyFill="1" applyBorder="1" applyAlignment="1">
      <alignment horizontal="right" vertical="top" wrapText="1"/>
    </xf>
    <xf numFmtId="0" fontId="4" fillId="3" borderId="1" xfId="0" applyFont="1" applyFill="1" applyBorder="1" applyAlignment="1">
      <alignment horizontal="center" vertical="top" wrapText="1"/>
    </xf>
    <xf numFmtId="0" fontId="6" fillId="3" borderId="1" xfId="0" applyFont="1" applyFill="1" applyBorder="1" applyAlignment="1">
      <alignment horizontal="center" vertical="top" wrapText="1"/>
    </xf>
    <xf numFmtId="0" fontId="6" fillId="0" borderId="1" xfId="0" applyFont="1" applyBorder="1" applyAlignment="1">
      <alignment horizontal="center" vertical="top" wrapText="1"/>
    </xf>
    <xf numFmtId="0" fontId="9" fillId="0" borderId="1" xfId="0" applyFont="1" applyBorder="1" applyAlignment="1">
      <alignment horizontal="left" vertical="top" wrapText="1"/>
    </xf>
    <xf numFmtId="0" fontId="14" fillId="0" borderId="1" xfId="0" applyFont="1" applyBorder="1" applyAlignment="1">
      <alignment horizontal="left" vertical="top" wrapText="1"/>
    </xf>
    <xf numFmtId="0" fontId="15" fillId="0" borderId="1" xfId="0" applyFont="1" applyBorder="1" applyAlignment="1">
      <alignment horizontal="right" vertical="top" wrapText="1"/>
    </xf>
    <xf numFmtId="0" fontId="14" fillId="0" borderId="1" xfId="0" applyFont="1" applyBorder="1" applyAlignment="1">
      <alignment horizontal="center" vertical="top" wrapText="1"/>
    </xf>
    <xf numFmtId="0" fontId="9" fillId="3" borderId="1" xfId="0" applyFont="1" applyFill="1" applyBorder="1" applyAlignment="1">
      <alignment horizontal="left" vertical="top" wrapText="1"/>
    </xf>
    <xf numFmtId="0" fontId="14" fillId="3" borderId="1" xfId="0" applyFont="1" applyFill="1" applyBorder="1" applyAlignment="1">
      <alignment horizontal="left" vertical="top" wrapText="1"/>
    </xf>
    <xf numFmtId="0" fontId="15" fillId="3" borderId="1" xfId="0" applyFont="1" applyFill="1" applyBorder="1" applyAlignment="1">
      <alignment horizontal="right" vertical="top" wrapText="1"/>
    </xf>
    <xf numFmtId="0" fontId="14" fillId="3" borderId="1" xfId="0" applyFont="1" applyFill="1" applyBorder="1" applyAlignment="1">
      <alignment horizontal="center" vertical="top" wrapText="1"/>
    </xf>
    <xf numFmtId="0" fontId="16" fillId="0" borderId="1" xfId="0" applyFont="1" applyBorder="1" applyAlignment="1">
      <alignment horizontal="left" vertical="top" wrapText="1"/>
    </xf>
    <xf numFmtId="0" fontId="0" fillId="0" borderId="1" xfId="0" applyBorder="1"/>
    <xf numFmtId="0" fontId="12" fillId="0" borderId="1" xfId="0" applyFont="1" applyBorder="1" applyAlignment="1">
      <alignment vertical="top" wrapText="1"/>
    </xf>
    <xf numFmtId="0" fontId="13" fillId="0" borderId="1" xfId="0" applyFont="1" applyBorder="1" applyAlignment="1">
      <alignment horizontal="left" vertical="top" wrapText="1"/>
    </xf>
    <xf numFmtId="0" fontId="13" fillId="3" borderId="1" xfId="0" applyFont="1" applyFill="1" applyBorder="1" applyAlignment="1">
      <alignment horizontal="left" vertical="top" wrapText="1"/>
    </xf>
    <xf numFmtId="0" fontId="2" fillId="0" borderId="0" xfId="0" applyFont="1" applyAlignment="1">
      <alignment vertical="top" wrapText="1"/>
    </xf>
    <xf numFmtId="0" fontId="18" fillId="2" borderId="0" xfId="0" applyFont="1" applyFill="1"/>
    <xf numFmtId="0" fontId="4" fillId="0" borderId="0" xfId="0" applyFont="1"/>
    <xf numFmtId="0" fontId="8" fillId="2" borderId="1" xfId="0" applyFont="1" applyFill="1" applyBorder="1" applyAlignment="1">
      <alignment horizontal="center"/>
    </xf>
    <xf numFmtId="3" fontId="10" fillId="4" borderId="1" xfId="0" applyNumberFormat="1" applyFont="1" applyFill="1" applyBorder="1" applyAlignment="1">
      <alignment horizontal="right"/>
    </xf>
    <xf numFmtId="164" fontId="10" fillId="4" borderId="1" xfId="0" applyNumberFormat="1" applyFont="1" applyFill="1" applyBorder="1" applyAlignment="1">
      <alignment horizontal="right"/>
    </xf>
    <xf numFmtId="165" fontId="10" fillId="4" borderId="1" xfId="0" applyNumberFormat="1" applyFont="1" applyFill="1" applyBorder="1" applyAlignment="1">
      <alignment horizontal="right"/>
    </xf>
    <xf numFmtId="0" fontId="6" fillId="6" borderId="1" xfId="0" applyFont="1" applyFill="1" applyBorder="1" applyAlignment="1">
      <alignment horizontal="left" vertical="top" wrapText="1"/>
    </xf>
    <xf numFmtId="166" fontId="6" fillId="6" borderId="1" xfId="0" applyNumberFormat="1" applyFont="1" applyFill="1" applyBorder="1" applyAlignment="1">
      <alignment horizontal="right"/>
    </xf>
    <xf numFmtId="0" fontId="12" fillId="6" borderId="1" xfId="0" applyFont="1" applyFill="1" applyBorder="1" applyAlignment="1">
      <alignment vertical="top" wrapText="1"/>
    </xf>
    <xf numFmtId="166" fontId="4" fillId="0" borderId="1" xfId="0" applyNumberFormat="1" applyFont="1" applyBorder="1" applyAlignment="1">
      <alignment horizontal="right"/>
    </xf>
    <xf numFmtId="0" fontId="8" fillId="5" borderId="1" xfId="0" applyFont="1" applyFill="1" applyBorder="1" applyAlignment="1">
      <alignment horizontal="left" vertical="top" wrapText="1"/>
    </xf>
    <xf numFmtId="166" fontId="8" fillId="5" borderId="1" xfId="0" applyNumberFormat="1" applyFont="1" applyFill="1" applyBorder="1" applyAlignment="1">
      <alignment horizontal="right"/>
    </xf>
    <xf numFmtId="0" fontId="8" fillId="5" borderId="1" xfId="0" applyFont="1" applyFill="1" applyBorder="1" applyAlignment="1">
      <alignment vertical="top" wrapText="1"/>
    </xf>
    <xf numFmtId="165" fontId="6" fillId="0" borderId="1" xfId="0" applyNumberFormat="1" applyFont="1" applyBorder="1" applyAlignment="1">
      <alignment horizontal="right"/>
    </xf>
    <xf numFmtId="3" fontId="4" fillId="0" borderId="1" xfId="0" applyNumberFormat="1" applyFont="1" applyBorder="1" applyAlignment="1">
      <alignment horizontal="righ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8D3C7"/>
      <rgbColor rgb="FF808080"/>
      <rgbColor rgb="FF9999FF"/>
      <rgbColor rgb="FF993366"/>
      <rgbColor rgb="FFFFF7CC"/>
      <rgbColor rgb="FFF7F5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BF8F0"/>
      <rgbColor rgb="FFCCFFCC"/>
      <rgbColor rgb="FFFFFF99"/>
      <rgbColor rgb="FF99CCFF"/>
      <rgbColor rgb="FFFF99CC"/>
      <rgbColor rgb="FFCC99FF"/>
      <rgbColor rgb="FFFFCC99"/>
      <rgbColor rgb="FF3366FF"/>
      <rgbColor rgb="FF33CCCC"/>
      <rgbColor rgb="FF99CC00"/>
      <rgbColor rgb="FFFFCC00"/>
      <rgbColor rgb="FFC8962E"/>
      <rgbColor rgb="FFFF6600"/>
      <rgbColor rgb="FF6B6B6B"/>
      <rgbColor rgb="FF969696"/>
      <rgbColor rgb="FF0D4F4F"/>
      <rgbColor rgb="FF339966"/>
      <rgbColor rgb="FF15181D"/>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master_list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_lists"/>
    </sheetNames>
    <sheetDataSet>
      <sheetData sheetId="0"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24"/>
  <sheetViews>
    <sheetView showGridLines="0" zoomScaleNormal="100" workbookViewId="0">
      <selection activeCell="C12" sqref="C12:F12"/>
    </sheetView>
  </sheetViews>
  <sheetFormatPr defaultColWidth="8.6328125" defaultRowHeight="14.5" x14ac:dyDescent="0.35"/>
  <cols>
    <col min="1" max="1" width="3" customWidth="1"/>
    <col min="2" max="3" width="26" customWidth="1"/>
    <col min="4" max="5" width="30" customWidth="1"/>
    <col min="6" max="6" width="26" customWidth="1"/>
  </cols>
  <sheetData>
    <row r="2" spans="2:6" ht="30" customHeight="1" x14ac:dyDescent="0.35">
      <c r="B2" s="11" t="s">
        <v>0</v>
      </c>
      <c r="C2" s="11"/>
      <c r="D2" s="11"/>
      <c r="E2" s="11"/>
      <c r="F2" s="11"/>
    </row>
    <row r="3" spans="2:6" x14ac:dyDescent="0.35">
      <c r="B3" s="10" t="s">
        <v>1</v>
      </c>
      <c r="C3" s="10"/>
      <c r="D3" s="10"/>
      <c r="E3" s="10"/>
      <c r="F3" s="10"/>
    </row>
    <row r="6" spans="2:6" ht="78" customHeight="1" x14ac:dyDescent="0.35">
      <c r="B6" s="12" t="s">
        <v>2</v>
      </c>
      <c r="C6" s="9" t="s">
        <v>3</v>
      </c>
      <c r="D6" s="9"/>
      <c r="E6" s="9"/>
      <c r="F6" s="9"/>
    </row>
    <row r="7" spans="2:6" ht="51.75" customHeight="1" x14ac:dyDescent="0.35">
      <c r="B7" s="12" t="s">
        <v>4</v>
      </c>
      <c r="C7" s="9" t="s">
        <v>5</v>
      </c>
      <c r="D7" s="9"/>
      <c r="E7" s="9"/>
      <c r="F7" s="9"/>
    </row>
    <row r="8" spans="2:6" ht="30" customHeight="1" x14ac:dyDescent="0.35">
      <c r="B8" s="12" t="s">
        <v>6</v>
      </c>
      <c r="C8" s="9"/>
      <c r="D8" s="9"/>
      <c r="E8" s="9"/>
      <c r="F8" s="9"/>
    </row>
    <row r="9" spans="2:6" ht="30" customHeight="1" x14ac:dyDescent="0.35">
      <c r="B9" s="12" t="s">
        <v>7</v>
      </c>
      <c r="C9" s="9" t="s">
        <v>8</v>
      </c>
      <c r="D9" s="9"/>
      <c r="E9" s="9"/>
      <c r="F9" s="9"/>
    </row>
    <row r="10" spans="2:6" ht="30" customHeight="1" x14ac:dyDescent="0.35">
      <c r="B10" s="12" t="s">
        <v>9</v>
      </c>
      <c r="C10" s="9" t="s">
        <v>10</v>
      </c>
      <c r="D10" s="9"/>
      <c r="E10" s="9"/>
      <c r="F10" s="9"/>
    </row>
    <row r="11" spans="2:6" ht="39" customHeight="1" x14ac:dyDescent="0.35">
      <c r="B11" s="12" t="s">
        <v>11</v>
      </c>
      <c r="C11" s="9" t="s">
        <v>12</v>
      </c>
      <c r="D11" s="9"/>
      <c r="E11" s="9"/>
      <c r="F11" s="9"/>
    </row>
    <row r="12" spans="2:6" ht="51.75" customHeight="1" x14ac:dyDescent="0.35">
      <c r="B12" s="12" t="s">
        <v>13</v>
      </c>
      <c r="C12" s="9" t="s">
        <v>14</v>
      </c>
      <c r="D12" s="9"/>
      <c r="E12" s="9"/>
      <c r="F12" s="9"/>
    </row>
    <row r="13" spans="2:6" ht="51.75" customHeight="1" x14ac:dyDescent="0.35">
      <c r="B13" s="12" t="s">
        <v>15</v>
      </c>
      <c r="C13" s="9" t="s">
        <v>16</v>
      </c>
      <c r="D13" s="9"/>
      <c r="E13" s="9"/>
      <c r="F13" s="9"/>
    </row>
    <row r="15" spans="2:6" x14ac:dyDescent="0.35">
      <c r="B15" s="8" t="s">
        <v>17</v>
      </c>
      <c r="C15" s="8"/>
      <c r="D15" s="8"/>
      <c r="E15" s="8"/>
      <c r="F15" s="8"/>
    </row>
    <row r="16" spans="2:6" x14ac:dyDescent="0.35">
      <c r="B16" s="7" t="s">
        <v>18</v>
      </c>
      <c r="C16" s="7"/>
      <c r="D16" s="6" t="s">
        <v>19</v>
      </c>
      <c r="E16" s="6"/>
      <c r="F16" s="6"/>
    </row>
    <row r="17" spans="2:6" x14ac:dyDescent="0.35">
      <c r="B17" s="7" t="s">
        <v>20</v>
      </c>
      <c r="C17" s="7"/>
      <c r="D17" s="6" t="s">
        <v>21</v>
      </c>
      <c r="E17" s="6"/>
      <c r="F17" s="6"/>
    </row>
    <row r="18" spans="2:6" x14ac:dyDescent="0.35">
      <c r="B18" s="7" t="s">
        <v>22</v>
      </c>
      <c r="C18" s="7"/>
      <c r="D18" s="6" t="s">
        <v>23</v>
      </c>
      <c r="E18" s="6"/>
      <c r="F18" s="6"/>
    </row>
    <row r="19" spans="2:6" x14ac:dyDescent="0.35">
      <c r="B19" s="7" t="s">
        <v>24</v>
      </c>
      <c r="C19" s="7"/>
      <c r="D19" s="6" t="s">
        <v>25</v>
      </c>
      <c r="E19" s="6"/>
      <c r="F19" s="6"/>
    </row>
    <row r="20" spans="2:6" x14ac:dyDescent="0.35">
      <c r="B20" s="7" t="s">
        <v>26</v>
      </c>
      <c r="C20" s="7"/>
      <c r="D20" s="6" t="s">
        <v>27</v>
      </c>
      <c r="E20" s="6"/>
      <c r="F20" s="6"/>
    </row>
    <row r="21" spans="2:6" x14ac:dyDescent="0.35">
      <c r="B21" s="7" t="s">
        <v>28</v>
      </c>
      <c r="C21" s="7"/>
      <c r="D21" s="6" t="s">
        <v>29</v>
      </c>
      <c r="E21" s="6"/>
      <c r="F21" s="6"/>
    </row>
    <row r="22" spans="2:6" x14ac:dyDescent="0.35">
      <c r="B22" s="7" t="s">
        <v>30</v>
      </c>
      <c r="C22" s="7"/>
      <c r="D22" s="6" t="s">
        <v>31</v>
      </c>
      <c r="E22" s="6"/>
      <c r="F22" s="6"/>
    </row>
    <row r="23" spans="2:6" x14ac:dyDescent="0.35">
      <c r="B23" s="7" t="s">
        <v>32</v>
      </c>
      <c r="C23" s="7"/>
      <c r="D23" s="6" t="s">
        <v>33</v>
      </c>
      <c r="E23" s="6"/>
      <c r="F23" s="6"/>
    </row>
    <row r="24" spans="2:6" x14ac:dyDescent="0.35">
      <c r="B24" s="7" t="s">
        <v>34</v>
      </c>
      <c r="C24" s="7"/>
      <c r="D24" s="6" t="s">
        <v>35</v>
      </c>
      <c r="E24" s="6"/>
      <c r="F24" s="6"/>
    </row>
  </sheetData>
  <mergeCells count="29">
    <mergeCell ref="B24:C24"/>
    <mergeCell ref="D24:F24"/>
    <mergeCell ref="B21:C21"/>
    <mergeCell ref="D21:F21"/>
    <mergeCell ref="B22:C22"/>
    <mergeCell ref="D22:F22"/>
    <mergeCell ref="B23:C23"/>
    <mergeCell ref="D23:F23"/>
    <mergeCell ref="B18:C18"/>
    <mergeCell ref="D18:F18"/>
    <mergeCell ref="B19:C19"/>
    <mergeCell ref="D19:F19"/>
    <mergeCell ref="B20:C20"/>
    <mergeCell ref="D20:F20"/>
    <mergeCell ref="B15:F15"/>
    <mergeCell ref="B16:C16"/>
    <mergeCell ref="D16:F16"/>
    <mergeCell ref="B17:C17"/>
    <mergeCell ref="D17:F17"/>
    <mergeCell ref="C9:F9"/>
    <mergeCell ref="C10:F10"/>
    <mergeCell ref="C11:F11"/>
    <mergeCell ref="C12:F12"/>
    <mergeCell ref="C13:F13"/>
    <mergeCell ref="B2:F2"/>
    <mergeCell ref="B3:F3"/>
    <mergeCell ref="C6:F6"/>
    <mergeCell ref="C7:F7"/>
    <mergeCell ref="C8:F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23"/>
  <sheetViews>
    <sheetView showGridLines="0" zoomScaleNormal="100" workbookViewId="0">
      <selection activeCell="C22" sqref="C22"/>
    </sheetView>
  </sheetViews>
  <sheetFormatPr defaultColWidth="8.6328125" defaultRowHeight="14.5" x14ac:dyDescent="0.35"/>
  <cols>
    <col min="1" max="1" width="3" customWidth="1"/>
    <col min="2" max="2" width="34" customWidth="1"/>
    <col min="3" max="3" width="52" customWidth="1"/>
    <col min="4" max="4" width="14" customWidth="1"/>
  </cols>
  <sheetData>
    <row r="2" spans="2:4" ht="27.75" customHeight="1" x14ac:dyDescent="0.35">
      <c r="B2" s="11" t="s">
        <v>36</v>
      </c>
      <c r="C2" s="11"/>
      <c r="D2" s="11"/>
    </row>
    <row r="4" spans="2:4" x14ac:dyDescent="0.35">
      <c r="B4" s="13" t="s">
        <v>37</v>
      </c>
      <c r="C4" s="13" t="s">
        <v>38</v>
      </c>
      <c r="D4" s="13" t="s">
        <v>39</v>
      </c>
    </row>
    <row r="5" spans="2:4" x14ac:dyDescent="0.35">
      <c r="B5" s="14" t="s">
        <v>40</v>
      </c>
      <c r="C5" s="15" t="s">
        <v>41</v>
      </c>
      <c r="D5" s="16" t="s">
        <v>42</v>
      </c>
    </row>
    <row r="6" spans="2:4" x14ac:dyDescent="0.35">
      <c r="B6" s="17" t="s">
        <v>43</v>
      </c>
      <c r="C6" s="18" t="s">
        <v>44</v>
      </c>
      <c r="D6" s="19" t="s">
        <v>42</v>
      </c>
    </row>
    <row r="7" spans="2:4" x14ac:dyDescent="0.35">
      <c r="B7" s="14" t="s">
        <v>45</v>
      </c>
      <c r="C7" s="15" t="s">
        <v>46</v>
      </c>
      <c r="D7" s="16" t="s">
        <v>42</v>
      </c>
    </row>
    <row r="8" spans="2:4" x14ac:dyDescent="0.35">
      <c r="B8" s="17" t="s">
        <v>47</v>
      </c>
      <c r="C8" s="18"/>
      <c r="D8" s="19" t="s">
        <v>42</v>
      </c>
    </row>
    <row r="9" spans="2:4" x14ac:dyDescent="0.35">
      <c r="B9" s="14" t="s">
        <v>48</v>
      </c>
      <c r="C9" s="15" t="s">
        <v>49</v>
      </c>
      <c r="D9" s="16" t="s">
        <v>42</v>
      </c>
    </row>
    <row r="10" spans="2:4" x14ac:dyDescent="0.35">
      <c r="B10" s="17" t="s">
        <v>50</v>
      </c>
      <c r="C10" s="18" t="s">
        <v>51</v>
      </c>
      <c r="D10" s="19" t="s">
        <v>42</v>
      </c>
    </row>
    <row r="11" spans="2:4" x14ac:dyDescent="0.35">
      <c r="B11" s="14" t="s">
        <v>52</v>
      </c>
      <c r="C11" s="15" t="s">
        <v>53</v>
      </c>
      <c r="D11" s="16" t="s">
        <v>42</v>
      </c>
    </row>
    <row r="12" spans="2:4" x14ac:dyDescent="0.35">
      <c r="B12" s="17" t="s">
        <v>54</v>
      </c>
      <c r="C12" s="18" t="s">
        <v>55</v>
      </c>
      <c r="D12" s="19" t="s">
        <v>42</v>
      </c>
    </row>
    <row r="13" spans="2:4" ht="23" x14ac:dyDescent="0.35">
      <c r="B13" s="14" t="s">
        <v>56</v>
      </c>
      <c r="C13" s="15" t="s">
        <v>57</v>
      </c>
      <c r="D13" s="16" t="s">
        <v>42</v>
      </c>
    </row>
    <row r="14" spans="2:4" x14ac:dyDescent="0.35">
      <c r="B14" s="17" t="s">
        <v>58</v>
      </c>
      <c r="C14" s="18" t="s">
        <v>59</v>
      </c>
      <c r="D14" s="19" t="s">
        <v>42</v>
      </c>
    </row>
    <row r="15" spans="2:4" x14ac:dyDescent="0.35">
      <c r="B15" s="14" t="s">
        <v>60</v>
      </c>
      <c r="C15" s="15" t="s">
        <v>61</v>
      </c>
      <c r="D15" s="16" t="s">
        <v>42</v>
      </c>
    </row>
    <row r="16" spans="2:4" x14ac:dyDescent="0.35">
      <c r="B16" s="17" t="s">
        <v>62</v>
      </c>
      <c r="C16" s="18" t="s">
        <v>63</v>
      </c>
      <c r="D16" s="19" t="s">
        <v>42</v>
      </c>
    </row>
    <row r="17" spans="2:4" x14ac:dyDescent="0.35">
      <c r="B17" s="14"/>
      <c r="C17" s="20"/>
      <c r="D17" s="21"/>
    </row>
    <row r="18" spans="2:4" x14ac:dyDescent="0.35">
      <c r="B18" s="17" t="s">
        <v>64</v>
      </c>
      <c r="C18" s="18"/>
      <c r="D18" s="19"/>
    </row>
    <row r="19" spans="2:4" ht="23" x14ac:dyDescent="0.35">
      <c r="B19" s="14" t="s">
        <v>65</v>
      </c>
      <c r="C19" s="15" t="s">
        <v>66</v>
      </c>
      <c r="D19" s="16" t="s">
        <v>42</v>
      </c>
    </row>
    <row r="20" spans="2:4" x14ac:dyDescent="0.35">
      <c r="B20" s="17" t="s">
        <v>67</v>
      </c>
      <c r="C20" s="18" t="s">
        <v>590</v>
      </c>
      <c r="D20" s="19" t="s">
        <v>42</v>
      </c>
    </row>
    <row r="21" spans="2:4" x14ac:dyDescent="0.35">
      <c r="B21" s="14" t="s">
        <v>68</v>
      </c>
      <c r="C21" s="15" t="s">
        <v>591</v>
      </c>
      <c r="D21" s="16" t="s">
        <v>42</v>
      </c>
    </row>
    <row r="23" spans="2:4" ht="15" customHeight="1" x14ac:dyDescent="0.35">
      <c r="B23" s="5" t="s">
        <v>69</v>
      </c>
      <c r="C23" s="5"/>
      <c r="D23" s="5"/>
    </row>
  </sheetData>
  <mergeCells count="2">
    <mergeCell ref="B2:D2"/>
    <mergeCell ref="B23:D2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16"/>
  <sheetViews>
    <sheetView showGridLines="0" zoomScaleNormal="100" workbookViewId="0">
      <pane xSplit="1" ySplit="4" topLeftCell="B5" activePane="bottomRight" state="frozen"/>
      <selection pane="topRight" activeCell="B1" sqref="B1"/>
      <selection pane="bottomLeft" activeCell="A5" sqref="A5"/>
      <selection pane="bottomRight" activeCell="H5" sqref="H5:H17"/>
    </sheetView>
  </sheetViews>
  <sheetFormatPr defaultColWidth="8.6328125" defaultRowHeight="14.5" x14ac:dyDescent="0.35"/>
  <cols>
    <col min="1" max="1" width="3" customWidth="1"/>
    <col min="2" max="2" width="10" customWidth="1"/>
    <col min="3" max="3" width="24" customWidth="1"/>
    <col min="4" max="4" width="20" customWidth="1"/>
    <col min="5" max="5" width="40" customWidth="1"/>
    <col min="6" max="6" width="34" customWidth="1"/>
    <col min="7" max="8" width="12" customWidth="1"/>
  </cols>
  <sheetData>
    <row r="2" spans="2:8" ht="25.5" customHeight="1" x14ac:dyDescent="0.35">
      <c r="B2" s="11" t="s">
        <v>70</v>
      </c>
      <c r="C2" s="11"/>
      <c r="D2" s="11"/>
      <c r="E2" s="11"/>
      <c r="F2" s="11"/>
      <c r="G2" s="11"/>
      <c r="H2" s="11"/>
    </row>
    <row r="4" spans="2:8" x14ac:dyDescent="0.35">
      <c r="B4" s="13" t="s">
        <v>71</v>
      </c>
      <c r="C4" s="13" t="s">
        <v>72</v>
      </c>
      <c r="D4" s="13" t="s">
        <v>73</v>
      </c>
      <c r="E4" s="13" t="s">
        <v>74</v>
      </c>
      <c r="F4" s="13" t="s">
        <v>75</v>
      </c>
      <c r="G4" s="13" t="s">
        <v>76</v>
      </c>
      <c r="H4" s="13" t="s">
        <v>77</v>
      </c>
    </row>
    <row r="5" spans="2:8" ht="30" customHeight="1" x14ac:dyDescent="0.35">
      <c r="B5" s="22" t="s">
        <v>78</v>
      </c>
      <c r="C5" s="15" t="s">
        <v>79</v>
      </c>
      <c r="D5" s="23" t="s">
        <v>80</v>
      </c>
      <c r="E5" s="15" t="s">
        <v>81</v>
      </c>
      <c r="F5" s="15" t="s">
        <v>82</v>
      </c>
      <c r="G5" s="24" t="s">
        <v>83</v>
      </c>
      <c r="H5" s="25"/>
    </row>
    <row r="6" spans="2:8" ht="30" customHeight="1" x14ac:dyDescent="0.35">
      <c r="B6" s="26" t="s">
        <v>85</v>
      </c>
      <c r="C6" s="18" t="s">
        <v>86</v>
      </c>
      <c r="D6" s="27" t="s">
        <v>87</v>
      </c>
      <c r="E6" s="18" t="s">
        <v>88</v>
      </c>
      <c r="F6" s="18" t="s">
        <v>89</v>
      </c>
      <c r="G6" s="28" t="s">
        <v>83</v>
      </c>
      <c r="H6" s="29"/>
    </row>
    <row r="7" spans="2:8" ht="30" customHeight="1" x14ac:dyDescent="0.35">
      <c r="B7" s="22" t="s">
        <v>91</v>
      </c>
      <c r="C7" s="15" t="s">
        <v>92</v>
      </c>
      <c r="D7" s="23" t="s">
        <v>93</v>
      </c>
      <c r="E7" s="15" t="s">
        <v>94</v>
      </c>
      <c r="F7" s="15" t="s">
        <v>95</v>
      </c>
      <c r="G7" s="24" t="s">
        <v>83</v>
      </c>
      <c r="H7" s="30"/>
    </row>
    <row r="8" spans="2:8" ht="30" customHeight="1" x14ac:dyDescent="0.35">
      <c r="B8" s="26" t="s">
        <v>96</v>
      </c>
      <c r="C8" s="18" t="s">
        <v>97</v>
      </c>
      <c r="D8" s="27" t="s">
        <v>98</v>
      </c>
      <c r="E8" s="18" t="s">
        <v>99</v>
      </c>
      <c r="F8" s="18" t="s">
        <v>100</v>
      </c>
      <c r="G8" s="28" t="s">
        <v>83</v>
      </c>
      <c r="H8" s="29"/>
    </row>
    <row r="9" spans="2:8" ht="30" customHeight="1" x14ac:dyDescent="0.35">
      <c r="B9" s="22" t="s">
        <v>101</v>
      </c>
      <c r="C9" s="15" t="s">
        <v>102</v>
      </c>
      <c r="D9" s="23" t="s">
        <v>103</v>
      </c>
      <c r="E9" s="15" t="s">
        <v>104</v>
      </c>
      <c r="F9" s="15" t="s">
        <v>105</v>
      </c>
      <c r="G9" s="24" t="s">
        <v>83</v>
      </c>
      <c r="H9" s="30"/>
    </row>
    <row r="10" spans="2:8" ht="30" customHeight="1" x14ac:dyDescent="0.35">
      <c r="B10" s="26" t="s">
        <v>106</v>
      </c>
      <c r="C10" s="18" t="s">
        <v>107</v>
      </c>
      <c r="D10" s="27" t="s">
        <v>108</v>
      </c>
      <c r="E10" s="18" t="s">
        <v>109</v>
      </c>
      <c r="F10" s="18" t="s">
        <v>110</v>
      </c>
      <c r="G10" s="28" t="s">
        <v>111</v>
      </c>
      <c r="H10" s="29"/>
    </row>
    <row r="11" spans="2:8" ht="30" customHeight="1" x14ac:dyDescent="0.35">
      <c r="B11" s="22" t="s">
        <v>112</v>
      </c>
      <c r="C11" s="15" t="s">
        <v>113</v>
      </c>
      <c r="D11" s="23" t="s">
        <v>114</v>
      </c>
      <c r="E11" s="15" t="s">
        <v>115</v>
      </c>
      <c r="F11" s="15" t="s">
        <v>116</v>
      </c>
      <c r="G11" s="24" t="s">
        <v>111</v>
      </c>
      <c r="H11" s="30"/>
    </row>
    <row r="12" spans="2:8" ht="30" customHeight="1" x14ac:dyDescent="0.35">
      <c r="B12" s="26" t="s">
        <v>117</v>
      </c>
      <c r="C12" s="18" t="s">
        <v>118</v>
      </c>
      <c r="D12" s="27" t="s">
        <v>119</v>
      </c>
      <c r="E12" s="18" t="s">
        <v>120</v>
      </c>
      <c r="F12" s="18" t="s">
        <v>121</v>
      </c>
      <c r="G12" s="28" t="s">
        <v>111</v>
      </c>
      <c r="H12" s="29"/>
    </row>
    <row r="13" spans="2:8" ht="30" customHeight="1" x14ac:dyDescent="0.35">
      <c r="B13" s="22" t="s">
        <v>122</v>
      </c>
      <c r="C13" s="15" t="s">
        <v>123</v>
      </c>
      <c r="D13" s="23" t="s">
        <v>124</v>
      </c>
      <c r="E13" s="15" t="s">
        <v>125</v>
      </c>
      <c r="F13" s="15" t="s">
        <v>126</v>
      </c>
      <c r="G13" s="24" t="s">
        <v>111</v>
      </c>
      <c r="H13" s="30"/>
    </row>
    <row r="14" spans="2:8" ht="30" customHeight="1" x14ac:dyDescent="0.35">
      <c r="B14" s="26" t="s">
        <v>127</v>
      </c>
      <c r="C14" s="18" t="s">
        <v>128</v>
      </c>
      <c r="D14" s="27" t="s">
        <v>129</v>
      </c>
      <c r="E14" s="18" t="s">
        <v>130</v>
      </c>
      <c r="F14" s="18" t="s">
        <v>131</v>
      </c>
      <c r="G14" s="28" t="s">
        <v>111</v>
      </c>
      <c r="H14" s="29"/>
    </row>
    <row r="15" spans="2:8" ht="30" customHeight="1" x14ac:dyDescent="0.35">
      <c r="B15" s="22" t="s">
        <v>132</v>
      </c>
      <c r="C15" s="15" t="s">
        <v>133</v>
      </c>
      <c r="D15" s="23" t="s">
        <v>134</v>
      </c>
      <c r="E15" s="15" t="s">
        <v>135</v>
      </c>
      <c r="F15" s="15" t="s">
        <v>136</v>
      </c>
      <c r="G15" s="24" t="s">
        <v>83</v>
      </c>
      <c r="H15" s="30"/>
    </row>
    <row r="16" spans="2:8" ht="30" customHeight="1" x14ac:dyDescent="0.35">
      <c r="B16" s="26" t="s">
        <v>137</v>
      </c>
      <c r="C16" s="18" t="s">
        <v>138</v>
      </c>
      <c r="D16" s="27" t="s">
        <v>139</v>
      </c>
      <c r="E16" s="18" t="s">
        <v>140</v>
      </c>
      <c r="F16" s="18" t="s">
        <v>141</v>
      </c>
      <c r="G16" s="28" t="s">
        <v>111</v>
      </c>
      <c r="H16" s="29"/>
    </row>
  </sheetData>
  <mergeCells count="1">
    <mergeCell ref="B2:H2"/>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200-000000000000}">
          <x14:formula1>
            <xm:f>master_lists!#REF!</xm:f>
          </x14:formula1>
          <x14:formula2>
            <xm:f>0</xm:f>
          </x14:formula2>
          <xm:sqref>G5:H16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O82"/>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6328125" defaultRowHeight="14.5" x14ac:dyDescent="0.35"/>
  <cols>
    <col min="1" max="1" width="3" customWidth="1"/>
    <col min="2" max="2" width="16" customWidth="1"/>
    <col min="3" max="3" width="8" customWidth="1"/>
    <col min="4" max="4" width="18" customWidth="1"/>
    <col min="5" max="5" width="16" customWidth="1"/>
    <col min="6" max="6" width="22" customWidth="1"/>
    <col min="7" max="7" width="20" customWidth="1"/>
    <col min="8" max="8" width="34" customWidth="1"/>
    <col min="9" max="9" width="30" customWidth="1"/>
    <col min="10" max="10" width="16" customWidth="1"/>
    <col min="11" max="11" width="9" customWidth="1"/>
    <col min="12" max="12" width="8" customWidth="1"/>
    <col min="13" max="13" width="26" customWidth="1"/>
    <col min="14" max="14" width="28" customWidth="1"/>
    <col min="15" max="15" width="16" customWidth="1"/>
  </cols>
  <sheetData>
    <row r="2" spans="2:15" ht="25.5" customHeight="1" x14ac:dyDescent="0.35">
      <c r="B2" s="11" t="s">
        <v>142</v>
      </c>
      <c r="C2" s="11"/>
      <c r="D2" s="11"/>
      <c r="E2" s="11"/>
      <c r="F2" s="11"/>
      <c r="G2" s="11"/>
      <c r="H2" s="11"/>
      <c r="I2" s="11"/>
      <c r="J2" s="11"/>
      <c r="K2" s="11"/>
      <c r="L2" s="11"/>
      <c r="M2" s="11"/>
      <c r="N2" s="11"/>
      <c r="O2" s="11"/>
    </row>
    <row r="4" spans="2:15" ht="23" x14ac:dyDescent="0.35">
      <c r="B4" s="13" t="s">
        <v>143</v>
      </c>
      <c r="C4" s="13" t="s">
        <v>144</v>
      </c>
      <c r="D4" s="13" t="s">
        <v>145</v>
      </c>
      <c r="E4" s="13" t="s">
        <v>146</v>
      </c>
      <c r="F4" s="13" t="s">
        <v>147</v>
      </c>
      <c r="G4" s="13" t="s">
        <v>148</v>
      </c>
      <c r="H4" s="13" t="s">
        <v>149</v>
      </c>
      <c r="I4" s="13" t="s">
        <v>150</v>
      </c>
      <c r="J4" s="13" t="s">
        <v>151</v>
      </c>
      <c r="K4" s="13" t="s">
        <v>152</v>
      </c>
      <c r="L4" s="13" t="s">
        <v>153</v>
      </c>
      <c r="M4" s="13" t="s">
        <v>154</v>
      </c>
      <c r="N4" s="13" t="s">
        <v>155</v>
      </c>
      <c r="O4" s="13" t="s">
        <v>156</v>
      </c>
    </row>
    <row r="5" spans="2:15" ht="33.75" customHeight="1" x14ac:dyDescent="0.35">
      <c r="B5" s="31" t="s">
        <v>157</v>
      </c>
      <c r="C5" s="32" t="s">
        <v>78</v>
      </c>
      <c r="D5" s="32" t="s">
        <v>158</v>
      </c>
      <c r="E5" s="32" t="s">
        <v>159</v>
      </c>
      <c r="F5" s="33" t="s">
        <v>160</v>
      </c>
      <c r="G5" s="32" t="s">
        <v>161</v>
      </c>
      <c r="H5" s="33" t="s">
        <v>162</v>
      </c>
      <c r="I5" s="32" t="s">
        <v>163</v>
      </c>
      <c r="J5" s="32" t="s">
        <v>164</v>
      </c>
      <c r="K5" s="34" t="s">
        <v>165</v>
      </c>
      <c r="L5" s="34" t="s">
        <v>166</v>
      </c>
      <c r="M5" s="32" t="s">
        <v>167</v>
      </c>
      <c r="N5" s="32" t="s">
        <v>168</v>
      </c>
      <c r="O5" s="32" t="s">
        <v>169</v>
      </c>
    </row>
    <row r="6" spans="2:15" ht="33.75" customHeight="1" x14ac:dyDescent="0.35">
      <c r="B6" s="35" t="s">
        <v>170</v>
      </c>
      <c r="C6" s="36" t="s">
        <v>78</v>
      </c>
      <c r="D6" s="36" t="s">
        <v>158</v>
      </c>
      <c r="E6" s="36" t="s">
        <v>159</v>
      </c>
      <c r="F6" s="37" t="s">
        <v>171</v>
      </c>
      <c r="G6" s="36" t="s">
        <v>172</v>
      </c>
      <c r="H6" s="37" t="s">
        <v>173</v>
      </c>
      <c r="I6" s="36" t="s">
        <v>174</v>
      </c>
      <c r="J6" s="36" t="s">
        <v>164</v>
      </c>
      <c r="K6" s="38" t="s">
        <v>175</v>
      </c>
      <c r="L6" s="38" t="s">
        <v>176</v>
      </c>
      <c r="M6" s="36" t="s">
        <v>177</v>
      </c>
      <c r="N6" s="36" t="s">
        <v>178</v>
      </c>
      <c r="O6" s="36" t="s">
        <v>169</v>
      </c>
    </row>
    <row r="7" spans="2:15" ht="33.75" customHeight="1" x14ac:dyDescent="0.35">
      <c r="B7" s="31" t="s">
        <v>179</v>
      </c>
      <c r="C7" s="32" t="s">
        <v>78</v>
      </c>
      <c r="D7" s="32" t="s">
        <v>158</v>
      </c>
      <c r="E7" s="32" t="s">
        <v>159</v>
      </c>
      <c r="F7" s="33" t="s">
        <v>180</v>
      </c>
      <c r="G7" s="32" t="s">
        <v>181</v>
      </c>
      <c r="H7" s="33" t="s">
        <v>182</v>
      </c>
      <c r="I7" s="32" t="s">
        <v>183</v>
      </c>
      <c r="J7" s="32" t="s">
        <v>164</v>
      </c>
      <c r="K7" s="34" t="s">
        <v>175</v>
      </c>
      <c r="L7" s="34" t="s">
        <v>176</v>
      </c>
      <c r="M7" s="32" t="s">
        <v>184</v>
      </c>
      <c r="N7" s="32" t="s">
        <v>185</v>
      </c>
      <c r="O7" s="32" t="s">
        <v>169</v>
      </c>
    </row>
    <row r="8" spans="2:15" ht="33.75" customHeight="1" x14ac:dyDescent="0.35">
      <c r="B8" s="35" t="s">
        <v>186</v>
      </c>
      <c r="C8" s="36" t="s">
        <v>78</v>
      </c>
      <c r="D8" s="36" t="s">
        <v>158</v>
      </c>
      <c r="E8" s="36" t="s">
        <v>159</v>
      </c>
      <c r="F8" s="37" t="s">
        <v>187</v>
      </c>
      <c r="G8" s="36" t="s">
        <v>188</v>
      </c>
      <c r="H8" s="37" t="s">
        <v>189</v>
      </c>
      <c r="I8" s="36" t="s">
        <v>190</v>
      </c>
      <c r="J8" s="36" t="s">
        <v>164</v>
      </c>
      <c r="K8" s="38" t="s">
        <v>175</v>
      </c>
      <c r="L8" s="38" t="s">
        <v>176</v>
      </c>
      <c r="M8" s="36" t="s">
        <v>191</v>
      </c>
      <c r="N8" s="36" t="s">
        <v>192</v>
      </c>
      <c r="O8" s="36" t="s">
        <v>169</v>
      </c>
    </row>
    <row r="9" spans="2:15" ht="33.75" customHeight="1" x14ac:dyDescent="0.35">
      <c r="B9" s="31" t="s">
        <v>193</v>
      </c>
      <c r="C9" s="32" t="s">
        <v>78</v>
      </c>
      <c r="D9" s="32" t="s">
        <v>158</v>
      </c>
      <c r="E9" s="32" t="s">
        <v>159</v>
      </c>
      <c r="F9" s="33" t="s">
        <v>194</v>
      </c>
      <c r="G9" s="32" t="s">
        <v>195</v>
      </c>
      <c r="H9" s="33" t="s">
        <v>196</v>
      </c>
      <c r="I9" s="32" t="s">
        <v>197</v>
      </c>
      <c r="J9" s="32" t="s">
        <v>198</v>
      </c>
      <c r="K9" s="34" t="s">
        <v>175</v>
      </c>
      <c r="L9" s="34" t="s">
        <v>176</v>
      </c>
      <c r="M9" s="32" t="s">
        <v>199</v>
      </c>
      <c r="N9" s="32" t="s">
        <v>200</v>
      </c>
      <c r="O9" s="32" t="s">
        <v>201</v>
      </c>
    </row>
    <row r="10" spans="2:15" ht="33.75" customHeight="1" x14ac:dyDescent="0.35">
      <c r="B10" s="35" t="s">
        <v>202</v>
      </c>
      <c r="C10" s="36" t="s">
        <v>78</v>
      </c>
      <c r="D10" s="36" t="s">
        <v>158</v>
      </c>
      <c r="E10" s="36" t="s">
        <v>159</v>
      </c>
      <c r="F10" s="37" t="s">
        <v>203</v>
      </c>
      <c r="G10" s="36" t="s">
        <v>204</v>
      </c>
      <c r="H10" s="37" t="s">
        <v>205</v>
      </c>
      <c r="I10" s="36" t="s">
        <v>206</v>
      </c>
      <c r="J10" s="36" t="s">
        <v>164</v>
      </c>
      <c r="K10" s="38" t="s">
        <v>175</v>
      </c>
      <c r="L10" s="38" t="s">
        <v>176</v>
      </c>
      <c r="M10" s="36" t="s">
        <v>207</v>
      </c>
      <c r="N10" s="36" t="s">
        <v>208</v>
      </c>
      <c r="O10" s="36" t="s">
        <v>169</v>
      </c>
    </row>
    <row r="11" spans="2:15" ht="33.75" customHeight="1" x14ac:dyDescent="0.35">
      <c r="B11" s="31" t="s">
        <v>209</v>
      </c>
      <c r="C11" s="32" t="s">
        <v>78</v>
      </c>
      <c r="D11" s="32" t="s">
        <v>210</v>
      </c>
      <c r="E11" s="32" t="s">
        <v>211</v>
      </c>
      <c r="F11" s="33" t="s">
        <v>212</v>
      </c>
      <c r="G11" s="32" t="s">
        <v>213</v>
      </c>
      <c r="H11" s="33" t="s">
        <v>214</v>
      </c>
      <c r="I11" s="32" t="s">
        <v>215</v>
      </c>
      <c r="J11" s="32" t="s">
        <v>198</v>
      </c>
      <c r="K11" s="34" t="s">
        <v>165</v>
      </c>
      <c r="L11" s="34" t="s">
        <v>166</v>
      </c>
      <c r="M11" s="32" t="s">
        <v>216</v>
      </c>
      <c r="N11" s="32" t="s">
        <v>217</v>
      </c>
      <c r="O11" s="32" t="s">
        <v>218</v>
      </c>
    </row>
    <row r="12" spans="2:15" ht="33.75" customHeight="1" x14ac:dyDescent="0.35">
      <c r="B12" s="35" t="s">
        <v>219</v>
      </c>
      <c r="C12" s="36" t="s">
        <v>78</v>
      </c>
      <c r="D12" s="36" t="s">
        <v>210</v>
      </c>
      <c r="E12" s="36" t="s">
        <v>211</v>
      </c>
      <c r="F12" s="37" t="s">
        <v>220</v>
      </c>
      <c r="G12" s="36" t="s">
        <v>221</v>
      </c>
      <c r="H12" s="37" t="s">
        <v>222</v>
      </c>
      <c r="I12" s="36" t="s">
        <v>215</v>
      </c>
      <c r="J12" s="36" t="s">
        <v>198</v>
      </c>
      <c r="K12" s="38" t="s">
        <v>165</v>
      </c>
      <c r="L12" s="38" t="s">
        <v>166</v>
      </c>
      <c r="M12" s="36" t="s">
        <v>216</v>
      </c>
      <c r="N12" s="36" t="s">
        <v>223</v>
      </c>
      <c r="O12" s="36" t="s">
        <v>218</v>
      </c>
    </row>
    <row r="13" spans="2:15" ht="33.75" customHeight="1" x14ac:dyDescent="0.35">
      <c r="B13" s="31" t="s">
        <v>224</v>
      </c>
      <c r="C13" s="32" t="s">
        <v>78</v>
      </c>
      <c r="D13" s="32" t="s">
        <v>210</v>
      </c>
      <c r="E13" s="32" t="s">
        <v>211</v>
      </c>
      <c r="F13" s="33" t="s">
        <v>225</v>
      </c>
      <c r="G13" s="32" t="s">
        <v>226</v>
      </c>
      <c r="H13" s="33" t="s">
        <v>227</v>
      </c>
      <c r="I13" s="32" t="s">
        <v>228</v>
      </c>
      <c r="J13" s="32" t="s">
        <v>229</v>
      </c>
      <c r="K13" s="34" t="s">
        <v>165</v>
      </c>
      <c r="L13" s="34" t="s">
        <v>166</v>
      </c>
      <c r="M13" s="32" t="s">
        <v>230</v>
      </c>
      <c r="N13" s="32" t="s">
        <v>231</v>
      </c>
      <c r="O13" s="32" t="s">
        <v>232</v>
      </c>
    </row>
    <row r="14" spans="2:15" ht="33.75" customHeight="1" x14ac:dyDescent="0.35">
      <c r="B14" s="35" t="s">
        <v>233</v>
      </c>
      <c r="C14" s="36" t="s">
        <v>78</v>
      </c>
      <c r="D14" s="36" t="s">
        <v>210</v>
      </c>
      <c r="E14" s="36" t="s">
        <v>211</v>
      </c>
      <c r="F14" s="37" t="s">
        <v>234</v>
      </c>
      <c r="G14" s="36" t="s">
        <v>235</v>
      </c>
      <c r="H14" s="37" t="s">
        <v>236</v>
      </c>
      <c r="I14" s="36" t="s">
        <v>237</v>
      </c>
      <c r="J14" s="36" t="s">
        <v>198</v>
      </c>
      <c r="K14" s="38" t="s">
        <v>175</v>
      </c>
      <c r="L14" s="38" t="s">
        <v>176</v>
      </c>
      <c r="M14" s="36" t="s">
        <v>238</v>
      </c>
      <c r="N14" s="36" t="s">
        <v>239</v>
      </c>
      <c r="O14" s="36" t="s">
        <v>240</v>
      </c>
    </row>
    <row r="15" spans="2:15" ht="33.75" customHeight="1" x14ac:dyDescent="0.35">
      <c r="B15" s="31" t="s">
        <v>241</v>
      </c>
      <c r="C15" s="32" t="s">
        <v>78</v>
      </c>
      <c r="D15" s="32" t="s">
        <v>210</v>
      </c>
      <c r="E15" s="32" t="s">
        <v>211</v>
      </c>
      <c r="F15" s="33" t="s">
        <v>242</v>
      </c>
      <c r="G15" s="32" t="s">
        <v>243</v>
      </c>
      <c r="H15" s="33" t="s">
        <v>244</v>
      </c>
      <c r="I15" s="32" t="s">
        <v>245</v>
      </c>
      <c r="J15" s="32" t="s">
        <v>198</v>
      </c>
      <c r="K15" s="34" t="s">
        <v>175</v>
      </c>
      <c r="L15" s="34" t="s">
        <v>176</v>
      </c>
      <c r="M15" s="32" t="s">
        <v>246</v>
      </c>
      <c r="N15" s="32" t="s">
        <v>247</v>
      </c>
      <c r="O15" s="32" t="s">
        <v>248</v>
      </c>
    </row>
    <row r="16" spans="2:15" ht="33.75" customHeight="1" x14ac:dyDescent="0.35">
      <c r="B16" s="35" t="s">
        <v>249</v>
      </c>
      <c r="C16" s="36" t="s">
        <v>78</v>
      </c>
      <c r="D16" s="36" t="s">
        <v>210</v>
      </c>
      <c r="E16" s="36" t="s">
        <v>211</v>
      </c>
      <c r="F16" s="37" t="s">
        <v>250</v>
      </c>
      <c r="G16" s="36" t="s">
        <v>251</v>
      </c>
      <c r="H16" s="37" t="s">
        <v>252</v>
      </c>
      <c r="I16" s="36" t="s">
        <v>253</v>
      </c>
      <c r="J16" s="36" t="s">
        <v>198</v>
      </c>
      <c r="K16" s="38" t="s">
        <v>254</v>
      </c>
      <c r="L16" s="38" t="s">
        <v>255</v>
      </c>
      <c r="M16" s="36" t="s">
        <v>256</v>
      </c>
      <c r="N16" s="36" t="s">
        <v>257</v>
      </c>
      <c r="O16" s="36" t="s">
        <v>258</v>
      </c>
    </row>
    <row r="17" spans="2:15" ht="33.75" customHeight="1" x14ac:dyDescent="0.35">
      <c r="B17" s="31" t="s">
        <v>259</v>
      </c>
      <c r="C17" s="32" t="s">
        <v>78</v>
      </c>
      <c r="D17" s="32" t="s">
        <v>260</v>
      </c>
      <c r="E17" s="32" t="s">
        <v>261</v>
      </c>
      <c r="F17" s="33" t="s">
        <v>262</v>
      </c>
      <c r="G17" s="32" t="s">
        <v>263</v>
      </c>
      <c r="H17" s="33" t="s">
        <v>264</v>
      </c>
      <c r="I17" s="32" t="s">
        <v>265</v>
      </c>
      <c r="J17" s="32" t="s">
        <v>229</v>
      </c>
      <c r="K17" s="34" t="s">
        <v>165</v>
      </c>
      <c r="L17" s="34" t="s">
        <v>166</v>
      </c>
      <c r="M17" s="32" t="s">
        <v>266</v>
      </c>
      <c r="N17" s="32" t="s">
        <v>267</v>
      </c>
      <c r="O17" s="32" t="s">
        <v>268</v>
      </c>
    </row>
    <row r="18" spans="2:15" ht="33.75" customHeight="1" x14ac:dyDescent="0.35">
      <c r="B18" s="35" t="s">
        <v>269</v>
      </c>
      <c r="C18" s="36" t="s">
        <v>78</v>
      </c>
      <c r="D18" s="36" t="s">
        <v>260</v>
      </c>
      <c r="E18" s="36" t="s">
        <v>261</v>
      </c>
      <c r="F18" s="37" t="s">
        <v>270</v>
      </c>
      <c r="G18" s="36" t="s">
        <v>271</v>
      </c>
      <c r="H18" s="37" t="s">
        <v>272</v>
      </c>
      <c r="I18" s="36" t="s">
        <v>265</v>
      </c>
      <c r="J18" s="36" t="s">
        <v>229</v>
      </c>
      <c r="K18" s="38" t="s">
        <v>165</v>
      </c>
      <c r="L18" s="38" t="s">
        <v>166</v>
      </c>
      <c r="M18" s="36" t="s">
        <v>266</v>
      </c>
      <c r="N18" s="36" t="s">
        <v>273</v>
      </c>
      <c r="O18" s="36" t="s">
        <v>268</v>
      </c>
    </row>
    <row r="19" spans="2:15" ht="33.75" customHeight="1" x14ac:dyDescent="0.35">
      <c r="B19" s="31" t="s">
        <v>274</v>
      </c>
      <c r="C19" s="32" t="s">
        <v>78</v>
      </c>
      <c r="D19" s="32" t="s">
        <v>260</v>
      </c>
      <c r="E19" s="32" t="s">
        <v>261</v>
      </c>
      <c r="F19" s="33" t="s">
        <v>275</v>
      </c>
      <c r="G19" s="32" t="s">
        <v>276</v>
      </c>
      <c r="H19" s="33" t="s">
        <v>277</v>
      </c>
      <c r="I19" s="32" t="s">
        <v>278</v>
      </c>
      <c r="J19" s="32" t="s">
        <v>229</v>
      </c>
      <c r="K19" s="34" t="s">
        <v>175</v>
      </c>
      <c r="L19" s="34" t="s">
        <v>176</v>
      </c>
      <c r="M19" s="32" t="s">
        <v>279</v>
      </c>
      <c r="N19" s="32" t="s">
        <v>280</v>
      </c>
      <c r="O19" s="32" t="s">
        <v>281</v>
      </c>
    </row>
    <row r="20" spans="2:15" ht="33.75" customHeight="1" x14ac:dyDescent="0.35">
      <c r="B20" s="35" t="s">
        <v>282</v>
      </c>
      <c r="C20" s="36" t="s">
        <v>78</v>
      </c>
      <c r="D20" s="36" t="s">
        <v>283</v>
      </c>
      <c r="E20" s="36" t="s">
        <v>284</v>
      </c>
      <c r="F20" s="37" t="s">
        <v>285</v>
      </c>
      <c r="G20" s="36" t="s">
        <v>286</v>
      </c>
      <c r="H20" s="37" t="s">
        <v>287</v>
      </c>
      <c r="I20" s="36" t="s">
        <v>288</v>
      </c>
      <c r="J20" s="36" t="s">
        <v>289</v>
      </c>
      <c r="K20" s="38" t="s">
        <v>254</v>
      </c>
      <c r="L20" s="38" t="s">
        <v>255</v>
      </c>
      <c r="M20" s="36" t="s">
        <v>290</v>
      </c>
      <c r="N20" s="36" t="s">
        <v>291</v>
      </c>
      <c r="O20" s="36" t="s">
        <v>292</v>
      </c>
    </row>
    <row r="21" spans="2:15" ht="33.75" customHeight="1" x14ac:dyDescent="0.35">
      <c r="B21" s="31" t="s">
        <v>293</v>
      </c>
      <c r="C21" s="32" t="s">
        <v>78</v>
      </c>
      <c r="D21" s="32" t="s">
        <v>283</v>
      </c>
      <c r="E21" s="32" t="s">
        <v>284</v>
      </c>
      <c r="F21" s="33" t="s">
        <v>294</v>
      </c>
      <c r="G21" s="32" t="s">
        <v>295</v>
      </c>
      <c r="H21" s="33" t="s">
        <v>296</v>
      </c>
      <c r="I21" s="32" t="s">
        <v>288</v>
      </c>
      <c r="J21" s="32" t="s">
        <v>289</v>
      </c>
      <c r="K21" s="34" t="s">
        <v>254</v>
      </c>
      <c r="L21" s="34" t="s">
        <v>255</v>
      </c>
      <c r="M21" s="32" t="s">
        <v>290</v>
      </c>
      <c r="N21" s="32" t="s">
        <v>297</v>
      </c>
      <c r="O21" s="32" t="s">
        <v>292</v>
      </c>
    </row>
    <row r="22" spans="2:15" ht="33.75" customHeight="1" x14ac:dyDescent="0.35">
      <c r="B22" s="35" t="s">
        <v>298</v>
      </c>
      <c r="C22" s="36" t="s">
        <v>78</v>
      </c>
      <c r="D22" s="36" t="s">
        <v>299</v>
      </c>
      <c r="E22" s="36" t="s">
        <v>300</v>
      </c>
      <c r="F22" s="37" t="s">
        <v>301</v>
      </c>
      <c r="G22" s="36" t="s">
        <v>302</v>
      </c>
      <c r="H22" s="37" t="s">
        <v>303</v>
      </c>
      <c r="I22" s="36" t="s">
        <v>304</v>
      </c>
      <c r="J22" s="36" t="s">
        <v>305</v>
      </c>
      <c r="K22" s="38" t="s">
        <v>165</v>
      </c>
      <c r="L22" s="38" t="s">
        <v>166</v>
      </c>
      <c r="M22" s="36" t="s">
        <v>306</v>
      </c>
      <c r="N22" s="36" t="s">
        <v>307</v>
      </c>
      <c r="O22" s="36" t="s">
        <v>308</v>
      </c>
    </row>
    <row r="23" spans="2:15" ht="33.75" customHeight="1" x14ac:dyDescent="0.35">
      <c r="B23" s="31" t="s">
        <v>309</v>
      </c>
      <c r="C23" s="32" t="s">
        <v>78</v>
      </c>
      <c r="D23" s="32" t="s">
        <v>310</v>
      </c>
      <c r="E23" s="32" t="s">
        <v>311</v>
      </c>
      <c r="F23" s="33" t="s">
        <v>312</v>
      </c>
      <c r="G23" s="32" t="s">
        <v>313</v>
      </c>
      <c r="H23" s="33" t="s">
        <v>314</v>
      </c>
      <c r="I23" s="32" t="s">
        <v>315</v>
      </c>
      <c r="J23" s="32" t="s">
        <v>198</v>
      </c>
      <c r="K23" s="34" t="s">
        <v>175</v>
      </c>
      <c r="L23" s="34" t="s">
        <v>176</v>
      </c>
      <c r="M23" s="32" t="s">
        <v>316</v>
      </c>
      <c r="N23" s="32" t="s">
        <v>317</v>
      </c>
      <c r="O23" s="32" t="s">
        <v>318</v>
      </c>
    </row>
    <row r="25" spans="2:15" ht="19.5" customHeight="1" x14ac:dyDescent="0.35">
      <c r="B25" s="4" t="s">
        <v>319</v>
      </c>
      <c r="C25" s="4"/>
      <c r="D25" s="4"/>
      <c r="E25" s="4"/>
      <c r="F25" s="4"/>
      <c r="G25" s="4"/>
      <c r="H25" s="4"/>
      <c r="I25" s="4"/>
      <c r="J25" s="4"/>
      <c r="K25" s="4"/>
      <c r="L25" s="4"/>
      <c r="M25" s="4"/>
      <c r="N25" s="4"/>
      <c r="O25" s="4"/>
    </row>
    <row r="26" spans="2:15" x14ac:dyDescent="0.35">
      <c r="B26" s="39" t="s">
        <v>320</v>
      </c>
      <c r="C26" s="34" t="s">
        <v>85</v>
      </c>
      <c r="D26" s="32" t="s">
        <v>321</v>
      </c>
      <c r="E26" s="40"/>
      <c r="F26" s="40"/>
      <c r="G26" s="40"/>
      <c r="H26" s="41" t="s">
        <v>322</v>
      </c>
      <c r="I26" s="40"/>
      <c r="J26" s="40"/>
      <c r="K26" s="40"/>
      <c r="L26" s="40"/>
      <c r="M26" s="40"/>
      <c r="N26" s="40"/>
      <c r="O26" s="40"/>
    </row>
    <row r="27" spans="2:15" x14ac:dyDescent="0.35">
      <c r="B27" s="39" t="s">
        <v>320</v>
      </c>
      <c r="C27" s="34" t="s">
        <v>85</v>
      </c>
      <c r="D27" s="32" t="s">
        <v>323</v>
      </c>
      <c r="E27" s="40"/>
      <c r="F27" s="40"/>
      <c r="G27" s="40"/>
      <c r="H27" s="41" t="s">
        <v>322</v>
      </c>
      <c r="I27" s="40"/>
      <c r="J27" s="40"/>
      <c r="K27" s="40"/>
      <c r="L27" s="40"/>
      <c r="M27" s="40"/>
      <c r="N27" s="40"/>
      <c r="O27" s="40"/>
    </row>
    <row r="28" spans="2:15" x14ac:dyDescent="0.35">
      <c r="B28" s="39" t="s">
        <v>320</v>
      </c>
      <c r="C28" s="34" t="s">
        <v>85</v>
      </c>
      <c r="D28" s="32" t="s">
        <v>324</v>
      </c>
      <c r="E28" s="40"/>
      <c r="F28" s="40"/>
      <c r="G28" s="40"/>
      <c r="H28" s="41" t="s">
        <v>322</v>
      </c>
      <c r="I28" s="40"/>
      <c r="J28" s="40"/>
      <c r="K28" s="40"/>
      <c r="L28" s="40"/>
      <c r="M28" s="40"/>
      <c r="N28" s="40"/>
      <c r="O28" s="40"/>
    </row>
    <row r="29" spans="2:15" x14ac:dyDescent="0.35">
      <c r="B29" s="39" t="s">
        <v>320</v>
      </c>
      <c r="C29" s="34" t="s">
        <v>85</v>
      </c>
      <c r="D29" s="32" t="s">
        <v>325</v>
      </c>
      <c r="E29" s="40"/>
      <c r="F29" s="40"/>
      <c r="G29" s="40"/>
      <c r="H29" s="41" t="s">
        <v>322</v>
      </c>
      <c r="I29" s="40"/>
      <c r="J29" s="40"/>
      <c r="K29" s="40"/>
      <c r="L29" s="40"/>
      <c r="M29" s="40"/>
      <c r="N29" s="40"/>
      <c r="O29" s="40"/>
    </row>
    <row r="30" spans="2:15" x14ac:dyDescent="0.35">
      <c r="B30" s="39" t="s">
        <v>320</v>
      </c>
      <c r="C30" s="34" t="s">
        <v>85</v>
      </c>
      <c r="D30" s="32" t="s">
        <v>326</v>
      </c>
      <c r="E30" s="40"/>
      <c r="F30" s="40"/>
      <c r="G30" s="40"/>
      <c r="H30" s="41" t="s">
        <v>322</v>
      </c>
      <c r="I30" s="40"/>
      <c r="J30" s="40"/>
      <c r="K30" s="40"/>
      <c r="L30" s="40"/>
      <c r="M30" s="40"/>
      <c r="N30" s="40"/>
      <c r="O30" s="40"/>
    </row>
    <row r="31" spans="2:15" x14ac:dyDescent="0.35">
      <c r="B31" s="39" t="s">
        <v>320</v>
      </c>
      <c r="C31" s="34" t="s">
        <v>85</v>
      </c>
      <c r="D31" s="32" t="s">
        <v>327</v>
      </c>
      <c r="E31" s="40"/>
      <c r="F31" s="40"/>
      <c r="G31" s="40"/>
      <c r="H31" s="41" t="s">
        <v>322</v>
      </c>
      <c r="I31" s="40"/>
      <c r="J31" s="40"/>
      <c r="K31" s="40"/>
      <c r="L31" s="40"/>
      <c r="M31" s="40"/>
      <c r="N31" s="40"/>
      <c r="O31" s="40"/>
    </row>
    <row r="32" spans="2:15" x14ac:dyDescent="0.35">
      <c r="B32" s="39" t="s">
        <v>328</v>
      </c>
      <c r="C32" s="34" t="s">
        <v>91</v>
      </c>
      <c r="D32" s="32" t="s">
        <v>329</v>
      </c>
      <c r="E32" s="40"/>
      <c r="F32" s="40"/>
      <c r="G32" s="40"/>
      <c r="H32" s="41" t="s">
        <v>322</v>
      </c>
      <c r="I32" s="40"/>
      <c r="J32" s="40"/>
      <c r="K32" s="40"/>
      <c r="L32" s="40"/>
      <c r="M32" s="40"/>
      <c r="N32" s="40"/>
      <c r="O32" s="40"/>
    </row>
    <row r="33" spans="2:15" x14ac:dyDescent="0.35">
      <c r="B33" s="39" t="s">
        <v>328</v>
      </c>
      <c r="C33" s="34" t="s">
        <v>91</v>
      </c>
      <c r="D33" s="32" t="s">
        <v>330</v>
      </c>
      <c r="E33" s="40"/>
      <c r="F33" s="40"/>
      <c r="G33" s="40"/>
      <c r="H33" s="41" t="s">
        <v>322</v>
      </c>
      <c r="I33" s="40"/>
      <c r="J33" s="40"/>
      <c r="K33" s="40"/>
      <c r="L33" s="40"/>
      <c r="M33" s="40"/>
      <c r="N33" s="40"/>
      <c r="O33" s="40"/>
    </row>
    <row r="34" spans="2:15" x14ac:dyDescent="0.35">
      <c r="B34" s="39" t="s">
        <v>328</v>
      </c>
      <c r="C34" s="34" t="s">
        <v>91</v>
      </c>
      <c r="D34" s="32" t="s">
        <v>331</v>
      </c>
      <c r="E34" s="40"/>
      <c r="F34" s="40"/>
      <c r="G34" s="40"/>
      <c r="H34" s="41" t="s">
        <v>322</v>
      </c>
      <c r="I34" s="40"/>
      <c r="J34" s="40"/>
      <c r="K34" s="40"/>
      <c r="L34" s="40"/>
      <c r="M34" s="40"/>
      <c r="N34" s="40"/>
      <c r="O34" s="40"/>
    </row>
    <row r="35" spans="2:15" x14ac:dyDescent="0.35">
      <c r="B35" s="39" t="s">
        <v>328</v>
      </c>
      <c r="C35" s="34" t="s">
        <v>91</v>
      </c>
      <c r="D35" s="32" t="s">
        <v>332</v>
      </c>
      <c r="E35" s="40"/>
      <c r="F35" s="40"/>
      <c r="G35" s="40"/>
      <c r="H35" s="41" t="s">
        <v>322</v>
      </c>
      <c r="I35" s="40"/>
      <c r="J35" s="40"/>
      <c r="K35" s="40"/>
      <c r="L35" s="40"/>
      <c r="M35" s="40"/>
      <c r="N35" s="40"/>
      <c r="O35" s="40"/>
    </row>
    <row r="36" spans="2:15" x14ac:dyDescent="0.35">
      <c r="B36" s="39" t="s">
        <v>328</v>
      </c>
      <c r="C36" s="34" t="s">
        <v>91</v>
      </c>
      <c r="D36" s="32" t="s">
        <v>333</v>
      </c>
      <c r="E36" s="40"/>
      <c r="F36" s="40"/>
      <c r="G36" s="40"/>
      <c r="H36" s="41" t="s">
        <v>322</v>
      </c>
      <c r="I36" s="40"/>
      <c r="J36" s="40"/>
      <c r="K36" s="40"/>
      <c r="L36" s="40"/>
      <c r="M36" s="40"/>
      <c r="N36" s="40"/>
      <c r="O36" s="40"/>
    </row>
    <row r="37" spans="2:15" x14ac:dyDescent="0.35">
      <c r="B37" s="39" t="s">
        <v>328</v>
      </c>
      <c r="C37" s="34" t="s">
        <v>91</v>
      </c>
      <c r="D37" s="32" t="s">
        <v>334</v>
      </c>
      <c r="E37" s="40"/>
      <c r="F37" s="40"/>
      <c r="G37" s="40"/>
      <c r="H37" s="41" t="s">
        <v>322</v>
      </c>
      <c r="I37" s="40"/>
      <c r="J37" s="40"/>
      <c r="K37" s="40"/>
      <c r="L37" s="40"/>
      <c r="M37" s="40"/>
      <c r="N37" s="40"/>
      <c r="O37" s="40"/>
    </row>
    <row r="38" spans="2:15" x14ac:dyDescent="0.35">
      <c r="B38" s="39" t="s">
        <v>335</v>
      </c>
      <c r="C38" s="34" t="s">
        <v>96</v>
      </c>
      <c r="D38" s="32" t="s">
        <v>336</v>
      </c>
      <c r="E38" s="40"/>
      <c r="F38" s="40"/>
      <c r="G38" s="40"/>
      <c r="H38" s="41" t="s">
        <v>322</v>
      </c>
      <c r="I38" s="40"/>
      <c r="J38" s="40"/>
      <c r="K38" s="40"/>
      <c r="L38" s="40"/>
      <c r="M38" s="40"/>
      <c r="N38" s="40"/>
      <c r="O38" s="40"/>
    </row>
    <row r="39" spans="2:15" x14ac:dyDescent="0.35">
      <c r="B39" s="39" t="s">
        <v>335</v>
      </c>
      <c r="C39" s="34" t="s">
        <v>96</v>
      </c>
      <c r="D39" s="32" t="s">
        <v>337</v>
      </c>
      <c r="E39" s="40"/>
      <c r="F39" s="40"/>
      <c r="G39" s="40"/>
      <c r="H39" s="41" t="s">
        <v>322</v>
      </c>
      <c r="I39" s="40"/>
      <c r="J39" s="40"/>
      <c r="K39" s="40"/>
      <c r="L39" s="40"/>
      <c r="M39" s="40"/>
      <c r="N39" s="40"/>
      <c r="O39" s="40"/>
    </row>
    <row r="40" spans="2:15" x14ac:dyDescent="0.35">
      <c r="B40" s="39" t="s">
        <v>335</v>
      </c>
      <c r="C40" s="34" t="s">
        <v>96</v>
      </c>
      <c r="D40" s="32" t="s">
        <v>338</v>
      </c>
      <c r="E40" s="40"/>
      <c r="F40" s="40"/>
      <c r="G40" s="40"/>
      <c r="H40" s="41" t="s">
        <v>322</v>
      </c>
      <c r="I40" s="40"/>
      <c r="J40" s="40"/>
      <c r="K40" s="40"/>
      <c r="L40" s="40"/>
      <c r="M40" s="40"/>
      <c r="N40" s="40"/>
      <c r="O40" s="40"/>
    </row>
    <row r="41" spans="2:15" x14ac:dyDescent="0.35">
      <c r="B41" s="39" t="s">
        <v>335</v>
      </c>
      <c r="C41" s="34" t="s">
        <v>96</v>
      </c>
      <c r="D41" s="32" t="s">
        <v>339</v>
      </c>
      <c r="E41" s="40"/>
      <c r="F41" s="40"/>
      <c r="G41" s="40"/>
      <c r="H41" s="41" t="s">
        <v>322</v>
      </c>
      <c r="I41" s="40"/>
      <c r="J41" s="40"/>
      <c r="K41" s="40"/>
      <c r="L41" s="40"/>
      <c r="M41" s="40"/>
      <c r="N41" s="40"/>
      <c r="O41" s="40"/>
    </row>
    <row r="42" spans="2:15" x14ac:dyDescent="0.35">
      <c r="B42" s="39" t="s">
        <v>335</v>
      </c>
      <c r="C42" s="34" t="s">
        <v>96</v>
      </c>
      <c r="D42" s="32" t="s">
        <v>340</v>
      </c>
      <c r="E42" s="40"/>
      <c r="F42" s="40"/>
      <c r="G42" s="40"/>
      <c r="H42" s="41" t="s">
        <v>322</v>
      </c>
      <c r="I42" s="40"/>
      <c r="J42" s="40"/>
      <c r="K42" s="40"/>
      <c r="L42" s="40"/>
      <c r="M42" s="40"/>
      <c r="N42" s="40"/>
      <c r="O42" s="40"/>
    </row>
    <row r="43" spans="2:15" x14ac:dyDescent="0.35">
      <c r="B43" s="39" t="s">
        <v>335</v>
      </c>
      <c r="C43" s="34" t="s">
        <v>96</v>
      </c>
      <c r="D43" s="32" t="s">
        <v>341</v>
      </c>
      <c r="E43" s="40"/>
      <c r="F43" s="40"/>
      <c r="G43" s="40"/>
      <c r="H43" s="41" t="s">
        <v>322</v>
      </c>
      <c r="I43" s="40"/>
      <c r="J43" s="40"/>
      <c r="K43" s="40"/>
      <c r="L43" s="40"/>
      <c r="M43" s="40"/>
      <c r="N43" s="40"/>
      <c r="O43" s="40"/>
    </row>
    <row r="44" spans="2:15" ht="20" x14ac:dyDescent="0.35">
      <c r="B44" s="39" t="s">
        <v>342</v>
      </c>
      <c r="C44" s="34" t="s">
        <v>101</v>
      </c>
      <c r="D44" s="32" t="s">
        <v>343</v>
      </c>
      <c r="E44" s="40"/>
      <c r="F44" s="40"/>
      <c r="G44" s="40"/>
      <c r="H44" s="41" t="s">
        <v>322</v>
      </c>
      <c r="I44" s="40"/>
      <c r="J44" s="40"/>
      <c r="K44" s="40"/>
      <c r="L44" s="40"/>
      <c r="M44" s="40"/>
      <c r="N44" s="40"/>
      <c r="O44" s="40"/>
    </row>
    <row r="45" spans="2:15" x14ac:dyDescent="0.35">
      <c r="B45" s="39" t="s">
        <v>342</v>
      </c>
      <c r="C45" s="34" t="s">
        <v>101</v>
      </c>
      <c r="D45" s="32" t="s">
        <v>344</v>
      </c>
      <c r="E45" s="40"/>
      <c r="F45" s="40"/>
      <c r="G45" s="40"/>
      <c r="H45" s="41" t="s">
        <v>322</v>
      </c>
      <c r="I45" s="40"/>
      <c r="J45" s="40"/>
      <c r="K45" s="40"/>
      <c r="L45" s="40"/>
      <c r="M45" s="40"/>
      <c r="N45" s="40"/>
      <c r="O45" s="40"/>
    </row>
    <row r="46" spans="2:15" x14ac:dyDescent="0.35">
      <c r="B46" s="39" t="s">
        <v>342</v>
      </c>
      <c r="C46" s="34" t="s">
        <v>101</v>
      </c>
      <c r="D46" s="32" t="s">
        <v>345</v>
      </c>
      <c r="E46" s="40"/>
      <c r="F46" s="40"/>
      <c r="G46" s="40"/>
      <c r="H46" s="41" t="s">
        <v>322</v>
      </c>
      <c r="I46" s="40"/>
      <c r="J46" s="40"/>
      <c r="K46" s="40"/>
      <c r="L46" s="40"/>
      <c r="M46" s="40"/>
      <c r="N46" s="40"/>
      <c r="O46" s="40"/>
    </row>
    <row r="47" spans="2:15" x14ac:dyDescent="0.35">
      <c r="B47" s="39" t="s">
        <v>342</v>
      </c>
      <c r="C47" s="34" t="s">
        <v>101</v>
      </c>
      <c r="D47" s="32" t="s">
        <v>346</v>
      </c>
      <c r="E47" s="40"/>
      <c r="F47" s="40"/>
      <c r="G47" s="40"/>
      <c r="H47" s="41" t="s">
        <v>322</v>
      </c>
      <c r="I47" s="40"/>
      <c r="J47" s="40"/>
      <c r="K47" s="40"/>
      <c r="L47" s="40"/>
      <c r="M47" s="40"/>
      <c r="N47" s="40"/>
      <c r="O47" s="40"/>
    </row>
    <row r="48" spans="2:15" x14ac:dyDescent="0.35">
      <c r="B48" s="39" t="s">
        <v>342</v>
      </c>
      <c r="C48" s="34" t="s">
        <v>101</v>
      </c>
      <c r="D48" s="32" t="s">
        <v>347</v>
      </c>
      <c r="E48" s="40"/>
      <c r="F48" s="40"/>
      <c r="G48" s="40"/>
      <c r="H48" s="41" t="s">
        <v>322</v>
      </c>
      <c r="I48" s="40"/>
      <c r="J48" s="40"/>
      <c r="K48" s="40"/>
      <c r="L48" s="40"/>
      <c r="M48" s="40"/>
      <c r="N48" s="40"/>
      <c r="O48" s="40"/>
    </row>
    <row r="49" spans="2:15" x14ac:dyDescent="0.35">
      <c r="B49" s="39" t="s">
        <v>342</v>
      </c>
      <c r="C49" s="34" t="s">
        <v>101</v>
      </c>
      <c r="D49" s="32" t="s">
        <v>348</v>
      </c>
      <c r="E49" s="40"/>
      <c r="F49" s="40"/>
      <c r="G49" s="40"/>
      <c r="H49" s="41" t="s">
        <v>322</v>
      </c>
      <c r="I49" s="40"/>
      <c r="J49" s="40"/>
      <c r="K49" s="40"/>
      <c r="L49" s="40"/>
      <c r="M49" s="40"/>
      <c r="N49" s="40"/>
      <c r="O49" s="40"/>
    </row>
    <row r="50" spans="2:15" x14ac:dyDescent="0.35">
      <c r="B50" s="39" t="s">
        <v>349</v>
      </c>
      <c r="C50" s="34" t="s">
        <v>106</v>
      </c>
      <c r="D50" s="32" t="s">
        <v>350</v>
      </c>
      <c r="E50" s="40"/>
      <c r="F50" s="40"/>
      <c r="G50" s="40"/>
      <c r="H50" s="41" t="s">
        <v>322</v>
      </c>
      <c r="I50" s="40"/>
      <c r="J50" s="40"/>
      <c r="K50" s="40"/>
      <c r="L50" s="40"/>
      <c r="M50" s="40"/>
      <c r="N50" s="40"/>
      <c r="O50" s="40"/>
    </row>
    <row r="51" spans="2:15" x14ac:dyDescent="0.35">
      <c r="B51" s="39" t="s">
        <v>349</v>
      </c>
      <c r="C51" s="34" t="s">
        <v>106</v>
      </c>
      <c r="D51" s="32" t="s">
        <v>351</v>
      </c>
      <c r="E51" s="40"/>
      <c r="F51" s="40"/>
      <c r="G51" s="40"/>
      <c r="H51" s="41" t="s">
        <v>322</v>
      </c>
      <c r="I51" s="40"/>
      <c r="J51" s="40"/>
      <c r="K51" s="40"/>
      <c r="L51" s="40"/>
      <c r="M51" s="40"/>
      <c r="N51" s="40"/>
      <c r="O51" s="40"/>
    </row>
    <row r="52" spans="2:15" x14ac:dyDescent="0.35">
      <c r="B52" s="39" t="s">
        <v>349</v>
      </c>
      <c r="C52" s="34" t="s">
        <v>106</v>
      </c>
      <c r="D52" s="32" t="s">
        <v>352</v>
      </c>
      <c r="E52" s="40"/>
      <c r="F52" s="40"/>
      <c r="G52" s="40"/>
      <c r="H52" s="41" t="s">
        <v>322</v>
      </c>
      <c r="I52" s="40"/>
      <c r="J52" s="40"/>
      <c r="K52" s="40"/>
      <c r="L52" s="40"/>
      <c r="M52" s="40"/>
      <c r="N52" s="40"/>
      <c r="O52" s="40"/>
    </row>
    <row r="53" spans="2:15" x14ac:dyDescent="0.35">
      <c r="B53" s="39" t="s">
        <v>349</v>
      </c>
      <c r="C53" s="34" t="s">
        <v>106</v>
      </c>
      <c r="D53" s="32" t="s">
        <v>353</v>
      </c>
      <c r="E53" s="40"/>
      <c r="F53" s="40"/>
      <c r="G53" s="40"/>
      <c r="H53" s="41" t="s">
        <v>322</v>
      </c>
      <c r="I53" s="40"/>
      <c r="J53" s="40"/>
      <c r="K53" s="40"/>
      <c r="L53" s="40"/>
      <c r="M53" s="40"/>
      <c r="N53" s="40"/>
      <c r="O53" s="40"/>
    </row>
    <row r="54" spans="2:15" x14ac:dyDescent="0.35">
      <c r="B54" s="39" t="s">
        <v>349</v>
      </c>
      <c r="C54" s="34" t="s">
        <v>106</v>
      </c>
      <c r="D54" s="32" t="s">
        <v>354</v>
      </c>
      <c r="E54" s="40"/>
      <c r="F54" s="40"/>
      <c r="G54" s="40"/>
      <c r="H54" s="41" t="s">
        <v>322</v>
      </c>
      <c r="I54" s="40"/>
      <c r="J54" s="40"/>
      <c r="K54" s="40"/>
      <c r="L54" s="40"/>
      <c r="M54" s="40"/>
      <c r="N54" s="40"/>
      <c r="O54" s="40"/>
    </row>
    <row r="55" spans="2:15" x14ac:dyDescent="0.35">
      <c r="B55" s="39" t="s">
        <v>355</v>
      </c>
      <c r="C55" s="34" t="s">
        <v>112</v>
      </c>
      <c r="D55" s="32" t="s">
        <v>356</v>
      </c>
      <c r="E55" s="40"/>
      <c r="F55" s="40"/>
      <c r="G55" s="40"/>
      <c r="H55" s="41" t="s">
        <v>322</v>
      </c>
      <c r="I55" s="40"/>
      <c r="J55" s="40"/>
      <c r="K55" s="40"/>
      <c r="L55" s="40"/>
      <c r="M55" s="40"/>
      <c r="N55" s="40"/>
      <c r="O55" s="40"/>
    </row>
    <row r="56" spans="2:15" x14ac:dyDescent="0.35">
      <c r="B56" s="39" t="s">
        <v>355</v>
      </c>
      <c r="C56" s="34" t="s">
        <v>112</v>
      </c>
      <c r="D56" s="32" t="s">
        <v>357</v>
      </c>
      <c r="E56" s="40"/>
      <c r="F56" s="40"/>
      <c r="G56" s="40"/>
      <c r="H56" s="41" t="s">
        <v>322</v>
      </c>
      <c r="I56" s="40"/>
      <c r="J56" s="40"/>
      <c r="K56" s="40"/>
      <c r="L56" s="40"/>
      <c r="M56" s="40"/>
      <c r="N56" s="40"/>
      <c r="O56" s="40"/>
    </row>
    <row r="57" spans="2:15" x14ac:dyDescent="0.35">
      <c r="B57" s="39" t="s">
        <v>355</v>
      </c>
      <c r="C57" s="34" t="s">
        <v>112</v>
      </c>
      <c r="D57" s="32" t="s">
        <v>358</v>
      </c>
      <c r="E57" s="40"/>
      <c r="F57" s="40"/>
      <c r="G57" s="40"/>
      <c r="H57" s="41" t="s">
        <v>322</v>
      </c>
      <c r="I57" s="40"/>
      <c r="J57" s="40"/>
      <c r="K57" s="40"/>
      <c r="L57" s="40"/>
      <c r="M57" s="40"/>
      <c r="N57" s="40"/>
      <c r="O57" s="40"/>
    </row>
    <row r="58" spans="2:15" x14ac:dyDescent="0.35">
      <c r="B58" s="39" t="s">
        <v>355</v>
      </c>
      <c r="C58" s="34" t="s">
        <v>112</v>
      </c>
      <c r="D58" s="32" t="s">
        <v>359</v>
      </c>
      <c r="E58" s="40"/>
      <c r="F58" s="40"/>
      <c r="G58" s="40"/>
      <c r="H58" s="41" t="s">
        <v>322</v>
      </c>
      <c r="I58" s="40"/>
      <c r="J58" s="40"/>
      <c r="K58" s="40"/>
      <c r="L58" s="40"/>
      <c r="M58" s="40"/>
      <c r="N58" s="40"/>
      <c r="O58" s="40"/>
    </row>
    <row r="59" spans="2:15" x14ac:dyDescent="0.35">
      <c r="B59" s="39" t="s">
        <v>355</v>
      </c>
      <c r="C59" s="34" t="s">
        <v>112</v>
      </c>
      <c r="D59" s="32" t="s">
        <v>360</v>
      </c>
      <c r="E59" s="40"/>
      <c r="F59" s="40"/>
      <c r="G59" s="40"/>
      <c r="H59" s="41" t="s">
        <v>322</v>
      </c>
      <c r="I59" s="40"/>
      <c r="J59" s="40"/>
      <c r="K59" s="40"/>
      <c r="L59" s="40"/>
      <c r="M59" s="40"/>
      <c r="N59" s="40"/>
      <c r="O59" s="40"/>
    </row>
    <row r="60" spans="2:15" x14ac:dyDescent="0.35">
      <c r="B60" s="39" t="s">
        <v>361</v>
      </c>
      <c r="C60" s="34" t="s">
        <v>117</v>
      </c>
      <c r="D60" s="32" t="s">
        <v>362</v>
      </c>
      <c r="E60" s="40"/>
      <c r="F60" s="40"/>
      <c r="G60" s="40"/>
      <c r="H60" s="41" t="s">
        <v>322</v>
      </c>
      <c r="I60" s="40"/>
      <c r="J60" s="40"/>
      <c r="K60" s="40"/>
      <c r="L60" s="40"/>
      <c r="M60" s="40"/>
      <c r="N60" s="40"/>
      <c r="O60" s="40"/>
    </row>
    <row r="61" spans="2:15" x14ac:dyDescent="0.35">
      <c r="B61" s="39" t="s">
        <v>361</v>
      </c>
      <c r="C61" s="34" t="s">
        <v>117</v>
      </c>
      <c r="D61" s="32" t="s">
        <v>363</v>
      </c>
      <c r="E61" s="40"/>
      <c r="F61" s="40"/>
      <c r="G61" s="40"/>
      <c r="H61" s="41" t="s">
        <v>322</v>
      </c>
      <c r="I61" s="40"/>
      <c r="J61" s="40"/>
      <c r="K61" s="40"/>
      <c r="L61" s="40"/>
      <c r="M61" s="40"/>
      <c r="N61" s="40"/>
      <c r="O61" s="40"/>
    </row>
    <row r="62" spans="2:15" x14ac:dyDescent="0.35">
      <c r="B62" s="39" t="s">
        <v>361</v>
      </c>
      <c r="C62" s="34" t="s">
        <v>117</v>
      </c>
      <c r="D62" s="32" t="s">
        <v>364</v>
      </c>
      <c r="E62" s="40"/>
      <c r="F62" s="40"/>
      <c r="G62" s="40"/>
      <c r="H62" s="41" t="s">
        <v>322</v>
      </c>
      <c r="I62" s="40"/>
      <c r="J62" s="40"/>
      <c r="K62" s="40"/>
      <c r="L62" s="40"/>
      <c r="M62" s="40"/>
      <c r="N62" s="40"/>
      <c r="O62" s="40"/>
    </row>
    <row r="63" spans="2:15" x14ac:dyDescent="0.35">
      <c r="B63" s="39" t="s">
        <v>361</v>
      </c>
      <c r="C63" s="34" t="s">
        <v>117</v>
      </c>
      <c r="D63" s="32" t="s">
        <v>365</v>
      </c>
      <c r="E63" s="40"/>
      <c r="F63" s="40"/>
      <c r="G63" s="40"/>
      <c r="H63" s="41" t="s">
        <v>322</v>
      </c>
      <c r="I63" s="40"/>
      <c r="J63" s="40"/>
      <c r="K63" s="40"/>
      <c r="L63" s="40"/>
      <c r="M63" s="40"/>
      <c r="N63" s="40"/>
      <c r="O63" s="40"/>
    </row>
    <row r="64" spans="2:15" x14ac:dyDescent="0.35">
      <c r="B64" s="39" t="s">
        <v>366</v>
      </c>
      <c r="C64" s="34" t="s">
        <v>122</v>
      </c>
      <c r="D64" s="32" t="s">
        <v>367</v>
      </c>
      <c r="E64" s="40"/>
      <c r="F64" s="40"/>
      <c r="G64" s="40"/>
      <c r="H64" s="41" t="s">
        <v>322</v>
      </c>
      <c r="I64" s="40"/>
      <c r="J64" s="40"/>
      <c r="K64" s="40"/>
      <c r="L64" s="40"/>
      <c r="M64" s="40"/>
      <c r="N64" s="40"/>
      <c r="O64" s="40"/>
    </row>
    <row r="65" spans="2:15" x14ac:dyDescent="0.35">
      <c r="B65" s="39" t="s">
        <v>366</v>
      </c>
      <c r="C65" s="34" t="s">
        <v>122</v>
      </c>
      <c r="D65" s="32" t="s">
        <v>368</v>
      </c>
      <c r="E65" s="40"/>
      <c r="F65" s="40"/>
      <c r="G65" s="40"/>
      <c r="H65" s="41" t="s">
        <v>322</v>
      </c>
      <c r="I65" s="40"/>
      <c r="J65" s="40"/>
      <c r="K65" s="40"/>
      <c r="L65" s="40"/>
      <c r="M65" s="40"/>
      <c r="N65" s="40"/>
      <c r="O65" s="40"/>
    </row>
    <row r="66" spans="2:15" x14ac:dyDescent="0.35">
      <c r="B66" s="39" t="s">
        <v>366</v>
      </c>
      <c r="C66" s="34" t="s">
        <v>122</v>
      </c>
      <c r="D66" s="32" t="s">
        <v>369</v>
      </c>
      <c r="E66" s="40"/>
      <c r="F66" s="40"/>
      <c r="G66" s="40"/>
      <c r="H66" s="41" t="s">
        <v>322</v>
      </c>
      <c r="I66" s="40"/>
      <c r="J66" s="40"/>
      <c r="K66" s="40"/>
      <c r="L66" s="40"/>
      <c r="M66" s="40"/>
      <c r="N66" s="40"/>
      <c r="O66" s="40"/>
    </row>
    <row r="67" spans="2:15" x14ac:dyDescent="0.35">
      <c r="B67" s="39" t="s">
        <v>366</v>
      </c>
      <c r="C67" s="34" t="s">
        <v>122</v>
      </c>
      <c r="D67" s="32" t="s">
        <v>370</v>
      </c>
      <c r="E67" s="40"/>
      <c r="F67" s="40"/>
      <c r="G67" s="40"/>
      <c r="H67" s="41" t="s">
        <v>322</v>
      </c>
      <c r="I67" s="40"/>
      <c r="J67" s="40"/>
      <c r="K67" s="40"/>
      <c r="L67" s="40"/>
      <c r="M67" s="40"/>
      <c r="N67" s="40"/>
      <c r="O67" s="40"/>
    </row>
    <row r="68" spans="2:15" x14ac:dyDescent="0.35">
      <c r="B68" s="39" t="s">
        <v>366</v>
      </c>
      <c r="C68" s="34" t="s">
        <v>122</v>
      </c>
      <c r="D68" s="32" t="s">
        <v>371</v>
      </c>
      <c r="E68" s="40"/>
      <c r="F68" s="40"/>
      <c r="G68" s="40"/>
      <c r="H68" s="41" t="s">
        <v>322</v>
      </c>
      <c r="I68" s="40"/>
      <c r="J68" s="40"/>
      <c r="K68" s="40"/>
      <c r="L68" s="40"/>
      <c r="M68" s="40"/>
      <c r="N68" s="40"/>
      <c r="O68" s="40"/>
    </row>
    <row r="69" spans="2:15" x14ac:dyDescent="0.35">
      <c r="B69" s="39" t="s">
        <v>372</v>
      </c>
      <c r="C69" s="34" t="s">
        <v>127</v>
      </c>
      <c r="D69" s="32" t="s">
        <v>373</v>
      </c>
      <c r="E69" s="40"/>
      <c r="F69" s="40"/>
      <c r="G69" s="40"/>
      <c r="H69" s="41" t="s">
        <v>322</v>
      </c>
      <c r="I69" s="40"/>
      <c r="J69" s="40"/>
      <c r="K69" s="40"/>
      <c r="L69" s="40"/>
      <c r="M69" s="40"/>
      <c r="N69" s="40"/>
      <c r="O69" s="40"/>
    </row>
    <row r="70" spans="2:15" x14ac:dyDescent="0.35">
      <c r="B70" s="39" t="s">
        <v>372</v>
      </c>
      <c r="C70" s="34" t="s">
        <v>127</v>
      </c>
      <c r="D70" s="32" t="s">
        <v>374</v>
      </c>
      <c r="E70" s="40"/>
      <c r="F70" s="40"/>
      <c r="G70" s="40"/>
      <c r="H70" s="41" t="s">
        <v>322</v>
      </c>
      <c r="I70" s="40"/>
      <c r="J70" s="40"/>
      <c r="K70" s="40"/>
      <c r="L70" s="40"/>
      <c r="M70" s="40"/>
      <c r="N70" s="40"/>
      <c r="O70" s="40"/>
    </row>
    <row r="71" spans="2:15" x14ac:dyDescent="0.35">
      <c r="B71" s="39" t="s">
        <v>372</v>
      </c>
      <c r="C71" s="34" t="s">
        <v>127</v>
      </c>
      <c r="D71" s="32" t="s">
        <v>375</v>
      </c>
      <c r="E71" s="40"/>
      <c r="F71" s="40"/>
      <c r="G71" s="40"/>
      <c r="H71" s="41" t="s">
        <v>322</v>
      </c>
      <c r="I71" s="40"/>
      <c r="J71" s="40"/>
      <c r="K71" s="40"/>
      <c r="L71" s="40"/>
      <c r="M71" s="40"/>
      <c r="N71" s="40"/>
      <c r="O71" s="40"/>
    </row>
    <row r="72" spans="2:15" x14ac:dyDescent="0.35">
      <c r="B72" s="39" t="s">
        <v>372</v>
      </c>
      <c r="C72" s="34" t="s">
        <v>127</v>
      </c>
      <c r="D72" s="32" t="s">
        <v>376</v>
      </c>
      <c r="E72" s="40"/>
      <c r="F72" s="40"/>
      <c r="G72" s="40"/>
      <c r="H72" s="41" t="s">
        <v>322</v>
      </c>
      <c r="I72" s="40"/>
      <c r="J72" s="40"/>
      <c r="K72" s="40"/>
      <c r="L72" s="40"/>
      <c r="M72" s="40"/>
      <c r="N72" s="40"/>
      <c r="O72" s="40"/>
    </row>
    <row r="73" spans="2:15" x14ac:dyDescent="0.35">
      <c r="B73" s="39" t="s">
        <v>372</v>
      </c>
      <c r="C73" s="34" t="s">
        <v>127</v>
      </c>
      <c r="D73" s="32" t="s">
        <v>377</v>
      </c>
      <c r="E73" s="40"/>
      <c r="F73" s="40"/>
      <c r="G73" s="40"/>
      <c r="H73" s="41" t="s">
        <v>322</v>
      </c>
      <c r="I73" s="40"/>
      <c r="J73" s="40"/>
      <c r="K73" s="40"/>
      <c r="L73" s="40"/>
      <c r="M73" s="40"/>
      <c r="N73" s="40"/>
      <c r="O73" s="40"/>
    </row>
    <row r="74" spans="2:15" x14ac:dyDescent="0.35">
      <c r="B74" s="39" t="s">
        <v>378</v>
      </c>
      <c r="C74" s="34" t="s">
        <v>132</v>
      </c>
      <c r="D74" s="32" t="s">
        <v>379</v>
      </c>
      <c r="E74" s="40"/>
      <c r="F74" s="40"/>
      <c r="G74" s="40"/>
      <c r="H74" s="41" t="s">
        <v>322</v>
      </c>
      <c r="I74" s="40"/>
      <c r="J74" s="40"/>
      <c r="K74" s="40"/>
      <c r="L74" s="40"/>
      <c r="M74" s="40"/>
      <c r="N74" s="40"/>
      <c r="O74" s="40"/>
    </row>
    <row r="75" spans="2:15" x14ac:dyDescent="0.35">
      <c r="B75" s="39" t="s">
        <v>378</v>
      </c>
      <c r="C75" s="34" t="s">
        <v>132</v>
      </c>
      <c r="D75" s="32" t="s">
        <v>380</v>
      </c>
      <c r="E75" s="40"/>
      <c r="F75" s="40"/>
      <c r="G75" s="40"/>
      <c r="H75" s="41" t="s">
        <v>322</v>
      </c>
      <c r="I75" s="40"/>
      <c r="J75" s="40"/>
      <c r="K75" s="40"/>
      <c r="L75" s="40"/>
      <c r="M75" s="40"/>
      <c r="N75" s="40"/>
      <c r="O75" s="40"/>
    </row>
    <row r="76" spans="2:15" x14ac:dyDescent="0.35">
      <c r="B76" s="39" t="s">
        <v>378</v>
      </c>
      <c r="C76" s="34" t="s">
        <v>132</v>
      </c>
      <c r="D76" s="32" t="s">
        <v>381</v>
      </c>
      <c r="E76" s="40"/>
      <c r="F76" s="40"/>
      <c r="G76" s="40"/>
      <c r="H76" s="41" t="s">
        <v>322</v>
      </c>
      <c r="I76" s="40"/>
      <c r="J76" s="40"/>
      <c r="K76" s="40"/>
      <c r="L76" s="40"/>
      <c r="M76" s="40"/>
      <c r="N76" s="40"/>
      <c r="O76" s="40"/>
    </row>
    <row r="77" spans="2:15" ht="20" x14ac:dyDescent="0.35">
      <c r="B77" s="39" t="s">
        <v>378</v>
      </c>
      <c r="C77" s="34" t="s">
        <v>132</v>
      </c>
      <c r="D77" s="32" t="s">
        <v>382</v>
      </c>
      <c r="E77" s="40"/>
      <c r="F77" s="40"/>
      <c r="G77" s="40"/>
      <c r="H77" s="41" t="s">
        <v>322</v>
      </c>
      <c r="I77" s="40"/>
      <c r="J77" s="40"/>
      <c r="K77" s="40"/>
      <c r="L77" s="40"/>
      <c r="M77" s="40"/>
      <c r="N77" s="40"/>
      <c r="O77" s="40"/>
    </row>
    <row r="78" spans="2:15" x14ac:dyDescent="0.35">
      <c r="B78" s="39" t="s">
        <v>378</v>
      </c>
      <c r="C78" s="34" t="s">
        <v>132</v>
      </c>
      <c r="D78" s="32" t="s">
        <v>383</v>
      </c>
      <c r="E78" s="40"/>
      <c r="F78" s="40"/>
      <c r="G78" s="40"/>
      <c r="H78" s="41" t="s">
        <v>322</v>
      </c>
      <c r="I78" s="40"/>
      <c r="J78" s="40"/>
      <c r="K78" s="40"/>
      <c r="L78" s="40"/>
      <c r="M78" s="40"/>
      <c r="N78" s="40"/>
      <c r="O78" s="40"/>
    </row>
    <row r="79" spans="2:15" x14ac:dyDescent="0.35">
      <c r="B79" s="39" t="s">
        <v>384</v>
      </c>
      <c r="C79" s="34" t="s">
        <v>137</v>
      </c>
      <c r="D79" s="32" t="s">
        <v>385</v>
      </c>
      <c r="E79" s="40"/>
      <c r="F79" s="40"/>
      <c r="G79" s="40"/>
      <c r="H79" s="41" t="s">
        <v>322</v>
      </c>
      <c r="I79" s="40"/>
      <c r="J79" s="40"/>
      <c r="K79" s="40"/>
      <c r="L79" s="40"/>
      <c r="M79" s="40"/>
      <c r="N79" s="40"/>
      <c r="O79" s="40"/>
    </row>
    <row r="80" spans="2:15" x14ac:dyDescent="0.35">
      <c r="B80" s="39" t="s">
        <v>384</v>
      </c>
      <c r="C80" s="34" t="s">
        <v>137</v>
      </c>
      <c r="D80" s="32" t="s">
        <v>386</v>
      </c>
      <c r="E80" s="40"/>
      <c r="F80" s="40"/>
      <c r="G80" s="40"/>
      <c r="H80" s="41" t="s">
        <v>322</v>
      </c>
      <c r="I80" s="40"/>
      <c r="J80" s="40"/>
      <c r="K80" s="40"/>
      <c r="L80" s="40"/>
      <c r="M80" s="40"/>
      <c r="N80" s="40"/>
      <c r="O80" s="40"/>
    </row>
    <row r="81" spans="2:15" x14ac:dyDescent="0.35">
      <c r="B81" s="39" t="s">
        <v>384</v>
      </c>
      <c r="C81" s="34" t="s">
        <v>137</v>
      </c>
      <c r="D81" s="32" t="s">
        <v>387</v>
      </c>
      <c r="E81" s="40"/>
      <c r="F81" s="40"/>
      <c r="G81" s="40"/>
      <c r="H81" s="41" t="s">
        <v>322</v>
      </c>
      <c r="I81" s="40"/>
      <c r="J81" s="40"/>
      <c r="K81" s="40"/>
      <c r="L81" s="40"/>
      <c r="M81" s="40"/>
      <c r="N81" s="40"/>
      <c r="O81" s="40"/>
    </row>
    <row r="82" spans="2:15" ht="20" x14ac:dyDescent="0.35">
      <c r="B82" s="39" t="s">
        <v>384</v>
      </c>
      <c r="C82" s="34" t="s">
        <v>137</v>
      </c>
      <c r="D82" s="32" t="s">
        <v>388</v>
      </c>
      <c r="E82" s="40"/>
      <c r="F82" s="40"/>
      <c r="G82" s="40"/>
      <c r="H82" s="41" t="s">
        <v>322</v>
      </c>
      <c r="I82" s="40"/>
      <c r="J82" s="40"/>
      <c r="K82" s="40"/>
      <c r="L82" s="40"/>
      <c r="M82" s="40"/>
      <c r="N82" s="40"/>
      <c r="O82" s="40"/>
    </row>
  </sheetData>
  <mergeCells count="2">
    <mergeCell ref="B2:O2"/>
    <mergeCell ref="B25:O25"/>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300-000000000000}">
          <x14:formula1>
            <xm:f>master_lists!#REF!</xm:f>
          </x14:formula1>
          <x14:formula2>
            <xm:f>0</xm:f>
          </x14:formula2>
          <xm:sqref>J5:L24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F15"/>
  <sheetViews>
    <sheetView showGridLines="0" zoomScaleNormal="100" workbookViewId="0"/>
  </sheetViews>
  <sheetFormatPr defaultColWidth="8.6328125" defaultRowHeight="14.5" x14ac:dyDescent="0.35"/>
  <cols>
    <col min="1" max="1" width="3" customWidth="1"/>
    <col min="2" max="2" width="16" customWidth="1"/>
    <col min="3" max="3" width="30" customWidth="1"/>
    <col min="4" max="5" width="26" customWidth="1"/>
    <col min="6" max="6" width="22" customWidth="1"/>
  </cols>
  <sheetData>
    <row r="2" spans="2:6" ht="25.5" customHeight="1" x14ac:dyDescent="0.35">
      <c r="B2" s="11" t="s">
        <v>389</v>
      </c>
      <c r="C2" s="11"/>
      <c r="D2" s="11"/>
      <c r="E2" s="11"/>
      <c r="F2" s="11"/>
    </row>
    <row r="4" spans="2:6" ht="39.75" customHeight="1" x14ac:dyDescent="0.35">
      <c r="B4" s="3" t="s">
        <v>390</v>
      </c>
      <c r="C4" s="3"/>
      <c r="D4" s="3"/>
      <c r="E4" s="3"/>
      <c r="F4" s="3"/>
    </row>
    <row r="6" spans="2:6" x14ac:dyDescent="0.35">
      <c r="B6" s="13" t="s">
        <v>391</v>
      </c>
      <c r="C6" s="13" t="s">
        <v>392</v>
      </c>
      <c r="D6" s="13" t="s">
        <v>393</v>
      </c>
      <c r="E6" s="13" t="s">
        <v>394</v>
      </c>
      <c r="F6" s="13" t="s">
        <v>395</v>
      </c>
    </row>
    <row r="7" spans="2:6" ht="33.75" customHeight="1" x14ac:dyDescent="0.35">
      <c r="B7" s="42" t="s">
        <v>396</v>
      </c>
      <c r="C7" s="15" t="s">
        <v>397</v>
      </c>
      <c r="D7" s="15" t="s">
        <v>398</v>
      </c>
      <c r="E7" s="15" t="s">
        <v>399</v>
      </c>
      <c r="F7" s="15" t="s">
        <v>400</v>
      </c>
    </row>
    <row r="8" spans="2:6" ht="33.75" customHeight="1" x14ac:dyDescent="0.35">
      <c r="B8" s="43" t="s">
        <v>401</v>
      </c>
      <c r="C8" s="18" t="s">
        <v>402</v>
      </c>
      <c r="D8" s="18" t="s">
        <v>403</v>
      </c>
      <c r="E8" s="18" t="s">
        <v>404</v>
      </c>
      <c r="F8" s="18" t="s">
        <v>405</v>
      </c>
    </row>
    <row r="9" spans="2:6" ht="33.75" customHeight="1" x14ac:dyDescent="0.35">
      <c r="B9" s="42" t="s">
        <v>406</v>
      </c>
      <c r="C9" s="15" t="s">
        <v>407</v>
      </c>
      <c r="D9" s="15" t="s">
        <v>408</v>
      </c>
      <c r="E9" s="15" t="s">
        <v>166</v>
      </c>
      <c r="F9" s="15" t="s">
        <v>409</v>
      </c>
    </row>
    <row r="10" spans="2:6" ht="33.75" customHeight="1" x14ac:dyDescent="0.35">
      <c r="B10" s="43" t="s">
        <v>410</v>
      </c>
      <c r="C10" s="18" t="s">
        <v>411</v>
      </c>
      <c r="D10" s="18" t="s">
        <v>412</v>
      </c>
      <c r="E10" s="18" t="s">
        <v>176</v>
      </c>
      <c r="F10" s="18" t="s">
        <v>413</v>
      </c>
    </row>
    <row r="11" spans="2:6" ht="33.75" customHeight="1" x14ac:dyDescent="0.35">
      <c r="B11" s="42" t="s">
        <v>414</v>
      </c>
      <c r="C11" s="15" t="s">
        <v>415</v>
      </c>
      <c r="D11" s="15" t="s">
        <v>416</v>
      </c>
      <c r="E11" s="15" t="s">
        <v>417</v>
      </c>
      <c r="F11" s="15" t="s">
        <v>418</v>
      </c>
    </row>
    <row r="13" spans="2:6" ht="51.75" customHeight="1" x14ac:dyDescent="0.35">
      <c r="B13" s="44" t="s">
        <v>419</v>
      </c>
      <c r="C13" s="9" t="s">
        <v>420</v>
      </c>
      <c r="D13" s="9"/>
      <c r="E13" s="9"/>
      <c r="F13" s="9"/>
    </row>
    <row r="14" spans="2:6" ht="39" customHeight="1" x14ac:dyDescent="0.35">
      <c r="B14" s="44" t="s">
        <v>421</v>
      </c>
      <c r="C14" s="9" t="s">
        <v>422</v>
      </c>
      <c r="D14" s="9"/>
      <c r="E14" s="9"/>
      <c r="F14" s="9"/>
    </row>
    <row r="15" spans="2:6" ht="33.75" customHeight="1" x14ac:dyDescent="0.35">
      <c r="B15" s="44" t="s">
        <v>423</v>
      </c>
      <c r="C15" s="9" t="s">
        <v>424</v>
      </c>
      <c r="D15" s="9"/>
      <c r="E15" s="9"/>
      <c r="F15" s="9"/>
    </row>
  </sheetData>
  <mergeCells count="5">
    <mergeCell ref="B2:F2"/>
    <mergeCell ref="B4:F4"/>
    <mergeCell ref="C13:F13"/>
    <mergeCell ref="C14:F14"/>
    <mergeCell ref="C15:F1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F15"/>
  <sheetViews>
    <sheetView showGridLines="0" zoomScaleNormal="100" workbookViewId="0"/>
  </sheetViews>
  <sheetFormatPr defaultColWidth="8.6328125" defaultRowHeight="14.5" x14ac:dyDescent="0.35"/>
  <cols>
    <col min="1" max="1" width="3" customWidth="1"/>
    <col min="2" max="6" width="30" customWidth="1"/>
  </cols>
  <sheetData>
    <row r="2" spans="2:6" ht="25.5" customHeight="1" x14ac:dyDescent="0.35">
      <c r="B2" s="11" t="s">
        <v>425</v>
      </c>
      <c r="C2" s="11"/>
      <c r="D2" s="11"/>
      <c r="E2" s="11"/>
      <c r="F2" s="11"/>
    </row>
    <row r="4" spans="2:6" ht="42" customHeight="1" x14ac:dyDescent="0.35">
      <c r="B4" s="3" t="s">
        <v>426</v>
      </c>
      <c r="C4" s="3"/>
      <c r="D4" s="3"/>
      <c r="E4" s="3"/>
      <c r="F4" s="3"/>
    </row>
    <row r="6" spans="2:6" x14ac:dyDescent="0.35">
      <c r="B6" s="13" t="s">
        <v>427</v>
      </c>
      <c r="C6" s="13" t="s">
        <v>428</v>
      </c>
      <c r="D6" s="13" t="s">
        <v>429</v>
      </c>
      <c r="E6" s="13" t="s">
        <v>430</v>
      </c>
      <c r="F6" s="13" t="s">
        <v>431</v>
      </c>
    </row>
    <row r="7" spans="2:6" ht="54" customHeight="1" x14ac:dyDescent="0.35">
      <c r="B7" s="42" t="s">
        <v>432</v>
      </c>
      <c r="C7" s="32" t="s">
        <v>433</v>
      </c>
      <c r="D7" s="32" t="s">
        <v>434</v>
      </c>
      <c r="E7" s="32" t="s">
        <v>435</v>
      </c>
      <c r="F7" s="32" t="s">
        <v>436</v>
      </c>
    </row>
    <row r="8" spans="2:6" ht="54" customHeight="1" x14ac:dyDescent="0.35">
      <c r="B8" s="43" t="s">
        <v>437</v>
      </c>
      <c r="C8" s="36" t="s">
        <v>438</v>
      </c>
      <c r="D8" s="36" t="s">
        <v>439</v>
      </c>
      <c r="E8" s="36" t="s">
        <v>440</v>
      </c>
      <c r="F8" s="36" t="s">
        <v>441</v>
      </c>
    </row>
    <row r="9" spans="2:6" ht="54" customHeight="1" x14ac:dyDescent="0.35">
      <c r="B9" s="42" t="s">
        <v>442</v>
      </c>
      <c r="C9" s="32" t="s">
        <v>443</v>
      </c>
      <c r="D9" s="32" t="s">
        <v>444</v>
      </c>
      <c r="E9" s="32" t="s">
        <v>445</v>
      </c>
      <c r="F9" s="32" t="s">
        <v>446</v>
      </c>
    </row>
    <row r="10" spans="2:6" ht="54" customHeight="1" x14ac:dyDescent="0.35">
      <c r="B10" s="43" t="s">
        <v>447</v>
      </c>
      <c r="C10" s="36" t="s">
        <v>448</v>
      </c>
      <c r="D10" s="36" t="s">
        <v>449</v>
      </c>
      <c r="E10" s="36" t="s">
        <v>450</v>
      </c>
      <c r="F10" s="36" t="s">
        <v>451</v>
      </c>
    </row>
    <row r="11" spans="2:6" ht="54" customHeight="1" x14ac:dyDescent="0.35">
      <c r="B11" s="42" t="s">
        <v>452</v>
      </c>
      <c r="C11" s="32" t="s">
        <v>453</v>
      </c>
      <c r="D11" s="32" t="s">
        <v>454</v>
      </c>
      <c r="E11" s="32" t="s">
        <v>455</v>
      </c>
      <c r="F11" s="32" t="s">
        <v>456</v>
      </c>
    </row>
    <row r="12" spans="2:6" ht="54" customHeight="1" x14ac:dyDescent="0.35">
      <c r="B12" s="43" t="s">
        <v>457</v>
      </c>
      <c r="C12" s="36" t="s">
        <v>458</v>
      </c>
      <c r="D12" s="36" t="s">
        <v>459</v>
      </c>
      <c r="E12" s="36" t="s">
        <v>460</v>
      </c>
      <c r="F12" s="36" t="s">
        <v>461</v>
      </c>
    </row>
    <row r="13" spans="2:6" ht="54" customHeight="1" x14ac:dyDescent="0.35">
      <c r="B13" s="42" t="s">
        <v>462</v>
      </c>
      <c r="C13" s="32" t="s">
        <v>463</v>
      </c>
      <c r="D13" s="32" t="s">
        <v>464</v>
      </c>
      <c r="E13" s="32" t="s">
        <v>465</v>
      </c>
      <c r="F13" s="32" t="s">
        <v>466</v>
      </c>
    </row>
    <row r="15" spans="2:6" ht="42" customHeight="1" x14ac:dyDescent="0.35">
      <c r="B15" s="2" t="s">
        <v>467</v>
      </c>
      <c r="C15" s="2"/>
      <c r="D15" s="2"/>
      <c r="E15" s="2"/>
      <c r="F15" s="2"/>
    </row>
  </sheetData>
  <mergeCells count="3">
    <mergeCell ref="B2:F2"/>
    <mergeCell ref="B4:F4"/>
    <mergeCell ref="B15:F1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F12"/>
  <sheetViews>
    <sheetView showGridLines="0" zoomScaleNormal="100" workbookViewId="0"/>
  </sheetViews>
  <sheetFormatPr defaultColWidth="8.6328125" defaultRowHeight="14.5" x14ac:dyDescent="0.35"/>
  <cols>
    <col min="1" max="1" width="3" customWidth="1"/>
    <col min="2" max="6" width="30" customWidth="1"/>
  </cols>
  <sheetData>
    <row r="2" spans="2:6" ht="25.5" customHeight="1" x14ac:dyDescent="0.35">
      <c r="B2" s="11" t="s">
        <v>468</v>
      </c>
      <c r="C2" s="11"/>
      <c r="D2" s="11"/>
      <c r="E2" s="11"/>
      <c r="F2" s="11"/>
    </row>
    <row r="4" spans="2:6" ht="42" customHeight="1" x14ac:dyDescent="0.35">
      <c r="B4" s="3" t="s">
        <v>469</v>
      </c>
      <c r="C4" s="3"/>
      <c r="D4" s="3"/>
      <c r="E4" s="3"/>
      <c r="F4" s="3"/>
    </row>
    <row r="6" spans="2:6" x14ac:dyDescent="0.35">
      <c r="B6" s="13" t="s">
        <v>427</v>
      </c>
      <c r="C6" s="13" t="s">
        <v>428</v>
      </c>
      <c r="D6" s="13" t="s">
        <v>429</v>
      </c>
      <c r="E6" s="13" t="s">
        <v>430</v>
      </c>
      <c r="F6" s="13" t="s">
        <v>431</v>
      </c>
    </row>
    <row r="7" spans="2:6" ht="54" customHeight="1" x14ac:dyDescent="0.35">
      <c r="B7" s="42" t="s">
        <v>470</v>
      </c>
      <c r="C7" s="32" t="s">
        <v>471</v>
      </c>
      <c r="D7" s="32" t="s">
        <v>471</v>
      </c>
      <c r="E7" s="32" t="s">
        <v>472</v>
      </c>
      <c r="F7" s="32" t="s">
        <v>473</v>
      </c>
    </row>
    <row r="8" spans="2:6" ht="54" customHeight="1" x14ac:dyDescent="0.35">
      <c r="B8" s="43" t="s">
        <v>474</v>
      </c>
      <c r="C8" s="36" t="s">
        <v>475</v>
      </c>
      <c r="D8" s="36" t="s">
        <v>476</v>
      </c>
      <c r="E8" s="36" t="s">
        <v>477</v>
      </c>
      <c r="F8" s="36" t="s">
        <v>478</v>
      </c>
    </row>
    <row r="9" spans="2:6" ht="54" customHeight="1" x14ac:dyDescent="0.35">
      <c r="B9" s="42" t="s">
        <v>479</v>
      </c>
      <c r="C9" s="32" t="s">
        <v>480</v>
      </c>
      <c r="D9" s="32" t="s">
        <v>481</v>
      </c>
      <c r="E9" s="32" t="s">
        <v>482</v>
      </c>
      <c r="F9" s="32" t="s">
        <v>483</v>
      </c>
    </row>
    <row r="10" spans="2:6" ht="54" customHeight="1" x14ac:dyDescent="0.35">
      <c r="B10" s="43" t="s">
        <v>484</v>
      </c>
      <c r="C10" s="36" t="s">
        <v>485</v>
      </c>
      <c r="D10" s="36" t="s">
        <v>486</v>
      </c>
      <c r="E10" s="36" t="s">
        <v>487</v>
      </c>
      <c r="F10" s="36" t="s">
        <v>488</v>
      </c>
    </row>
    <row r="11" spans="2:6" ht="54" customHeight="1" x14ac:dyDescent="0.35">
      <c r="B11" s="42" t="s">
        <v>489</v>
      </c>
      <c r="C11" s="32" t="s">
        <v>490</v>
      </c>
      <c r="D11" s="32" t="s">
        <v>491</v>
      </c>
      <c r="E11" s="32" t="s">
        <v>492</v>
      </c>
      <c r="F11" s="32" t="s">
        <v>493</v>
      </c>
    </row>
    <row r="12" spans="2:6" ht="54" customHeight="1" x14ac:dyDescent="0.35">
      <c r="B12" s="43" t="s">
        <v>494</v>
      </c>
      <c r="C12" s="36" t="s">
        <v>495</v>
      </c>
      <c r="D12" s="36" t="s">
        <v>496</v>
      </c>
      <c r="E12" s="36" t="s">
        <v>497</v>
      </c>
      <c r="F12" s="36" t="s">
        <v>498</v>
      </c>
    </row>
  </sheetData>
  <mergeCells count="2">
    <mergeCell ref="B2:F2"/>
    <mergeCell ref="B4:F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F12"/>
  <sheetViews>
    <sheetView showGridLines="0" zoomScaleNormal="100" workbookViewId="0"/>
  </sheetViews>
  <sheetFormatPr defaultColWidth="8.6328125" defaultRowHeight="14.5" x14ac:dyDescent="0.35"/>
  <cols>
    <col min="1" max="1" width="3" customWidth="1"/>
    <col min="2" max="6" width="30" customWidth="1"/>
  </cols>
  <sheetData>
    <row r="2" spans="2:6" ht="25.5" customHeight="1" x14ac:dyDescent="0.35">
      <c r="B2" s="11" t="s">
        <v>499</v>
      </c>
      <c r="C2" s="11"/>
      <c r="D2" s="11"/>
      <c r="E2" s="11"/>
      <c r="F2" s="11"/>
    </row>
    <row r="4" spans="2:6" ht="42" customHeight="1" x14ac:dyDescent="0.35">
      <c r="B4" s="3" t="s">
        <v>500</v>
      </c>
      <c r="C4" s="3"/>
      <c r="D4" s="3"/>
      <c r="E4" s="3"/>
      <c r="F4" s="3"/>
    </row>
    <row r="6" spans="2:6" x14ac:dyDescent="0.35">
      <c r="B6" s="13" t="s">
        <v>427</v>
      </c>
      <c r="C6" s="13" t="s">
        <v>428</v>
      </c>
      <c r="D6" s="13" t="s">
        <v>429</v>
      </c>
      <c r="E6" s="13" t="s">
        <v>430</v>
      </c>
      <c r="F6" s="13" t="s">
        <v>431</v>
      </c>
    </row>
    <row r="7" spans="2:6" ht="54" customHeight="1" x14ac:dyDescent="0.35">
      <c r="B7" s="42" t="s">
        <v>501</v>
      </c>
      <c r="C7" s="32" t="s">
        <v>502</v>
      </c>
      <c r="D7" s="32" t="s">
        <v>503</v>
      </c>
      <c r="E7" s="32" t="s">
        <v>504</v>
      </c>
      <c r="F7" s="32" t="s">
        <v>505</v>
      </c>
    </row>
    <row r="8" spans="2:6" ht="54" customHeight="1" x14ac:dyDescent="0.35">
      <c r="B8" s="43" t="s">
        <v>506</v>
      </c>
      <c r="C8" s="36" t="s">
        <v>507</v>
      </c>
      <c r="D8" s="36" t="s">
        <v>508</v>
      </c>
      <c r="E8" s="36" t="s">
        <v>509</v>
      </c>
      <c r="F8" s="36" t="s">
        <v>510</v>
      </c>
    </row>
    <row r="9" spans="2:6" ht="54" customHeight="1" x14ac:dyDescent="0.35">
      <c r="B9" s="42" t="s">
        <v>511</v>
      </c>
      <c r="C9" s="32" t="s">
        <v>512</v>
      </c>
      <c r="D9" s="32" t="s">
        <v>513</v>
      </c>
      <c r="E9" s="32" t="s">
        <v>514</v>
      </c>
      <c r="F9" s="32" t="s">
        <v>515</v>
      </c>
    </row>
    <row r="10" spans="2:6" ht="54" customHeight="1" x14ac:dyDescent="0.35">
      <c r="B10" s="43" t="s">
        <v>516</v>
      </c>
      <c r="C10" s="36" t="s">
        <v>517</v>
      </c>
      <c r="D10" s="36" t="s">
        <v>518</v>
      </c>
      <c r="E10" s="36" t="s">
        <v>519</v>
      </c>
      <c r="F10" s="36" t="s">
        <v>520</v>
      </c>
    </row>
    <row r="11" spans="2:6" ht="54" customHeight="1" x14ac:dyDescent="0.35">
      <c r="B11" s="42" t="s">
        <v>521</v>
      </c>
      <c r="C11" s="32" t="s">
        <v>522</v>
      </c>
      <c r="D11" s="32" t="s">
        <v>523</v>
      </c>
      <c r="E11" s="32" t="s">
        <v>524</v>
      </c>
      <c r="F11" s="32" t="s">
        <v>525</v>
      </c>
    </row>
    <row r="12" spans="2:6" ht="54" customHeight="1" x14ac:dyDescent="0.35">
      <c r="B12" s="43" t="s">
        <v>526</v>
      </c>
      <c r="C12" s="36" t="s">
        <v>527</v>
      </c>
      <c r="D12" s="36" t="s">
        <v>528</v>
      </c>
      <c r="E12" s="36" t="s">
        <v>529</v>
      </c>
      <c r="F12" s="36" t="s">
        <v>530</v>
      </c>
    </row>
  </sheetData>
  <mergeCells count="2">
    <mergeCell ref="B2:F2"/>
    <mergeCell ref="B4:F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3"/>
  <sheetViews>
    <sheetView showGridLines="0" zoomScaleNormal="100" workbookViewId="0"/>
  </sheetViews>
  <sheetFormatPr defaultColWidth="8.6328125" defaultRowHeight="14.5" x14ac:dyDescent="0.35"/>
  <cols>
    <col min="1" max="9" width="26" customWidth="1"/>
  </cols>
  <sheetData>
    <row r="1" spans="1:9" x14ac:dyDescent="0.35">
      <c r="A1" s="45" t="s">
        <v>531</v>
      </c>
      <c r="B1" s="45" t="s">
        <v>532</v>
      </c>
      <c r="C1" s="45" t="s">
        <v>533</v>
      </c>
      <c r="D1" s="45" t="s">
        <v>534</v>
      </c>
      <c r="E1" s="45" t="s">
        <v>76</v>
      </c>
      <c r="F1" s="45" t="s">
        <v>535</v>
      </c>
      <c r="G1" s="45" t="s">
        <v>536</v>
      </c>
      <c r="H1" s="45" t="s">
        <v>154</v>
      </c>
      <c r="I1" s="45" t="s">
        <v>537</v>
      </c>
    </row>
    <row r="2" spans="1:9" x14ac:dyDescent="0.35">
      <c r="A2" s="46" t="s">
        <v>78</v>
      </c>
      <c r="B2" s="46" t="s">
        <v>538</v>
      </c>
      <c r="C2" s="46" t="s">
        <v>539</v>
      </c>
      <c r="D2" s="46" t="s">
        <v>164</v>
      </c>
      <c r="E2" s="46" t="s">
        <v>83</v>
      </c>
      <c r="F2" s="46" t="s">
        <v>540</v>
      </c>
      <c r="G2" s="46" t="s">
        <v>396</v>
      </c>
      <c r="H2" s="46" t="s">
        <v>541</v>
      </c>
      <c r="I2" s="46" t="s">
        <v>84</v>
      </c>
    </row>
    <row r="3" spans="1:9" x14ac:dyDescent="0.35">
      <c r="A3" s="46" t="s">
        <v>85</v>
      </c>
      <c r="B3" s="46" t="s">
        <v>254</v>
      </c>
      <c r="C3" s="46" t="s">
        <v>255</v>
      </c>
      <c r="D3" s="46" t="s">
        <v>229</v>
      </c>
      <c r="E3" s="46" t="s">
        <v>111</v>
      </c>
      <c r="F3" s="46" t="s">
        <v>542</v>
      </c>
      <c r="G3" s="46" t="s">
        <v>401</v>
      </c>
      <c r="H3" s="46" t="s">
        <v>543</v>
      </c>
      <c r="I3" s="46" t="s">
        <v>90</v>
      </c>
    </row>
    <row r="4" spans="1:9" x14ac:dyDescent="0.35">
      <c r="A4" s="46" t="s">
        <v>91</v>
      </c>
      <c r="B4" s="46" t="s">
        <v>165</v>
      </c>
      <c r="C4" s="46" t="s">
        <v>166</v>
      </c>
      <c r="D4" s="46" t="s">
        <v>289</v>
      </c>
      <c r="E4" s="46" t="s">
        <v>544</v>
      </c>
      <c r="F4" s="46" t="s">
        <v>545</v>
      </c>
      <c r="G4" s="46" t="s">
        <v>406</v>
      </c>
      <c r="H4" s="46" t="s">
        <v>546</v>
      </c>
    </row>
    <row r="5" spans="1:9" x14ac:dyDescent="0.35">
      <c r="A5" s="46" t="s">
        <v>96</v>
      </c>
      <c r="B5" s="46" t="s">
        <v>175</v>
      </c>
      <c r="C5" s="46" t="s">
        <v>176</v>
      </c>
      <c r="D5" s="46" t="s">
        <v>305</v>
      </c>
      <c r="F5" s="46" t="s">
        <v>547</v>
      </c>
      <c r="G5" s="46" t="s">
        <v>410</v>
      </c>
      <c r="H5" s="46" t="s">
        <v>548</v>
      </c>
    </row>
    <row r="6" spans="1:9" x14ac:dyDescent="0.35">
      <c r="A6" s="46" t="s">
        <v>101</v>
      </c>
      <c r="B6" s="46" t="s">
        <v>549</v>
      </c>
      <c r="C6" s="46" t="s">
        <v>550</v>
      </c>
      <c r="D6" s="46" t="s">
        <v>551</v>
      </c>
      <c r="G6" s="46" t="s">
        <v>414</v>
      </c>
      <c r="H6" s="46" t="s">
        <v>552</v>
      </c>
    </row>
    <row r="7" spans="1:9" x14ac:dyDescent="0.35">
      <c r="A7" s="46" t="s">
        <v>106</v>
      </c>
      <c r="D7" s="46" t="s">
        <v>198</v>
      </c>
      <c r="H7" s="46" t="s">
        <v>553</v>
      </c>
    </row>
    <row r="8" spans="1:9" x14ac:dyDescent="0.35">
      <c r="A8" s="46" t="s">
        <v>112</v>
      </c>
      <c r="D8" s="46" t="s">
        <v>554</v>
      </c>
      <c r="H8" s="46" t="s">
        <v>555</v>
      </c>
    </row>
    <row r="9" spans="1:9" x14ac:dyDescent="0.35">
      <c r="A9" s="46" t="s">
        <v>117</v>
      </c>
      <c r="D9" s="46" t="s">
        <v>556</v>
      </c>
    </row>
    <row r="10" spans="1:9" x14ac:dyDescent="0.35">
      <c r="A10" s="46" t="s">
        <v>122</v>
      </c>
      <c r="D10" s="46" t="s">
        <v>557</v>
      </c>
    </row>
    <row r="11" spans="1:9" x14ac:dyDescent="0.35">
      <c r="A11" s="46" t="s">
        <v>127</v>
      </c>
    </row>
    <row r="12" spans="1:9" x14ac:dyDescent="0.35">
      <c r="A12" s="46" t="s">
        <v>132</v>
      </c>
    </row>
    <row r="13" spans="1:9" x14ac:dyDescent="0.35">
      <c r="A13" s="46" t="s">
        <v>137</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F23"/>
  <sheetViews>
    <sheetView showGridLines="0" tabSelected="1" zoomScaleNormal="100" workbookViewId="0">
      <selection activeCell="D19" sqref="D19"/>
    </sheetView>
  </sheetViews>
  <sheetFormatPr defaultColWidth="8.6328125" defaultRowHeight="14.5" x14ac:dyDescent="0.35"/>
  <cols>
    <col min="1" max="1" width="3" customWidth="1"/>
    <col min="2" max="2" width="34" customWidth="1"/>
    <col min="3" max="5" width="16" customWidth="1"/>
    <col min="6" max="6" width="30" customWidth="1"/>
  </cols>
  <sheetData>
    <row r="2" spans="2:6" ht="25.5" customHeight="1" x14ac:dyDescent="0.35">
      <c r="B2" s="11" t="s">
        <v>558</v>
      </c>
      <c r="C2" s="11"/>
      <c r="D2" s="11"/>
      <c r="E2" s="11"/>
      <c r="F2" s="11"/>
    </row>
    <row r="3" spans="2:6" x14ac:dyDescent="0.35">
      <c r="B3" s="10" t="s">
        <v>559</v>
      </c>
      <c r="C3" s="10"/>
      <c r="D3" s="10"/>
      <c r="E3" s="10"/>
      <c r="F3" s="10"/>
    </row>
    <row r="5" spans="2:6" x14ac:dyDescent="0.35">
      <c r="B5" s="13" t="s">
        <v>560</v>
      </c>
      <c r="C5" s="47" t="s">
        <v>561</v>
      </c>
      <c r="D5" s="47" t="s">
        <v>562</v>
      </c>
      <c r="E5" s="47" t="s">
        <v>563</v>
      </c>
      <c r="F5" s="13" t="s">
        <v>564</v>
      </c>
    </row>
    <row r="6" spans="2:6" x14ac:dyDescent="0.35">
      <c r="B6" s="15" t="s">
        <v>565</v>
      </c>
      <c r="C6" s="48">
        <v>2500</v>
      </c>
      <c r="D6" s="48">
        <v>2500</v>
      </c>
      <c r="E6" s="48">
        <v>2500</v>
      </c>
      <c r="F6" s="41" t="s">
        <v>566</v>
      </c>
    </row>
    <row r="7" spans="2:6" x14ac:dyDescent="0.35">
      <c r="B7" s="15" t="s">
        <v>567</v>
      </c>
      <c r="C7" s="49">
        <v>0.06</v>
      </c>
      <c r="D7" s="49">
        <v>0.09</v>
      </c>
      <c r="E7" s="49">
        <v>0.13</v>
      </c>
      <c r="F7" s="41" t="s">
        <v>568</v>
      </c>
    </row>
    <row r="8" spans="2:6" x14ac:dyDescent="0.35">
      <c r="B8" s="15" t="s">
        <v>569</v>
      </c>
      <c r="C8" s="50">
        <v>0.6</v>
      </c>
      <c r="D8" s="50">
        <v>0.6</v>
      </c>
      <c r="E8" s="50">
        <v>0.6</v>
      </c>
      <c r="F8" s="41" t="s">
        <v>570</v>
      </c>
    </row>
    <row r="9" spans="2:6" x14ac:dyDescent="0.35">
      <c r="B9" s="15" t="s">
        <v>571</v>
      </c>
      <c r="C9" s="50">
        <v>0.12</v>
      </c>
      <c r="D9" s="50">
        <v>0.12</v>
      </c>
      <c r="E9" s="50">
        <v>0.12</v>
      </c>
      <c r="F9" s="41" t="s">
        <v>572</v>
      </c>
    </row>
    <row r="10" spans="2:6" x14ac:dyDescent="0.35">
      <c r="B10" s="15" t="s">
        <v>573</v>
      </c>
      <c r="C10" s="50">
        <v>0.03</v>
      </c>
      <c r="D10" s="50">
        <v>0.03</v>
      </c>
      <c r="E10" s="50">
        <v>0.03</v>
      </c>
      <c r="F10" s="41" t="s">
        <v>574</v>
      </c>
    </row>
    <row r="12" spans="2:6" ht="20" x14ac:dyDescent="0.35">
      <c r="B12" s="51" t="s">
        <v>575</v>
      </c>
      <c r="C12" s="52">
        <f>C6*C7</f>
        <v>150</v>
      </c>
      <c r="D12" s="52">
        <f>D6*D7</f>
        <v>225</v>
      </c>
      <c r="E12" s="52">
        <f>E6*E7</f>
        <v>325</v>
      </c>
      <c r="F12" s="53" t="s">
        <v>576</v>
      </c>
    </row>
    <row r="13" spans="2:6" x14ac:dyDescent="0.35">
      <c r="B13" s="15" t="s">
        <v>577</v>
      </c>
      <c r="C13" s="54">
        <f>C12*C8</f>
        <v>90</v>
      </c>
      <c r="D13" s="54">
        <f>D12*D8</f>
        <v>135</v>
      </c>
      <c r="E13" s="54">
        <f>E12*E8</f>
        <v>195</v>
      </c>
      <c r="F13" s="40"/>
    </row>
    <row r="14" spans="2:6" x14ac:dyDescent="0.35">
      <c r="B14" s="15" t="s">
        <v>578</v>
      </c>
      <c r="C14" s="54">
        <f>C12*C9</f>
        <v>18</v>
      </c>
      <c r="D14" s="54">
        <f>D12*D9</f>
        <v>27</v>
      </c>
      <c r="E14" s="54">
        <f>E12*E9</f>
        <v>39</v>
      </c>
      <c r="F14" s="40"/>
    </row>
    <row r="15" spans="2:6" x14ac:dyDescent="0.35">
      <c r="B15" s="15" t="s">
        <v>579</v>
      </c>
      <c r="C15" s="54">
        <f>C12*C10</f>
        <v>4.5</v>
      </c>
      <c r="D15" s="54">
        <f>D12*D10</f>
        <v>6.75</v>
      </c>
      <c r="E15" s="54">
        <f>E12*E10</f>
        <v>9.75</v>
      </c>
      <c r="F15" s="40"/>
    </row>
    <row r="16" spans="2:6" ht="23" x14ac:dyDescent="0.35">
      <c r="B16" s="55" t="s">
        <v>580</v>
      </c>
      <c r="C16" s="56">
        <f>C12-C13-C14-C15</f>
        <v>37.5</v>
      </c>
      <c r="D16" s="56">
        <f>D12-D13-D14-D15</f>
        <v>56.25</v>
      </c>
      <c r="E16" s="56">
        <f>E12-E13-E14-E15</f>
        <v>81.25</v>
      </c>
      <c r="F16" s="57" t="s">
        <v>581</v>
      </c>
    </row>
    <row r="17" spans="2:6" x14ac:dyDescent="0.35">
      <c r="B17" s="14" t="s">
        <v>582</v>
      </c>
      <c r="C17" s="58">
        <f>IFERROR(C16/C12,0)</f>
        <v>0.25</v>
      </c>
      <c r="D17" s="58">
        <f>IFERROR(D16/D12,0)</f>
        <v>0.25</v>
      </c>
      <c r="E17" s="58">
        <f>IFERROR(E16/E12,0)</f>
        <v>0.25</v>
      </c>
      <c r="F17" s="41" t="s">
        <v>583</v>
      </c>
    </row>
    <row r="18" spans="2:6" x14ac:dyDescent="0.35">
      <c r="B18" s="15" t="s">
        <v>584</v>
      </c>
      <c r="C18" s="59">
        <f>C16*'00_Locked_Facts'!$C$17</f>
        <v>0</v>
      </c>
      <c r="D18" s="59">
        <f>D16*'00_Locked_Facts'!$C$17</f>
        <v>0</v>
      </c>
      <c r="E18" s="59">
        <f>E16*'00_Locked_Facts'!$C$17</f>
        <v>0</v>
      </c>
      <c r="F18" s="41" t="s">
        <v>585</v>
      </c>
    </row>
    <row r="20" spans="2:6" ht="19.5" customHeight="1" x14ac:dyDescent="0.35">
      <c r="B20" s="1" t="s">
        <v>586</v>
      </c>
      <c r="C20" s="1"/>
      <c r="D20" s="1"/>
      <c r="E20" s="1"/>
      <c r="F20" s="1"/>
    </row>
    <row r="21" spans="2:6" ht="39" customHeight="1" x14ac:dyDescent="0.35">
      <c r="B21" s="9" t="s">
        <v>587</v>
      </c>
      <c r="C21" s="9"/>
      <c r="D21" s="9"/>
      <c r="E21" s="9"/>
      <c r="F21" s="9"/>
    </row>
    <row r="22" spans="2:6" ht="51.75" customHeight="1" x14ac:dyDescent="0.35">
      <c r="B22" s="9" t="s">
        <v>588</v>
      </c>
      <c r="C22" s="9"/>
      <c r="D22" s="9"/>
      <c r="E22" s="9"/>
      <c r="F22" s="9"/>
    </row>
    <row r="23" spans="2:6" ht="27.75" customHeight="1" x14ac:dyDescent="0.35">
      <c r="B23" s="9" t="s">
        <v>589</v>
      </c>
      <c r="C23" s="9"/>
      <c r="D23" s="9"/>
      <c r="E23" s="9"/>
      <c r="F23" s="9"/>
    </row>
  </sheetData>
  <mergeCells count="6">
    <mergeCell ref="B23:F23"/>
    <mergeCell ref="B2:F2"/>
    <mergeCell ref="B3:F3"/>
    <mergeCell ref="B20:F20"/>
    <mergeCell ref="B21:F21"/>
    <mergeCell ref="B22:F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00_Locked_Facts</vt:lpstr>
      <vt:lpstr>01_Family_Map</vt:lpstr>
      <vt:lpstr>02_Spec_Registry</vt:lpstr>
      <vt:lpstr>03_Competency_Model</vt:lpstr>
      <vt:lpstr>04_Freelancer_Competency</vt:lpstr>
      <vt:lpstr>05_Coach_Competency</vt:lpstr>
      <vt:lpstr>06_Staff_Competency</vt:lpstr>
      <vt:lpstr>07_MASTER_LISTS</vt:lpstr>
      <vt:lpstr>08_Golden_Product_Economics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Maher Farea</cp:lastModifiedBy>
  <cp:revision>0</cp:revision>
  <dcterms:created xsi:type="dcterms:W3CDTF">2026-07-12T10:53:33Z</dcterms:created>
  <dcterms:modified xsi:type="dcterms:W3CDTF">2026-07-15T21:38:37Z</dcterms:modified>
  <dc:language>en-US</dc:language>
</cp:coreProperties>
</file>