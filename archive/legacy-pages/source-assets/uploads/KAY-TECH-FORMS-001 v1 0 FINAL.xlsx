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9"/>
  <workbookPr/>
  <xr:revisionPtr revIDLastSave="0" documentId="11_EEA80AE5F733293A31C2E97DAC3BAD011324D26B" xr6:coauthVersionLast="47" xr6:coauthVersionMax="47" xr10:uidLastSave="{00000000-0000-0000-0000-000000000000}"/>
  <bookViews>
    <workbookView xWindow="0" yWindow="0" windowWidth="16384" windowHeight="8192" tabRatio="500" activeTab="17" xr2:uid="{00000000-000D-0000-FFFF-FFFF00000000}"/>
  </bookViews>
  <sheets>
    <sheet name="00_INDEX" sheetId="1" r:id="rId1"/>
    <sheet name="01_CONFIG" sheetId="2" r:id="rId2"/>
    <sheet name="02_EOI_CLIENT" sheetId="3" r:id="rId3"/>
    <sheet name="03_EOI_FREELANCER" sheetId="4" r:id="rId4"/>
    <sheet name="04_EOI_BUSINESS" sheetId="5" r:id="rId5"/>
    <sheet name="05_EOI_VOLUNTEER" sheetId="6" r:id="rId6"/>
    <sheet name="06_EOI_ACADEMY" sheetId="7" r:id="rId7"/>
    <sheet name="07_EOI_HUB" sheetId="8" r:id="rId8"/>
    <sheet name="08_REG_CLIENT_FULL" sheetId="9" r:id="rId9"/>
    <sheet name="09_REG_TALENT_FULL" sheetId="10" r:id="rId10"/>
    <sheet name="10_REG_VOLUNTEER_FULL" sheetId="11" r:id="rId11"/>
    <sheet name="11_HUB_BOOKING" sheetId="12" r:id="rId12"/>
    <sheet name="12_ACADEMY_ENROLL" sheetId="13" r:id="rId13"/>
    <sheet name="13_SPECIALIZATIONS" sheetId="14" r:id="rId14"/>
    <sheet name="14_WHATSAPP_SCRIPTS" sheetId="15" r:id="rId15"/>
    <sheet name="15_RESPONSE_TEMPLATES" sheetId="16" r:id="rId16"/>
    <sheet name="16_AUDIT_LOG" sheetId="17" r:id="rId17"/>
    <sheet name="17_KPI_DASH" sheetId="18" r:id="rId18"/>
  </sheets>
  <definedNames>
    <definedName name="AgeBands">'01_CONFIG'!$D$43:$D$48</definedName>
    <definedName name="Availability">'01_CONFIG'!$E$43:$E$47</definedName>
    <definedName name="BudgetBands">'01_CONFIG'!$B$57:$B$62</definedName>
    <definedName name="Channels">'01_CONFIG'!$D$18:$D$27</definedName>
    <definedName name="Countries">'01_CONFIG'!$B$18:$B$38</definedName>
    <definedName name="Currencies">'01_CONFIG'!$C$18:$C$25</definedName>
    <definedName name="Domains">'01_CONFIG'!$G$18:$G$25</definedName>
    <definedName name="EOIStatus">'01_CONFIG'!$E$18:$E$26</definedName>
    <definedName name="Genders">'01_CONFIG'!$C$43:$C$45</definedName>
    <definedName name="Industries">'01_CONFIG'!$C$57:$C$68</definedName>
    <definedName name="Languages">'01_CONFIG'!$E$57:$E$61</definedName>
    <definedName name="OrgSizes">'01_CONFIG'!$D$57:$D$61</definedName>
    <definedName name="Tiers">'01_CONFIG'!$F$18:$F$22</definedName>
    <definedName name="YesNo">'01_CONFIG'!$B$43:$B$44</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6" i="18" l="1"/>
  <c r="D7" i="18"/>
  <c r="D8" i="18"/>
  <c r="D9" i="18"/>
  <c r="D10" i="18"/>
  <c r="D11" i="18"/>
  <c r="D12" i="18"/>
  <c r="D13" i="18"/>
  <c r="D14" i="18"/>
  <c r="D15" i="18"/>
  <c r="D19" i="18"/>
  <c r="C19" i="18"/>
  <c r="F19" i="18"/>
  <c r="F15" i="18"/>
  <c r="G15" i="18"/>
  <c r="E15" i="18"/>
  <c r="F14" i="18"/>
  <c r="G14" i="18"/>
  <c r="E14" i="18"/>
  <c r="F13" i="18"/>
  <c r="G13" i="18"/>
  <c r="E13" i="18"/>
  <c r="F12" i="18"/>
  <c r="G12" i="18"/>
  <c r="E12" i="18"/>
  <c r="F11" i="18"/>
  <c r="G11" i="18"/>
  <c r="E11" i="18"/>
  <c r="F10" i="18"/>
  <c r="G10" i="18"/>
  <c r="E10" i="18"/>
  <c r="F9" i="18"/>
  <c r="G9" i="18"/>
  <c r="E9" i="18"/>
  <c r="F8" i="18"/>
  <c r="G8" i="18"/>
  <c r="E8" i="18"/>
  <c r="F7" i="18"/>
  <c r="G7" i="18"/>
  <c r="E7" i="18"/>
  <c r="F6" i="18"/>
  <c r="G6" i="18"/>
  <c r="E6" i="18"/>
  <c r="D41" i="13"/>
  <c r="D40" i="13"/>
  <c r="D46" i="12"/>
  <c r="D45" i="12"/>
  <c r="D44" i="11"/>
  <c r="D43" i="11"/>
  <c r="D53" i="10"/>
  <c r="D52" i="10"/>
  <c r="D58" i="9"/>
  <c r="D57" i="9"/>
  <c r="D44" i="8"/>
  <c r="D43" i="8"/>
  <c r="D42" i="7"/>
  <c r="D41" i="7"/>
  <c r="D49" i="6"/>
  <c r="D48" i="6"/>
  <c r="D44" i="5"/>
  <c r="D43" i="5"/>
  <c r="D47" i="4"/>
  <c r="D46" i="4"/>
  <c r="D43" i="3"/>
  <c r="D4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2" authorId="0" shapeId="0" xr:uid="{00000000-0006-0000-0200-000001000000}">
      <text>
        <r>
          <rPr>
            <sz val="10"/>
            <rFont val="Arial"/>
            <family val="2"/>
          </rPr>
          <t>Include country code, e.g. +967 7xx xxx xxx</t>
        </r>
      </text>
    </comment>
    <comment ref="D23" authorId="0" shapeId="0" xr:uid="{00000000-0006-0000-0200-000002000000}">
      <text>
        <r>
          <rPr>
            <sz val="10"/>
            <rFont val="Arial"/>
            <family val="2"/>
          </rPr>
          <t xml:space="preserve">One sentence. Example: 'Build a bilingual e-commerce site' / </t>
        </r>
        <r>
          <rPr>
            <sz val="10"/>
            <rFont val="FreeSans"/>
            <family val="2"/>
          </rPr>
          <t>جملة واحدة</t>
        </r>
        <r>
          <rPr>
            <sz val="10"/>
            <rFont val="Arial"/>
            <family val="2"/>
          </rPr>
          <t>.</t>
        </r>
      </text>
    </comment>
    <comment ref="D24" authorId="0" shapeId="0" xr:uid="{00000000-0006-0000-0200-000003000000}">
      <text>
        <r>
          <rPr>
            <sz val="10"/>
            <rFont val="Arial"/>
            <family val="2"/>
          </rPr>
          <t>Goals, audience, current state, what you have tried. 3-6 sentences.</t>
        </r>
      </text>
    </comment>
    <comment ref="D25" authorId="0" shapeId="0" xr:uid="{00000000-0006-0000-0200-000004000000}">
      <text>
        <r>
          <rPr>
            <sz val="10"/>
            <rFont val="Arial"/>
            <family val="2"/>
          </rPr>
          <t>Pick the closest. Detailed micro-spec handled in scoping call.</t>
        </r>
      </text>
    </comment>
    <comment ref="D30" authorId="0" shapeId="0" xr:uid="{00000000-0006-0000-0200-000005000000}">
      <text>
        <r>
          <rPr>
            <sz val="10"/>
            <rFont val="Arial"/>
            <family val="2"/>
          </rPr>
          <t>Kayan enforces: no SOW + no escrow = no work.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300-000001000000}">
      <text>
        <r>
          <rPr>
            <sz val="10"/>
            <rFont val="Arial"/>
            <family val="2"/>
          </rPr>
          <t>Pick closest. Granular micro-spec captured in tab 13_SPECIALIZATIONS.</t>
        </r>
      </text>
    </comment>
    <comment ref="D18" authorId="0" shapeId="0" xr:uid="{00000000-0006-0000-0300-000002000000}">
      <text>
        <r>
          <rPr>
            <sz val="10"/>
            <rFont val="Arial"/>
            <family val="2"/>
          </rPr>
          <t>From 13_SPECIALIZATIONS tab. Example: TECH-07, CRE-03, BUS-12</t>
        </r>
      </text>
    </comment>
    <comment ref="D23" authorId="0" shapeId="0" xr:uid="{00000000-0006-0000-0300-000003000000}">
      <text>
        <r>
          <rPr>
            <sz val="10"/>
            <rFont val="Arial"/>
            <family val="2"/>
          </rPr>
          <t>What you do, who you have done it for, proof of strong work.</t>
        </r>
      </text>
    </comment>
    <comment ref="D30" authorId="0" shapeId="0" xr:uid="{00000000-0006-0000-0300-000004000000}">
      <text>
        <r>
          <rPr>
            <sz val="10"/>
            <rFont val="Arial"/>
            <family val="2"/>
          </rPr>
          <t>Acceptance is mandatory to engage. Full terms sent after EOI.</t>
        </r>
      </text>
    </comment>
    <comment ref="D33" authorId="0" shapeId="0" xr:uid="{00000000-0006-0000-0300-000005000000}">
      <text>
        <r>
          <rPr>
            <sz val="10"/>
            <rFont val="Arial"/>
            <family val="2"/>
          </rPr>
          <t>Needed for T2 Skill-verified tier — unlocks the Kayan Card.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5" authorId="0" shapeId="0" xr:uid="{00000000-0006-0000-0500-000001000000}">
      <text>
        <r>
          <rPr>
            <sz val="10"/>
            <rFont val="Arial"/>
            <family val="2"/>
          </rPr>
          <t>Examples: photography, event coordination, web dev, Arabic copywriting, mentoring youth.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600-000001000000}">
      <text>
        <r>
          <rPr>
            <sz val="10"/>
            <rFont val="Arial"/>
            <family val="2"/>
          </rPr>
          <t>Academy tracks map 1-1 to the 8 domains.</t>
        </r>
      </text>
    </comment>
    <comment ref="D21" authorId="0" shapeId="0" xr:uid="{00000000-0006-0000-0600-000002000000}">
      <text>
        <r>
          <rPr>
            <sz val="10"/>
            <rFont val="Arial"/>
            <family val="2"/>
          </rPr>
          <t>Examples: 'Full-stack Next.js', 'Arabic content strategy', 'Financial modeling in Excel'.</t>
        </r>
      </text>
    </comment>
    <comment ref="D22" authorId="0" shapeId="0" xr:uid="{00000000-0006-0000-0600-000003000000}">
      <text>
        <r>
          <rPr>
            <sz val="10"/>
            <rFont val="Arial"/>
            <family val="2"/>
          </rPr>
          <t>Beginner / Intermediate / Advanced / I want to get certified</t>
        </r>
      </text>
    </comment>
    <comment ref="D25" authorId="0" shapeId="0" xr:uid="{00000000-0006-0000-0600-000004000000}">
      <text>
        <r>
          <rPr>
            <sz val="10"/>
            <rFont val="Arial"/>
            <family val="2"/>
          </rPr>
          <t>In-person at hub / Online / Hybrid</t>
        </r>
      </text>
    </comment>
    <comment ref="D27" authorId="0" shapeId="0" xr:uid="{00000000-0006-0000-0600-000005000000}">
      <text>
        <r>
          <rPr>
            <sz val="10"/>
            <rFont val="Arial"/>
            <family val="2"/>
          </rPr>
          <t>Weekday mornings / evenings / weekends</t>
        </r>
      </text>
    </comment>
    <comment ref="D28" authorId="0" shapeId="0" xr:uid="{00000000-0006-0000-0600-000006000000}">
      <text>
        <r>
          <rPr>
            <sz val="10"/>
            <rFont val="Arial"/>
            <family val="2"/>
          </rPr>
          <t>Scholarships exist — this is just to plan. Honest answer helps us help you.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4" authorId="0" shapeId="0" xr:uid="{00000000-0006-0000-0700-000001000000}">
      <text>
        <r>
          <rPr>
            <sz val="10"/>
            <rFont val="Arial"/>
            <family val="2"/>
          </rPr>
          <t>Examples: hot desk 3x/week, private office for 4, meeting room, event space for 30.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6" authorId="0" shapeId="0" xr:uid="{00000000-0006-0000-0800-000001000000}">
      <text>
        <r>
          <rPr>
            <sz val="10"/>
            <rFont val="Arial"/>
            <family val="2"/>
          </rPr>
          <t>Kayan default is prepayment to escrow. Net terms only by exception.</t>
        </r>
      </text>
    </comment>
    <comment ref="D45" authorId="0" shapeId="0" xr:uid="{00000000-0006-0000-0800-000002000000}">
      <text>
        <r>
          <rPr>
            <sz val="10"/>
            <rFont val="Arial"/>
            <family val="2"/>
          </rPr>
          <t>Uploaded via platform; file name recorded here.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900-000001000000}">
      <text>
        <r>
          <rPr>
            <sz val="10"/>
            <rFont val="Arial"/>
            <family val="2"/>
          </rPr>
          <t>National ID / Passport / Residency card</t>
        </r>
      </text>
    </comment>
    <comment ref="D28" authorId="0" shapeId="0" xr:uid="{00000000-0006-0000-0900-000002000000}">
      <text>
        <r>
          <rPr>
            <sz val="10"/>
            <rFont val="Arial"/>
            <family val="2"/>
          </rPr>
          <t>Minimum 70% to reach T2 and receive Kayan Card.</t>
        </r>
      </text>
    </comment>
    <comment ref="D32" authorId="0" shapeId="0" xr:uid="{00000000-0006-0000-0900-000003000000}">
      <text>
        <r>
          <rPr>
            <sz val="10"/>
            <rFont val="Arial"/>
            <family val="2"/>
          </rPr>
          <t>Bank transfer / InstaPay (Egypt) / Mobile wallet / Other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4" authorId="0" shapeId="0" xr:uid="{00000000-0006-0000-0A00-000001000000}">
      <text>
        <r>
          <rPr>
            <sz val="10"/>
            <rFont val="Arial"/>
            <family val="2"/>
          </rPr>
          <t>Required for youth- or vulnerable-person-facing missions.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B00-000001000000}">
      <text>
        <r>
          <rPr>
            <sz val="10"/>
            <rFont val="Arial"/>
            <family val="2"/>
          </rPr>
          <t>Hot desk / Dedicated desk / Private office / Meeting room / Event space</t>
        </r>
      </text>
    </comment>
    <comment ref="D22" authorId="0" shapeId="0" xr:uid="{00000000-0006-0000-0B00-000002000000}">
      <text>
        <r>
          <rPr>
            <sz val="10"/>
            <rFont val="Arial"/>
            <family val="2"/>
          </rPr>
          <t>Filled by handler from hub price list.</t>
        </r>
      </text>
    </comment>
    <comment ref="D24" authorId="0" shapeId="0" xr:uid="{00000000-0006-0000-0B00-000003000000}">
      <text>
        <r>
          <rPr>
            <sz val="10"/>
            <rFont val="Arial"/>
            <family val="2"/>
          </rPr>
          <t>Formula-based on unit rate × hours × seats.</t>
        </r>
      </text>
    </comment>
    <comment ref="D31" authorId="0" shapeId="0" xr:uid="{00000000-0006-0000-0B00-000004000000}">
      <text>
        <r>
          <rPr>
            <sz val="10"/>
            <rFont val="Arial"/>
            <family val="2"/>
          </rPr>
          <t>Cash at reception / Bank / Member credit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C00-000001000000}">
      <text>
        <r>
          <rPr>
            <sz val="10"/>
            <rFont val="Arial"/>
            <family val="2"/>
          </rPr>
          <t>In-person / Online / Hybrid</t>
        </r>
      </text>
    </comment>
    <comment ref="D23" authorId="0" shapeId="0" xr:uid="{00000000-0006-0000-0C00-000002000000}">
      <text>
        <r>
          <rPr>
            <sz val="10"/>
            <rFont val="Arial"/>
            <family val="2"/>
          </rPr>
          <t>Formula = Full fee × (1 − Scholarship%).</t>
        </r>
      </text>
    </comment>
    <comment ref="D24" authorId="0" shapeId="0" xr:uid="{00000000-0006-0000-0C00-000003000000}">
      <text>
        <r>
          <rPr>
            <sz val="10"/>
            <rFont val="Arial"/>
            <family val="2"/>
          </rPr>
          <t>Example: 3 installments on days 1, 30, 60.</t>
        </r>
      </text>
    </comment>
  </commentList>
</comments>
</file>

<file path=xl/sharedStrings.xml><?xml version="1.0" encoding="utf-8"?>
<sst xmlns="http://schemas.openxmlformats.org/spreadsheetml/2006/main" count="1946" uniqueCount="1054">
  <si>
    <t>KAYAN · PRE-LAUNCH FORMS PACK
حزمة نماذج التسجيل قبل الإطلاق</t>
  </si>
  <si>
    <t>Doc ID: KAY-TECH-FORMS-001  ·  Version: v1.0 FINAL  ·  Date: 19 Apr 2026  ·  Owner: CEO — Maher  ·  Status: APPROVED FOR CAPTURE</t>
  </si>
  <si>
    <t>WORKBOOK NAVIGATION / دليل الملف</t>
  </si>
  <si>
    <t>#</t>
  </si>
  <si>
    <t>Tab</t>
  </si>
  <si>
    <t>Purpose (EN)</t>
  </si>
  <si>
    <t>Arabic / العربية</t>
  </si>
  <si>
    <t>Audience</t>
  </si>
  <si>
    <t>Channel</t>
  </si>
  <si>
    <t>01</t>
  </si>
  <si>
    <t>01_CONFIG</t>
  </si>
  <si>
    <t>Master config: FX, codes, dropdowns, schema registry</t>
  </si>
  <si>
    <t>الإعدادات الرئيسية</t>
  </si>
  <si>
    <t>Internal / Tech</t>
  </si>
  <si>
    <t>All</t>
  </si>
  <si>
    <t>02</t>
  </si>
  <si>
    <t>02_EOI_CLIENT</t>
  </si>
  <si>
    <t>Business / client Expression of Interest — 15 fields</t>
  </si>
  <si>
    <t>نموذج اهتمام العميل</t>
  </si>
  <si>
    <t>External</t>
  </si>
  <si>
    <t>Web + WA</t>
  </si>
  <si>
    <t>03</t>
  </si>
  <si>
    <t>03_EOI_FREELANCER</t>
  </si>
  <si>
    <t>Talent EOI — skills tier, micro-spec, availability</t>
  </si>
  <si>
    <t>نموذج اهتمام المستقل</t>
  </si>
  <si>
    <t>04</t>
  </si>
  <si>
    <t>04_EOI_BUSINESS</t>
  </si>
  <si>
    <t>SME / partner business EOI — hiring + space + academy</t>
  </si>
  <si>
    <t>نموذج الشركة الشريكة</t>
  </si>
  <si>
    <t>Web</t>
  </si>
  <si>
    <t>05</t>
  </si>
  <si>
    <t>05_EOI_VOLUNTEER</t>
  </si>
  <si>
    <t>FAEAN volunteer EOI — cause, availability, skills</t>
  </si>
  <si>
    <t>نموذج المتطوع فعان</t>
  </si>
  <si>
    <t>06</t>
  </si>
  <si>
    <t>06_EOI_ACADEMY</t>
  </si>
  <si>
    <t>Academy learner EOI — track, level, availability</t>
  </si>
  <si>
    <t>نموذج متعلم الأكاديمية</t>
  </si>
  <si>
    <t>07</t>
  </si>
  <si>
    <t>07_EOI_HUB</t>
  </si>
  <si>
    <t>Hub space enquiry — desk, room, event, membership</t>
  </si>
  <si>
    <t>نموذج الاستفسار عن المساحة</t>
  </si>
  <si>
    <t>08</t>
  </si>
  <si>
    <t>08_REG_CLIENT_FULL</t>
  </si>
  <si>
    <t>Full client registration (activated 01 Jun) — KYC</t>
  </si>
  <si>
    <t>تسجيل كامل للعميل</t>
  </si>
  <si>
    <t>Platform</t>
  </si>
  <si>
    <t>09</t>
  </si>
  <si>
    <t>09_REG_TALENT_FULL</t>
  </si>
  <si>
    <t>Full talent registration — KYC + portfolio + score</t>
  </si>
  <si>
    <t>تسجيل كامل للمستقل</t>
  </si>
  <si>
    <t>10</t>
  </si>
  <si>
    <t>10_REG_VOLUNTEER_FULL</t>
  </si>
  <si>
    <t>Full volunteer registration — background + consent</t>
  </si>
  <si>
    <t>تسجيل كامل للمتطوع</t>
  </si>
  <si>
    <t>11</t>
  </si>
  <si>
    <t>11_HUB_BOOKING</t>
  </si>
  <si>
    <t>Space booking form — date, time, seat, invoice</t>
  </si>
  <si>
    <t>نموذج حجز المساحة</t>
  </si>
  <si>
    <t>12</t>
  </si>
  <si>
    <t>12_ACADEMY_ENROLL</t>
  </si>
  <si>
    <t>Academy cohort enrollment — payment + schedule</t>
  </si>
  <si>
    <t>تسجيل دورة الأكاديمية</t>
  </si>
  <si>
    <t>13</t>
  </si>
  <si>
    <t>13_SPECIALIZATIONS</t>
  </si>
  <si>
    <t>60 micro-specializations taxonomy (8 domains)</t>
  </si>
  <si>
    <t>شجرة التخصصات الدقيقة</t>
  </si>
  <si>
    <t>Reference</t>
  </si>
  <si>
    <t>14</t>
  </si>
  <si>
    <t>14_WHATSAPP_SCRIPTS</t>
  </si>
  <si>
    <t>Bilingual WhatsApp flows — 6 intake templates</t>
  </si>
  <si>
    <t>سكربتات واتساب</t>
  </si>
  <si>
    <t>Ops + Tech</t>
  </si>
  <si>
    <t>WA</t>
  </si>
  <si>
    <t>15</t>
  </si>
  <si>
    <t>15_RESPONSE_TEMPLATES</t>
  </si>
  <si>
    <t>Auto-reply templates AR/EN — EOI, booking, follow-up</t>
  </si>
  <si>
    <t>قوالب الرد التلقائي</t>
  </si>
  <si>
    <t>Ops</t>
  </si>
  <si>
    <t>Email + WA</t>
  </si>
  <si>
    <t>16</t>
  </si>
  <si>
    <t>16_AUDIT_LOG</t>
  </si>
  <si>
    <t>Append-only audit log — every EOI submission tracked</t>
  </si>
  <si>
    <t>سجل التدقيق</t>
  </si>
  <si>
    <t>Internal / Legal</t>
  </si>
  <si>
    <t>System</t>
  </si>
  <si>
    <t>17</t>
  </si>
  <si>
    <t>17_KPI_DASH</t>
  </si>
  <si>
    <t>Pre-launch KPI dashboard — targets vs actuals</t>
  </si>
  <si>
    <t>لوحة مؤشرات الأداء</t>
  </si>
  <si>
    <t>CEO + Ops</t>
  </si>
  <si>
    <t>Internal</t>
  </si>
  <si>
    <t>LEGEND / دليل الألوان</t>
  </si>
  <si>
    <t>Blue text</t>
  </si>
  <si>
    <t>Hardcoded inputs — the capture fields users fill in</t>
  </si>
  <si>
    <t>Black italic</t>
  </si>
  <si>
    <t>Formulas and calculations</t>
  </si>
  <si>
    <t>Green text</t>
  </si>
  <si>
    <t>Cross-sheet references (e.g., CONFIG lookups)</t>
  </si>
  <si>
    <t>Yellow fill</t>
  </si>
  <si>
    <t>Key attention cells — assumptions, targets, limits</t>
  </si>
  <si>
    <t>Red asterisk (comment)</t>
  </si>
  <si>
    <t>Required field — form cannot submit without it</t>
  </si>
  <si>
    <t>COMMISSIONING &amp; SIGN-OFF / اعتماد الوثيقة</t>
  </si>
  <si>
    <t>Commissioned by:</t>
  </si>
  <si>
    <t>Maher — CEO, Kayan Innovation LLC</t>
  </si>
  <si>
    <t>Prepared by:</t>
  </si>
  <si>
    <t>Kayan Tech OS Authoring — in line with KAY-TECH-OS-008 v8.0</t>
  </si>
  <si>
    <t>Effective from:</t>
  </si>
  <si>
    <t>19 Apr 2026 — EOI capture opens 25 Apr 2026</t>
  </si>
  <si>
    <t>MASTER CONFIGURATION / الإعدادات الرئيسية</t>
  </si>
  <si>
    <t>Single source of truth. Do not hardcode dropdowns anywhere else — always point to the named ranges in this sheet.</t>
  </si>
  <si>
    <t>A. CONSTITUTIONAL ANCHORS — HARDCODED</t>
  </si>
  <si>
    <t>Key</t>
  </si>
  <si>
    <t>Value</t>
  </si>
  <si>
    <t>Purpose / ملاحظة</t>
  </si>
  <si>
    <t>FX_RATE_USD_YER</t>
  </si>
  <si>
    <t>YER per 1 USD — locked per SHA, non-negotiable</t>
  </si>
  <si>
    <t>OPEX_CEILING_USD_MO</t>
  </si>
  <si>
    <t>Total monthly OPEX ceiling</t>
  </si>
  <si>
    <t>TECH_SUBCEILING_USD_MO</t>
  </si>
  <si>
    <t>Tech sub-ceiling within OPEX</t>
  </si>
  <si>
    <t>ESCROW_LIABILITY_PCT</t>
  </si>
  <si>
    <t>2170 rule — liability reserve</t>
  </si>
  <si>
    <t>ESCROW_SETTLE_PCT</t>
  </si>
  <si>
    <t>2170 rule — contractor/pod settlement</t>
  </si>
  <si>
    <t>ESCROW_FEE_PCT</t>
  </si>
  <si>
    <t>2170 rule — Kayan platform fee</t>
  </si>
  <si>
    <t>VAT_PCT</t>
  </si>
  <si>
    <t>Yemen VAT (n/a currently; kept for future)</t>
  </si>
  <si>
    <t>WHT_PCT</t>
  </si>
  <si>
    <t>Withholding tax — currently accrued, remit at Tadamon opening</t>
  </si>
  <si>
    <t>B. CODE REGISTRIES — used across all tabs (named ranges)</t>
  </si>
  <si>
    <t>Countries</t>
  </si>
  <si>
    <t>Currencies</t>
  </si>
  <si>
    <t>Intake Channels</t>
  </si>
  <si>
    <t>EOI Status</t>
  </si>
  <si>
    <t>Verification Tiers</t>
  </si>
  <si>
    <t>Domains</t>
  </si>
  <si>
    <t>Yemen / اليمن</t>
  </si>
  <si>
    <t>USD</t>
  </si>
  <si>
    <t>Web form</t>
  </si>
  <si>
    <t>Received</t>
  </si>
  <si>
    <t>T0 — Unverified</t>
  </si>
  <si>
    <t>1 · Technology</t>
  </si>
  <si>
    <t>Egypt / مصر</t>
  </si>
  <si>
    <t>YER</t>
  </si>
  <si>
    <t>WhatsApp</t>
  </si>
  <si>
    <t>Contacted</t>
  </si>
  <si>
    <t>T1 — ID verified</t>
  </si>
  <si>
    <t>2 · Creative &amp; Media</t>
  </si>
  <si>
    <t>Saudi Arabia / السعودية</t>
  </si>
  <si>
    <t>SAR</t>
  </si>
  <si>
    <t>In-person (Hub)</t>
  </si>
  <si>
    <t>Qualified</t>
  </si>
  <si>
    <t>T2 — Skill verified</t>
  </si>
  <si>
    <t>3 · Business &amp; Finance</t>
  </si>
  <si>
    <t>UAE / الإمارات</t>
  </si>
  <si>
    <t>AED</t>
  </si>
  <si>
    <t>Referral</t>
  </si>
  <si>
    <t>Scheduled</t>
  </si>
  <si>
    <t>T3 — Project-proven</t>
  </si>
  <si>
    <t>4 · Training &amp; Education</t>
  </si>
  <si>
    <t>Jordan / الأردن</t>
  </si>
  <si>
    <t>EGP</t>
  </si>
  <si>
    <t>Social (IG/FB/X/LI)</t>
  </si>
  <si>
    <t>Converted</t>
  </si>
  <si>
    <t>T4 — Elite (Kayan Select)</t>
  </si>
  <si>
    <t>5 · Research &amp; Analysis</t>
  </si>
  <si>
    <t>Oman / عُمان</t>
  </si>
  <si>
    <t>EUR</t>
  </si>
  <si>
    <t>Academy</t>
  </si>
  <si>
    <t>Declined</t>
  </si>
  <si>
    <t>6 · Consulting &amp; Advisory</t>
  </si>
  <si>
    <t>Kuwait / الكويت</t>
  </si>
  <si>
    <t>GBP</t>
  </si>
  <si>
    <t>Event / Workshop</t>
  </si>
  <si>
    <t>On hold</t>
  </si>
  <si>
    <t>7 · Physical &amp; Field</t>
  </si>
  <si>
    <t>Bahrain / البحرين</t>
  </si>
  <si>
    <t>Other</t>
  </si>
  <si>
    <t>Email</t>
  </si>
  <si>
    <t>Duplicate</t>
  </si>
  <si>
    <t>8 · Specialist</t>
  </si>
  <si>
    <t>Qatar / قطر</t>
  </si>
  <si>
    <t>Phone</t>
  </si>
  <si>
    <t>Spam</t>
  </si>
  <si>
    <t>Lebanon / لبنان</t>
  </si>
  <si>
    <t>Partner org</t>
  </si>
  <si>
    <t>Iraq / العراق</t>
  </si>
  <si>
    <t>Sudan / السودان</t>
  </si>
  <si>
    <t>Morocco / المغرب</t>
  </si>
  <si>
    <t>Tunisia / تونس</t>
  </si>
  <si>
    <t>Algeria / الجزائر</t>
  </si>
  <si>
    <t>Palestine / فلسطين</t>
  </si>
  <si>
    <t>Turkey / تركيا</t>
  </si>
  <si>
    <t>UK / المملكة المتحدة</t>
  </si>
  <si>
    <t>USA / الولايات المتحدة</t>
  </si>
  <si>
    <t>Germany / ألمانيا</t>
  </si>
  <si>
    <t>Other / أخرى</t>
  </si>
  <si>
    <t>C. ADDITIONAL LOOKUPS</t>
  </si>
  <si>
    <t>YesNo</t>
  </si>
  <si>
    <t>Genders</t>
  </si>
  <si>
    <t>AgeBands</t>
  </si>
  <si>
    <t>Availability</t>
  </si>
  <si>
    <t>Yes / نعم</t>
  </si>
  <si>
    <t>Female / أنثى</t>
  </si>
  <si>
    <t>Under 18</t>
  </si>
  <si>
    <t>Full-time (40 hrs/wk)</t>
  </si>
  <si>
    <t>No / لا</t>
  </si>
  <si>
    <t>Male / ذكر</t>
  </si>
  <si>
    <t>18-24</t>
  </si>
  <si>
    <t>Part-time (20 hrs/wk)</t>
  </si>
  <si>
    <t>Prefer not to say / أفضل عدم القول</t>
  </si>
  <si>
    <t>25-34</t>
  </si>
  <si>
    <t>Evenings / weekends</t>
  </si>
  <si>
    <t>35-44</t>
  </si>
  <si>
    <t>Project-based</t>
  </si>
  <si>
    <t>45-54</t>
  </si>
  <si>
    <t>Ad-hoc</t>
  </si>
  <si>
    <t>55+</t>
  </si>
  <si>
    <t>BudgetBands</t>
  </si>
  <si>
    <t>Industries</t>
  </si>
  <si>
    <t>OrgSizes</t>
  </si>
  <si>
    <t>Languages</t>
  </si>
  <si>
    <t>Under $500</t>
  </si>
  <si>
    <t>Technology / IT</t>
  </si>
  <si>
    <t>Sole trader</t>
  </si>
  <si>
    <t>Arabic native</t>
  </si>
  <si>
    <t>$500-$2,000</t>
  </si>
  <si>
    <t>Finance / Banking</t>
  </si>
  <si>
    <t>2-10 staff</t>
  </si>
  <si>
    <t>English fluent</t>
  </si>
  <si>
    <t>$2,000-$10,000</t>
  </si>
  <si>
    <t>Healthcare</t>
  </si>
  <si>
    <t>11-50 staff</t>
  </si>
  <si>
    <t>Arabic + English</t>
  </si>
  <si>
    <t>$10,000-$50,000</t>
  </si>
  <si>
    <t>Education</t>
  </si>
  <si>
    <t>51-250 staff</t>
  </si>
  <si>
    <t>French</t>
  </si>
  <si>
    <t>$50,000+</t>
  </si>
  <si>
    <t>Manufacturing</t>
  </si>
  <si>
    <t>251+ staff</t>
  </si>
  <si>
    <t>Undecided</t>
  </si>
  <si>
    <t>Retail / E-com</t>
  </si>
  <si>
    <t>Media / Creative</t>
  </si>
  <si>
    <t>Government / NGO</t>
  </si>
  <si>
    <t>Logistics</t>
  </si>
  <si>
    <t>Energy</t>
  </si>
  <si>
    <t>Agriculture</t>
  </si>
  <si>
    <t>CLIENT — EXPRESSION OF INTEREST
نموذج اهتمام العميل التجاري</t>
  </si>
  <si>
    <t>Sheet code: CL  ·  Version: v1.0  ·  Bilingual AR/EN  ·  Mobile + WhatsApp compatible  ·  Constitutional FX: 1 USD = 1,700 YER</t>
  </si>
  <si>
    <t>Thank you for considering Kayan. This short form starts the conversation. No commitment yet — we simply want to understand what you need so we can route you to the right pod and schedule a scoping call within 48 hours.
شكراً لاهتمامك بكيان. هذا نموذج مختصر لبدء الحوار — لا يُلزمك بشيء. نود فقط أن نفهم ما تحتاج إليه لنوجهك إلى الفريق المناسب وننظم لقاء توضيحي خلال 48 ساعة.</t>
  </si>
  <si>
    <t>A. Contact / بيانات التواصل</t>
  </si>
  <si>
    <t>Full name
الاسم الكامل</t>
  </si>
  <si>
    <t>Required</t>
  </si>
  <si>
    <t>Role / position
المنصب</t>
  </si>
  <si>
    <t>Company name
اسم الشركة</t>
  </si>
  <si>
    <t>Work email
البريد الإلكتروني</t>
  </si>
  <si>
    <t>Mobile / WhatsApp
الجوال / واتساب</t>
  </si>
  <si>
    <t>Country
الدولة</t>
  </si>
  <si>
    <t>City
المدينة</t>
  </si>
  <si>
    <t>Preferred language
اللغة المفضلة</t>
  </si>
  <si>
    <t>Preferred contact channel
القناة المفضلة للتواصل</t>
  </si>
  <si>
    <t>B. Company / عن الشركة</t>
  </si>
  <si>
    <t>Industry
القطاع</t>
  </si>
  <si>
    <t>Company size
حجم الشركة</t>
  </si>
  <si>
    <t>Website (if any)
الموقع الإلكتروني (إن وجد)</t>
  </si>
  <si>
    <t>Optional</t>
  </si>
  <si>
    <t>Is your company registered?
هل شركتك مسجلة رسمياً؟</t>
  </si>
  <si>
    <t>C. Project &amp; need / المشروع والحاجة</t>
  </si>
  <si>
    <t>Headline: what do you want to get done?
عنوان مختصر: ما الذي تريد إنجازه؟</t>
  </si>
  <si>
    <t>Describe the project / problem
وصف المشروع / المشكلة</t>
  </si>
  <si>
    <t>Core specialization needed
التخصص الأساسي المطلوب</t>
  </si>
  <si>
    <t>Budget band
شريحة الميزانية</t>
  </si>
  <si>
    <t>Preferred currency
العملة المفضلة</t>
  </si>
  <si>
    <t>Desired start date
تاريخ البدء المطلوب</t>
  </si>
  <si>
    <t>Desired finish date
تاريخ الإنجاز المطلوب</t>
  </si>
  <si>
    <t>Must have escrow protection (2170)?
هل تحتاج حماية الضمان (قاعدة 2170)؟</t>
  </si>
  <si>
    <t>D. How did you hear about us? / كيف سمعت عنا؟</t>
  </si>
  <si>
    <t>Channel
القناة</t>
  </si>
  <si>
    <t>Referred by (name, if any)
اسم من أوصى بنا (إن وُجد)</t>
  </si>
  <si>
    <t>CONSENT &amp; SUBMISSION META / الموافقة وبيانات الإرسال</t>
  </si>
  <si>
    <t>☐</t>
  </si>
  <si>
    <t>I consent to Kayan storing my data for EOI processing.
أوافق على احتفاظ كيان ببياناتي لمعالجة اهتمامي.</t>
  </si>
  <si>
    <t>I agree to be contacted by Kayan through the channel I specified.
أوافق على أن تتواصل كيان معي عبر القناة التي اخترتها.</t>
  </si>
  <si>
    <t>I confirm that all information provided is accurate to the best of my knowledge.
أؤكد أن جميع المعلومات دقيقة حسب معرفتي.</t>
  </si>
  <si>
    <t>I am happy to receive updates (newsletter, events, opportunities).
أرغب في تلقي التحديثات (النشرة والأحداث والفرص).</t>
  </si>
  <si>
    <t>INTERNAL USE ONLY / لاستعمال الفريق فقط</t>
  </si>
  <si>
    <t>Submission ID (auto)
معرّف الطلب</t>
  </si>
  <si>
    <t>Received timestamp
تاريخ الاستلام</t>
  </si>
  <si>
    <t>Intake channel
قناة الاستلام</t>
  </si>
  <si>
    <t>Assigned handler
الموظف المسؤول</t>
  </si>
  <si>
    <t>Status
الحالة</t>
  </si>
  <si>
    <t>Next action + due date
الإجراء التالي وتاريخه</t>
  </si>
  <si>
    <t>Notes / comments
ملاحظات</t>
  </si>
  <si>
    <t>✦  PRE-LAUNCH TARGET: 30 qualified client EOIs by 31 May 2026  ·  Measured weekly on 17_KPI_DASH</t>
  </si>
  <si>
    <t>FREELANCER / TALENT — EXPRESSION OF INTEREST
نموذج اهتمام المستقل / الموهبة</t>
  </si>
  <si>
    <t>Sheet code: TL  ·  Version: v1.0  ·  Bilingual AR/EN  ·  Mobile + WhatsApp compatible  ·  Constitutional FX: 1 USD = 1,700 YER</t>
  </si>
  <si>
    <t>Kayan is building a verified, escrow-protected talent network. This EOI is the doorway. We do not hide behind forms — once you submit, a human handler will reach you within 48 hours to walk you through verification and, if you are a fit, issue your Kayan Card (T2).
كيان تبني شبكة موثوقة من المستقلين بحماية ضمان. هذا النموذج هو البداية. بمجرد إرسال اهتمامك سيتواصل معك أحد أعضاء الفريق خلال 48 ساعة لشرح خطوات التحقق، وإن كنتَ مناسباً نُصدر لك بطاقة كيان (المستوى T2).</t>
  </si>
  <si>
    <t>A. Personal / بياناتك</t>
  </si>
  <si>
    <t>Gender
الجنس</t>
  </si>
  <si>
    <t>Age band
الفئة العمرية</t>
  </si>
  <si>
    <t>Email
البريد الإلكتروني</t>
  </si>
  <si>
    <t>Country of residence
بلد الإقامة</t>
  </si>
  <si>
    <t>Working languages
لغات العمل</t>
  </si>
  <si>
    <t>B. Skill &amp; specialization / المهارة والتخصص</t>
  </si>
  <si>
    <t>Primary domain
القطاع الأساسي</t>
  </si>
  <si>
    <t>Top 3 micro-specializations (codes)
أبرز 3 تخصصات دقيقة (الرموز)</t>
  </si>
  <si>
    <t>Years of professional experience
سنوات الخبرة المهنية</t>
  </si>
  <si>
    <t>Current title / role
المسمى الوظيفي الحالي</t>
  </si>
  <si>
    <t>Portfolio / GitHub / Behance URL
رابط أعمالك</t>
  </si>
  <si>
    <t>LinkedIn URL
رابط لينكدإن</t>
  </si>
  <si>
    <t>Short bio (3-5 sentences)
نبذة تعريفية (3-5 جُمل)</t>
  </si>
  <si>
    <t>C. Availability &amp; rate / التوفر والأجر</t>
  </si>
  <si>
    <t>Availability
التوفر</t>
  </si>
  <si>
    <t>Hours per week you can commit
عدد الساعات أسبوعياً</t>
  </si>
  <si>
    <t>Hourly rate (in preferred currency)
السعر بالساعة</t>
  </si>
  <si>
    <t>Open to pod / team collaboration?
هل ترغب بالعمل ضمن فريق؟</t>
  </si>
  <si>
    <t>Ready to accept escrow terms (2170)?
هل تقبل شروط الضمان (2170)؟</t>
  </si>
  <si>
    <t>D. Verification prep / تمهيد التحقق</t>
  </si>
  <si>
    <t>Government-issued ID available?
هل لديك هوية رسمية؟</t>
  </si>
  <si>
    <t>Willing to complete a short skill test?
هل توافق على اختبار مهاري قصير؟</t>
  </si>
  <si>
    <t>References available on request?
هل بالإمكان تقديم مراجع؟</t>
  </si>
  <si>
    <t>E. Discovery / كيف عرفت كيان</t>
  </si>
  <si>
    <t>Referred by
بواسطة</t>
  </si>
  <si>
    <t>✦  PRE-LAUNCH TARGET: 150 talent EOIs / 50 T2 verified by 31 May 2026  ·  Measured weekly on 17_KPI_DASH</t>
  </si>
  <si>
    <t>BUSINESS / PARTNER — EXPRESSION OF INTEREST
نموذج اهتمام الشركات والشركاء</t>
  </si>
  <si>
    <t>Sheet code: BZ  ·  Version: v1.0  ·  Bilingual AR/EN  ·  Mobile + WhatsApp compatible  ·  Constitutional FX: 1 USD = 1,700 YER</t>
  </si>
  <si>
    <t>Kayan is a complete business system — managed delivery, verified talent pods, co-working hub, and academy. This form helps us see which of these matters most to your company so we can send the most relevant package, not a generic pitch.
كيان نظام أعمال متكامل: تنفيذ مُدار، فرق موهبة موثّقة، مساحة عمل، أكاديمية تدريب. هذا النموذج يساعدنا على إرسال الحزمة الأنسب لشركتك فعلاً — لا عرضاً عاماً.</t>
  </si>
  <si>
    <t>A. Contact / جهة التواصل</t>
  </si>
  <si>
    <t>Decision-maker full name
الاسم الكامل لصاحب القرار</t>
  </si>
  <si>
    <t>Role
المنصب</t>
  </si>
  <si>
    <t>B. Company profile / ملف الشركة</t>
  </si>
  <si>
    <t>Year founded
سنة التأسيس</t>
  </si>
  <si>
    <t>Website
الموقع الإلكتروني</t>
  </si>
  <si>
    <t>One-line business description
وصف الشركة في سطر</t>
  </si>
  <si>
    <t>C. Interest in Kayan / الاهتمام بكيان</t>
  </si>
  <si>
    <t>Interested in managed delivery (projects)?
مهتم بخدمة التنفيذ المُدار؟</t>
  </si>
  <si>
    <t>Interested in hiring talent pods?
مهتم بتوظيف فرق عمل (Pods)؟</t>
  </si>
  <si>
    <t>Interested in hub / co-working space?
مهتم بمساحة العمل المشتركة؟</t>
  </si>
  <si>
    <t>Interested in Academy training for your team?
مهتم بتدريب الفريق عبر الأكاديمية؟</t>
  </si>
  <si>
    <t>Interested in Kayan as a supplier / vendor?
مهتم بكيان كمورّد / متعاقد؟</t>
  </si>
  <si>
    <t>Interested in co-marketing / partnership?
مهتم بالشراكة التسويقية؟</t>
  </si>
  <si>
    <t>Annual spend estimate for managed services (USD)
الإنفاق السنوي التقديري على الخدمات ($)</t>
  </si>
  <si>
    <t>D. Need detail / تفاصيل الحاجة</t>
  </si>
  <si>
    <t>What are your top 3 priorities in the next 6 months?
ما أبرز ثلاث أولويات خلال 6 أشهر؟</t>
  </si>
  <si>
    <t>Are there active projects we can quote on now?
هل هناك مشاريع نشطة يمكننا تسعيرها الآن؟</t>
  </si>
  <si>
    <t>✦  PRE-LAUNCH TARGET: 40 business / partner EOIs by 31 May 2026  ·  Measured weekly on 17_KPI_DASH</t>
  </si>
  <si>
    <t>FAEAN VOLUNTEER — EXPRESSION OF INTEREST
نموذج اهتمام متطوع فعّان</t>
  </si>
  <si>
    <t>Sheet code: VL  ·  Version: v1.0  ·  Bilingual AR/EN  ·  Mobile + WhatsApp compatible  ·  Constitutional FX: 1 USD = 1,700 YER</t>
  </si>
  <si>
    <t>FAEAN is Kayan's community-impact arm — volunteers who turn goodwill into measurable action. Tell us which causes move you, what you can offer, and how much time you can give. Every volunteer is matched to a mission where their specific skills land.
فعّان هو الذراع المجتمعية لكيان — متطوعون يحوّلون النية الطيبة إلى أثر قابل للقياس. أخبرنا بالقضايا التي تهمك، وماذا يمكنك تقديمه، وكم من الوقت لديك. كل متطوع يُطابق مع مهمة تتناسب مع مهاراته.</t>
  </si>
  <si>
    <t>City / district
المدينة / الحي</t>
  </si>
  <si>
    <t>B. Causes you care about / القضايا التي تهمك</t>
  </si>
  <si>
    <t>Education &amp; literacy
التعليم ومحو الأمية</t>
  </si>
  <si>
    <t>Youth employment
توظيف الشباب</t>
  </si>
  <si>
    <t>Women's economic empowerment
تمكين المرأة اقتصادياً</t>
  </si>
  <si>
    <t>Health &amp; wellbeing
الصحة والعافية</t>
  </si>
  <si>
    <t>Environment / sustainability
البيئة والاستدامة</t>
  </si>
  <si>
    <t>Community building &amp; events
بناء المجتمع والفعاليات</t>
  </si>
  <si>
    <t>Emergency / humanitarian response
الاستجابة الإنسانية والطوارئ</t>
  </si>
  <si>
    <t>C. Skills you can offer / المهارات التي يمكنك تقديمها</t>
  </si>
  <si>
    <t>Primary skill domain
مجال المهارة الأساسي</t>
  </si>
  <si>
    <t>Specific skills (brief list)
المهارات المحددة (قائمة مختصرة)</t>
  </si>
  <si>
    <t>Languages
اللغات</t>
  </si>
  <si>
    <t>D. Availability / التوفر</t>
  </si>
  <si>
    <t>Hours per month you can commit
عدد الساعات شهرياً</t>
  </si>
  <si>
    <t>Availability pattern
نمط التوفر</t>
  </si>
  <si>
    <t>Open to remote, in-person, or both?
عن بعد، حضوري، أم كلاهما؟</t>
  </si>
  <si>
    <t>When can you start?
متى يمكنك البدء؟</t>
  </si>
  <si>
    <t>E. Commitment &amp; consent / الالتزام والموافقة</t>
  </si>
  <si>
    <t>Why do you want to volunteer with FAEAN?
لماذا ترغب بالتطوع مع فعّان؟</t>
  </si>
  <si>
    <t>Consent to background check (for youth-facing roles)?
موافقة على التحقق (للأدوار المتعلقة بالشباب)</t>
  </si>
  <si>
    <t>Emergency contact name
اسم جهة الاتصال في الطوارئ</t>
  </si>
  <si>
    <t>Emergency contact phone
هاتف جهة الاتصال في الطوارئ</t>
  </si>
  <si>
    <t>F. Discovery / كيف عرفت فعان</t>
  </si>
  <si>
    <t>✦  PRE-LAUNCH TARGET: 50 volunteer EOIs by 31 May 2026  ·  Measured weekly on 17_KPI_DASH</t>
  </si>
  <si>
    <t>ACADEMY LEARNER — EXPRESSION OF INTEREST
نموذج اهتمام متعلم الأكاديمية</t>
  </si>
  <si>
    <t>Sheet code: AC  ·  Version: v1.0  ·  Bilingual AR/EN  ·  Mobile + WhatsApp compatible  ·  Constitutional FX: 1 USD = 1,700 YER</t>
  </si>
  <si>
    <t>Kayan Academy is practice-first: every track ends with a real-world project that pays, not a slide deck. Tell us where you are and where you want to go — we will match you to a cohort or a self-paced path.
أكاديمية كيان تركز على التطبيق: كل مسار ينتهي بمشروع عملي مُدفَّع الأجر — لا بشرائح فقط. أخبرنا بمكانك الحالي ووجهتك، وسنرشدك إلى الدفعة أو المسار المناسب.</t>
  </si>
  <si>
    <t>B. Background / الخلفية</t>
  </si>
  <si>
    <t>Current status (student / employed / job-seeking / other)
الوضع الحالي</t>
  </si>
  <si>
    <t>Education level
المستوى التعليمي</t>
  </si>
  <si>
    <t>C. Track of interest / المسار المطلوب</t>
  </si>
  <si>
    <t>Specific track / course interest
المسار أو الدورة المحددة</t>
  </si>
  <si>
    <t>Current skill level in this area
المستوى الحالي</t>
  </si>
  <si>
    <t>Goal from the course
هدفك من الدورة</t>
  </si>
  <si>
    <t>D. Logistics / الترتيبات</t>
  </si>
  <si>
    <t>Preferred format
الصيغة المفضلة</t>
  </si>
  <si>
    <t>Hours per week you can dedicate
عدد الساعات أسبوعياً</t>
  </si>
  <si>
    <t>Preferred schedule
الجدول المفضل</t>
  </si>
  <si>
    <t>Can you pay for the course?
هل يمكنك دفع رسوم الدورة؟</t>
  </si>
  <si>
    <t>Need scholarship / payment plan?
تحتاج منحة أو خطة دفع؟</t>
  </si>
  <si>
    <t>E. Discovery / كيف عرفت الأكاديمية</t>
  </si>
  <si>
    <t>✦  PRE-LAUNCH TARGET: 40 academy EOIs by 31 May 2026  ·  Measured weekly on 17_KPI_DASH</t>
  </si>
  <si>
    <t>HUB / CO-WORKING SPACE — EXPRESSION OF INTEREST
نموذج الاستفسار عن مساحة كيان</t>
  </si>
  <si>
    <t>Sheet code: HB  ·  Version: v1.0  ·  Bilingual AR/EN  ·  Mobile + WhatsApp compatible  ·  Constitutional FX: 1 USD = 1,700 YER</t>
  </si>
  <si>
    <t>Kayan Hub is more than a desk — it is the quiet, beautiful place where the work actually gets done. Tell us how you want to use it and we will hold your preferred setup for the opening week.
مساحة كيان ليست مجرد مكتب — بل هي المكان الهادئ الجميل حيث يُنجَز العمل فعلاً. أخبرنا كيف تريد استخدامها وسنحجز لك الإعداد المفضل خلال أسبوع الافتتاح.</t>
  </si>
  <si>
    <t>Individual or company?
فرد أم شركة؟</t>
  </si>
  <si>
    <t>Company / team name (if any)
اسم الفريق أو الشركة</t>
  </si>
  <si>
    <t>B. Use of the hub / استخدام المساحة</t>
  </si>
  <si>
    <t>What are you looking for?
ما الذي تبحث عنه؟</t>
  </si>
  <si>
    <t>Hot desk needed?
هل تحتاج مكتب مفتوح؟</t>
  </si>
  <si>
    <t>Dedicated desk needed?
مكتب مخصص؟</t>
  </si>
  <si>
    <t>Private office needed?
مكتب خاص؟</t>
  </si>
  <si>
    <t>Meeting room needed?
قاعة اجتماعات؟</t>
  </si>
  <si>
    <t>Event / workshop space needed?
مساحة فعالية؟</t>
  </si>
  <si>
    <t>Mailing / registered address service?
خدمة عنوان بريدي؟</t>
  </si>
  <si>
    <t>Number of people / seats
عدد الأشخاص أو المقاعد</t>
  </si>
  <si>
    <t>C. Timing &amp; frequency / التوقيت والتكرار</t>
  </si>
  <si>
    <t>Preferred start date
تاريخ البدء المفضل</t>
  </si>
  <si>
    <t>Frequency (days/week)
التكرار (أيام/أسبوع)</t>
  </si>
  <si>
    <t>Duration (one-off / weekly / monthly / yearly)
المدة</t>
  </si>
  <si>
    <t>Preferred hours
الأوقات المفضلة</t>
  </si>
  <si>
    <t>D. Budget &amp; extras / الميزانية والإضافات</t>
  </si>
  <si>
    <t>Budget band (USD/month)
الميزانية ($ شهرياً)</t>
  </si>
  <si>
    <t>Need printing/scanning?
تحتاج طباعة/مسح ضوئي؟</t>
  </si>
  <si>
    <t>Need F&amp;B (café package)?
تحتاج خدمة المقهى؟</t>
  </si>
  <si>
    <t>Need after-hours access?
وصول خارج ساعات العمل؟</t>
  </si>
  <si>
    <t>E. Discovery / كيف عرفت المساحة</t>
  </si>
  <si>
    <t>✦  PRE-LAUNCH TARGET: 20 hub EOIs / 8 anchor bookings by 31 May 2026  ·  Measured weekly on 17_KPI_DASH</t>
  </si>
  <si>
    <t>CLIENT — FULL REGISTRATION (Day 1+)
التسجيل الكامل للعميل (بعد الإطلاق)</t>
  </si>
  <si>
    <t>Sheet code: CLF  ·  Version: v1.0  ·  Bilingual AR/EN  ·  Mobile + WhatsApp compatible  ·  Constitutional FX: 1 USD = 1,700 YER</t>
  </si>
  <si>
    <t>Activated on platform opening (01 Jun 2026). Completes KYC / UBO / sanctions / MSA / escrow acceptance. A case manager (Kayan handler) reviews and moves the file through Gates G0 → G3 within 5 business days.
يُفعَّل مع افتتاح المنصة (1 يونيو 2026). يُكمل إجراءات اعرف عميلك والمستفيد والعقوبات والاتفاقية الإطارية والضمان. يراجع مدير الحالة الملف وينقله عبر البوابات G0 → G3 خلال 5 أيام عمل.</t>
  </si>
  <si>
    <t>A. Corporate identity / هوية الشركة</t>
  </si>
  <si>
    <t>Legal company name
الاسم القانوني للشركة</t>
  </si>
  <si>
    <t>Trade name (if different)
الاسم التجاري (إن اختلف)</t>
  </si>
  <si>
    <t>Commercial registration #
رقم السجل التجاري</t>
  </si>
  <si>
    <t>Country of registration
بلد التسجيل</t>
  </si>
  <si>
    <t>Registered address (street, city, country)
العنوان المسجل</t>
  </si>
  <si>
    <t>Tax ID / VAT (if applicable)
الرقم الضريبي</t>
  </si>
  <si>
    <t>B. Beneficial owners (UBO) / الملاك المستفيدون</t>
  </si>
  <si>
    <t>UBO 1 — full legal name
المستفيد 1 — الاسم القانوني</t>
  </si>
  <si>
    <t>UBO 1 — nationality
المستفيد 1 — الجنسية</t>
  </si>
  <si>
    <t>UBO 1 — ownership %
المستفيد 1 — نسبة الملكية</t>
  </si>
  <si>
    <t>UBO 2 — full legal name (if any)
المستفيد 2 — الاسم (إن وجد)</t>
  </si>
  <si>
    <t>UBO 2 — nationality
المستفيد 2 — الجنسية</t>
  </si>
  <si>
    <t>UBO 2 — ownership %
المستفيد 2 — النسبة</t>
  </si>
  <si>
    <t>Any UBO a Politically Exposed Person (PEP)?
هل أحد الملاك شخصية معرّضة سياسياً؟</t>
  </si>
  <si>
    <t>C. Primary contact / جهة التواصل الرئيسية</t>
  </si>
  <si>
    <t>Signature authority (can sign SOW)?
صلاحية التوقيع</t>
  </si>
  <si>
    <t>D. Finance / الشؤون المالية</t>
  </si>
  <si>
    <t>Finance contact name
اسم مسؤول المالية</t>
  </si>
  <si>
    <t>Finance email
بريد المالية</t>
  </si>
  <si>
    <t>Preferred invoice currency
عملة الفاتورة المفضلة</t>
  </si>
  <si>
    <t>Payment terms needed (Net X)
شروط الدفع</t>
  </si>
  <si>
    <t>Bank name
اسم البنك</t>
  </si>
  <si>
    <t>Bank country
بلد البنك</t>
  </si>
  <si>
    <t>E. Compliance / الالتزام</t>
  </si>
  <si>
    <t>Confirmed AML / sanctions declaration?
إقرار مكافحة غسل الأموال والعقوبات؟</t>
  </si>
  <si>
    <t>Accept Kayan Master Services Agreement?
قبول اتفاقية الخدمات الإطارية؟</t>
  </si>
  <si>
    <t>Accept 2170 escrow model?
قبول نموذج الضمان 2170؟</t>
  </si>
  <si>
    <t>Data protection consent (GDPR-equivalent)
موافقة حماية البيانات</t>
  </si>
  <si>
    <t>F. Documents uploaded / المستندات المرفقة</t>
  </si>
  <si>
    <t>Commercial registration certificate (PDF)
شهادة السجل التجاري</t>
  </si>
  <si>
    <t>UBO declaration (signed PDF)
إقرار المستفيد (موقّع)</t>
  </si>
  <si>
    <t>Primary contact ID (passport/ID)
هوية جهة الاتصال</t>
  </si>
  <si>
    <t>Tax certificate (if applicable)
الشهادة الضريبية</t>
  </si>
  <si>
    <t>✦  PRE-LAUNCH TARGET: First 10 full registrations by 15 Jun 2026  ·  Measured weekly on 17_KPI_DASH</t>
  </si>
  <si>
    <t>TALENT — FULL REGISTRATION (Day 1+)
التسجيل الكامل للمستقل (بعد الإطلاق)</t>
  </si>
  <si>
    <t>Sheet code: TLF  ·  Version: v1.0  ·  Bilingual AR/EN  ·  Mobile + WhatsApp compatible  ·  Constitutional FX: 1 USD = 1,700 YER</t>
  </si>
  <si>
    <t>Moves a T0 EOI submitter to T2 Skill-Verified — the tier that unlocks the Kayan Card, pod assignment, and paid work. Expected to take ~20 minutes of the talent's time plus a short async skill test.
ينقل المتقدم من T0 إلى T2 (موثّق المهارة) — المستوى الذي يفتح بطاقة كيان والتعيين في الفرق والعمل المدفوع. يستغرق نحو 20 دقيقة بالإضافة إلى اختبار مهاري قصير.</t>
  </si>
  <si>
    <t>A. Identity / الهوية</t>
  </si>
  <si>
    <t>Full legal name
الاسم القانوني الكامل</t>
  </si>
  <si>
    <t>Date of birth
تاريخ الميلاد</t>
  </si>
  <si>
    <t>Nationality
الجنسية</t>
  </si>
  <si>
    <t>Government ID type
نوع الهوية</t>
  </si>
  <si>
    <t>Government ID number
رقم الهوية</t>
  </si>
  <si>
    <t>Full residential address
عنوان الإقامة الكامل</t>
  </si>
  <si>
    <t>B. Professional / المهنية</t>
  </si>
  <si>
    <t>Top 3 micro-specializations
أبرز 3 تخصصات دقيقة</t>
  </si>
  <si>
    <t>Years of experience
سنوات الخبرة</t>
  </si>
  <si>
    <t>Current employment status
الحالة الوظيفية</t>
  </si>
  <si>
    <t>Education (highest degree + institution + year)
التعليم</t>
  </si>
  <si>
    <t>Certifications (list)
الشهادات المهنية</t>
  </si>
  <si>
    <t>Portfolio URL
رابط الأعمال</t>
  </si>
  <si>
    <t>LinkedIn
لينكدإن</t>
  </si>
  <si>
    <t>GitHub / Behance / Dribbble
روابط الأعمال</t>
  </si>
  <si>
    <t>C. Verification (T1→T2) / التحقق</t>
  </si>
  <si>
    <t>Government ID uploaded
تحميل الهوية</t>
  </si>
  <si>
    <t>Selfie with ID uploaded
صورة ذاتية مع الهوية</t>
  </si>
  <si>
    <t>Skill test passed? (score)
نتيجة اختبار المهارة</t>
  </si>
  <si>
    <t>Reference 1 name + contact
المرجع 1</t>
  </si>
  <si>
    <t>Reference 2 name + contact
المرجع 2</t>
  </si>
  <si>
    <t>Payment method
طريقة الدفع</t>
  </si>
  <si>
    <t>Payment currency
العملة</t>
  </si>
  <si>
    <t>Bank / wallet account holder name
اسم صاحب الحساب</t>
  </si>
  <si>
    <t>Account / IBAN / wallet handle
رقم الحساب / المحفظة</t>
  </si>
  <si>
    <t>Bank / wallet provider name
اسم البنك / المحفظة</t>
  </si>
  <si>
    <t>Tax resident country (for withholding)
بلد الإقامة الضريبية</t>
  </si>
  <si>
    <t>E. Legal &amp; consent / الإقرارات القانونية</t>
  </si>
  <si>
    <t>NDA accepted
اتفاقية عدم الإفصاح</t>
  </si>
  <si>
    <t>IP assignment for paid work
تنازل الملكية الفكرية</t>
  </si>
  <si>
    <t>Kayan Code of Conduct accepted
قبول ميثاق السلوك</t>
  </si>
  <si>
    <t>2170 escrow terms accepted
قبول شروط الضمان 2170</t>
  </si>
  <si>
    <t>Data protection consent
موافقة حماية البيانات</t>
  </si>
  <si>
    <t>✦  PRE-LAUNCH TARGET: 50 T2-verified talent by 30 Jun 2026  ·  Measured weekly on 17_KPI_DASH</t>
  </si>
  <si>
    <t>VOLUNTEER — FULL REGISTRATION (Day 1+)
التسجيل الكامل للمتطوع (بعد الإطلاق)</t>
  </si>
  <si>
    <t>Sheet code: VLF  ·  Version: v1.0  ·  Bilingual AR/EN  ·  Mobile + WhatsApp compatible  ·  Constitutional FX: 1 USD = 1,700 YER</t>
  </si>
  <si>
    <t>Completes safeguarding requirements and opens access to FAEAN missions. Background check runs within 7 days for youth-facing roles.
يُكمل متطلبات الحماية ويفتح الوصول إلى مهام فعّان. يستغرق التحقق الأمني نحو 7 أيام للأدوار المتعلقة بالشباب.</t>
  </si>
  <si>
    <t>Address
العنوان</t>
  </si>
  <si>
    <t>B. Causes &amp; skills / القضايا والمهارات</t>
  </si>
  <si>
    <t>Top 3 causes
أبرز 3 قضايا</t>
  </si>
  <si>
    <t>Specific skills
المهارات المحددة</t>
  </si>
  <si>
    <t>C. Availability / التوفر</t>
  </si>
  <si>
    <t>Hours per month
ساعات شهرياً</t>
  </si>
  <si>
    <t>Start date
تاريخ البدء</t>
  </si>
  <si>
    <t>End date (if defined)
تاريخ الانتهاء (إن وُجد)</t>
  </si>
  <si>
    <t>Mode (remote / on-site / both)
نمط العمل</t>
  </si>
  <si>
    <t>D. Safeguarding / السلامة</t>
  </si>
  <si>
    <t>Background check consent
موافقة التحقق الأمني</t>
  </si>
  <si>
    <t>Any criminal record?
هل لديك سجل جنائي؟</t>
  </si>
  <si>
    <t>If yes, please describe
وضح إذا كان الجواب نعم</t>
  </si>
  <si>
    <t>Emergency contact name
اسم جهة الطوارئ</t>
  </si>
  <si>
    <t>Emergency contact phone
هاتف الطوارئ</t>
  </si>
  <si>
    <t>Relation
صلة القرابة</t>
  </si>
  <si>
    <t>E. Agreements / الإقرارات</t>
  </si>
  <si>
    <t>Volunteer charter accepted
ميثاق المتطوع</t>
  </si>
  <si>
    <t>Code of conduct accepted
ميثاق السلوك</t>
  </si>
  <si>
    <t>Confidentiality acknowledged
الإقرار بالسرية</t>
  </si>
  <si>
    <t>Photo / media release
السماح بالصور والإعلام</t>
  </si>
  <si>
    <t>✦  PRE-LAUNCH TARGET: 25 fully-registered volunteers by 30 Jun 2026  ·  Measured weekly on 17_KPI_DASH</t>
  </si>
  <si>
    <t>HUB SPACE BOOKING
نموذج حجز المساحة</t>
  </si>
  <si>
    <t>Sheet code: HBK  ·  Version: v1.0  ·  Bilingual AR/EN  ·  Mobile + WhatsApp compatible  ·  Constitutional FX: 1 USD = 1,700 YER</t>
  </si>
  <si>
    <t>Individual booking form. For recurring / enterprise use, the Hub Membership contract supersedes this form. A confirmation with QR entry code is issued within 2 hours.
نموذج الحجز الفردي. للاستخدام المتكرر أو المؤسسي يُستخدَم عقد العضوية بدلاً من هذا النموذج. يصل تأكيد الحجز مع رمز QR للدخول خلال ساعتين.</t>
  </si>
  <si>
    <t>A. Who is booking / بيانات الحجز</t>
  </si>
  <si>
    <t>Booker full name
اسم صاحب الحجز</t>
  </si>
  <si>
    <t>Company (if any)
الشركة (إن وُجدت)</t>
  </si>
  <si>
    <t>Existing member?
عضو حالي؟</t>
  </si>
  <si>
    <t>Kayan member ID (if any)
رقم العضوية (إن وُجد)</t>
  </si>
  <si>
    <t>B. What to book / ما المطلوب</t>
  </si>
  <si>
    <t>Booking type
نوع الحجز</t>
  </si>
  <si>
    <t>Number of seats / people
عدد المقاعد أو الأشخاص</t>
  </si>
  <si>
    <t>Date
التاريخ</t>
  </si>
  <si>
    <t>Start time
وقت البدء</t>
  </si>
  <si>
    <t>End time
وقت الانتهاء</t>
  </si>
  <si>
    <t>Recurring? (weekly / monthly)
هل الحجز متكرر؟</t>
  </si>
  <si>
    <t>C. Pricing (calculated) / التسعير</t>
  </si>
  <si>
    <t>Rate per unit (USD)
السعر لكل وحدة ($)</t>
  </si>
  <si>
    <t>Hours
الساعات</t>
  </si>
  <si>
    <t>Subtotal (USD)
المجموع الفرعي ($)</t>
  </si>
  <si>
    <t>D. Extras / الإضافات</t>
  </si>
  <si>
    <t>F&amp;B package?
حزمة المقهى؟</t>
  </si>
  <si>
    <t>Printing credits?
حصة طباعة؟</t>
  </si>
  <si>
    <t>A/V equipment?
معدات صوت/صورة؟</t>
  </si>
  <si>
    <t>Event coordinator on-site?
منسق فعاليات بالموقع؟</t>
  </si>
  <si>
    <t>E. Payment / الدفع</t>
  </si>
  <si>
    <t>Currency
العملة</t>
  </si>
  <si>
    <t>Invoice needed?
فاتورة مطلوبة؟</t>
  </si>
  <si>
    <t>F. House rules / قواعد المكان</t>
  </si>
  <si>
    <t>Accept hub house rules
قبول قواعد المساحة</t>
  </si>
  <si>
    <t>Cancellation policy acknowledged
الإقرار بسياسة الإلغاء</t>
  </si>
  <si>
    <t>✦  PRE-LAUNCH TARGET: First 100 bookings in June 2026  ·  Measured weekly on 17_KPI_DASH</t>
  </si>
  <si>
    <t>ACADEMY COHORT ENROLLMENT
تسجيل دفعة الأكاديمية</t>
  </si>
  <si>
    <t>Sheet code: ACE  ·  Version: v1.0  ·  Bilingual AR/EN  ·  Mobile + WhatsApp compatible  ·  Constitutional FX: 1 USD = 1,700 YER</t>
  </si>
  <si>
    <t>Once a cohort opens, this form confirms the learner's seat. Seat is released if first payment is not received within 5 business days.
عند فتح الدفعة يؤكد هذا النموذج مقعد المتعلم. يُلغى المقعد إن لم تصل الدفعة الأولى خلال 5 أيام عمل.</t>
  </si>
  <si>
    <t>A. Learner / المتعلم</t>
  </si>
  <si>
    <t>B. Course / الدورة</t>
  </si>
  <si>
    <t>Course / track name
اسم الدورة أو المسار</t>
  </si>
  <si>
    <t>Cohort code / start date
رمز الدفعة / تاريخ البدء</t>
  </si>
  <si>
    <t>Format
الصيغة</t>
  </si>
  <si>
    <t>Duration (weeks)
المدة (أسابيع)</t>
  </si>
  <si>
    <t>Hours per week
الساعات الأسبوعية</t>
  </si>
  <si>
    <t>C. Fee &amp; payment / الرسوم والدفع</t>
  </si>
  <si>
    <t>Full fee (USD)
الرسوم الكاملة ($)</t>
  </si>
  <si>
    <t>Scholarship applied (%)
المنحة المطبقة (%)</t>
  </si>
  <si>
    <t>Amount due (USD)
المبلغ المستحق ($)</t>
  </si>
  <si>
    <t>Payment plan (installments)
خطة الدفع</t>
  </si>
  <si>
    <t>First payment received?
تم استلام الدفعة الأولى؟</t>
  </si>
  <si>
    <t>D. Agreements / الإقرارات</t>
  </si>
  <si>
    <t>Attendance policy accepted
قبول سياسة الحضور</t>
  </si>
  <si>
    <t>Refund policy acknowledged
الإقرار بسياسة الاسترداد</t>
  </si>
  <si>
    <t>Consent to cohort group chat (WhatsApp)
الموافقة على مجموعة الواتساب</t>
  </si>
  <si>
    <t>✦  PRE-LAUNCH TARGET: First cohort of 15-25 learners by 01 Jul 2026  ·  Measured weekly on 17_KPI_DASH</t>
  </si>
  <si>
    <t>MICRO-SPECIALIZATIONS / التخصصات الدقيقة
60 disciplines across 8 domains</t>
  </si>
  <si>
    <t>Every talent, pod and SOW maps to a code here. Codes feed the matching engine and the Kayan Card.</t>
  </si>
  <si>
    <t>Code</t>
  </si>
  <si>
    <t>Specialization (EN)</t>
  </si>
  <si>
    <t>التخصص (AR)</t>
  </si>
  <si>
    <t>Seniority tiers</t>
  </si>
  <si>
    <t>Typical deliverables</t>
  </si>
  <si>
    <t>TECH-01</t>
  </si>
  <si>
    <t>Frontend web engineering</t>
  </si>
  <si>
    <t>هندسة الواجهات الأمامية</t>
  </si>
  <si>
    <t>Jr / Mid / Sr / Lead</t>
  </si>
  <si>
    <t>Responsive UIs, Next.js apps</t>
  </si>
  <si>
    <t>TECH-02</t>
  </si>
  <si>
    <t>Backend API engineering</t>
  </si>
  <si>
    <t>هندسة الخلفيات وواجهات البرمجة</t>
  </si>
  <si>
    <t>NestJS services, REST/GraphQL APIs</t>
  </si>
  <si>
    <t>TECH-03</t>
  </si>
  <si>
    <t>Mobile engineering (iOS/Android)</t>
  </si>
  <si>
    <t>هندسة تطبيقات الجوال</t>
  </si>
  <si>
    <t>React Native / Flutter apps</t>
  </si>
  <si>
    <t>TECH-04</t>
  </si>
  <si>
    <t>DevOps &amp; cloud</t>
  </si>
  <si>
    <t>التشغيل السحابي</t>
  </si>
  <si>
    <t>CI/CD, Docker, Hetzner/Cloudflare</t>
  </si>
  <si>
    <t>TECH-05</t>
  </si>
  <si>
    <t>Data engineering</t>
  </si>
  <si>
    <t>هندسة البيانات</t>
  </si>
  <si>
    <t>ETL, warehouses, BI pipelines</t>
  </si>
  <si>
    <t>TECH-06</t>
  </si>
  <si>
    <t>Data science &amp; ML</t>
  </si>
  <si>
    <t>علوم البيانات وتعلم الآلة</t>
  </si>
  <si>
    <t>Models, forecasting, scoring engines</t>
  </si>
  <si>
    <t>TECH-07</t>
  </si>
  <si>
    <t>QA / test engineering</t>
  </si>
  <si>
    <t>هندسة الجودة والاختبار</t>
  </si>
  <si>
    <t>Test suites, automation, perf testing</t>
  </si>
  <si>
    <t>TECH-08</t>
  </si>
  <si>
    <t>Security engineering</t>
  </si>
  <si>
    <t>هندسة الأمن</t>
  </si>
  <si>
    <t>Mid / Sr / Lead</t>
  </si>
  <si>
    <t>Audits, pen-test, hardening</t>
  </si>
  <si>
    <t>TECH-09</t>
  </si>
  <si>
    <t>IT support &amp; systems</t>
  </si>
  <si>
    <t>الدعم الفني والنظم</t>
  </si>
  <si>
    <t>Jr / Mid / Sr</t>
  </si>
  <si>
    <t>Setup, troubleshoot, networks</t>
  </si>
  <si>
    <t>CRE-01</t>
  </si>
  <si>
    <t>Brand &amp; visual identity</t>
  </si>
  <si>
    <t>الهوية البصرية</t>
  </si>
  <si>
    <t>Logo, brand book, systems</t>
  </si>
  <si>
    <t>CRE-02</t>
  </si>
  <si>
    <t>UI / UX design</t>
  </si>
  <si>
    <t>تصميم الواجهات والتجربة</t>
  </si>
  <si>
    <t>Wireframes, prototypes, design systems</t>
  </si>
  <si>
    <t>CRE-03</t>
  </si>
  <si>
    <t>Graphic design</t>
  </si>
  <si>
    <t>التصميم الجرافيكي</t>
  </si>
  <si>
    <t>Print, social, posters</t>
  </si>
  <si>
    <t>CRE-04</t>
  </si>
  <si>
    <t>Illustration</t>
  </si>
  <si>
    <t>الرسم التوضيحي</t>
  </si>
  <si>
    <t>Mid / Sr</t>
  </si>
  <si>
    <t>Editorial, product, hand-drawn</t>
  </si>
  <si>
    <t>CRE-05</t>
  </si>
  <si>
    <t>Motion graphics &amp; video</t>
  </si>
  <si>
    <t>الجرافيك المتحرك والفيديو</t>
  </si>
  <si>
    <t>Explainers, reels, ads</t>
  </si>
  <si>
    <t>CRE-06</t>
  </si>
  <si>
    <t>Photography</t>
  </si>
  <si>
    <t>التصوير الفوتوغرافي</t>
  </si>
  <si>
    <t>Events, product, portraits</t>
  </si>
  <si>
    <t>CRE-07</t>
  </si>
  <si>
    <t>Copywriting (AR)</t>
  </si>
  <si>
    <t>الكتابة الإبداعية (عربي)</t>
  </si>
  <si>
    <t>Brand, campaigns, scripts</t>
  </si>
  <si>
    <t>CRE-08</t>
  </si>
  <si>
    <t>Copywriting (EN)</t>
  </si>
  <si>
    <t>Copywriting (English)</t>
  </si>
  <si>
    <t>CRE-09</t>
  </si>
  <si>
    <t>Translation &amp; localization</t>
  </si>
  <si>
    <t>الترجمة والتوطين</t>
  </si>
  <si>
    <t>AR↔EN, cultural adaptation</t>
  </si>
  <si>
    <t>BUS-01</t>
  </si>
  <si>
    <t>Financial modeling</t>
  </si>
  <si>
    <t>النمذجة المالية</t>
  </si>
  <si>
    <t>Excel models, valuations</t>
  </si>
  <si>
    <t>BUS-02</t>
  </si>
  <si>
    <t>Accounting &amp; bookkeeping</t>
  </si>
  <si>
    <t>المحاسبة ومسك الدفاتر</t>
  </si>
  <si>
    <t>GL, AR/AP, closing</t>
  </si>
  <si>
    <t>BUS-03</t>
  </si>
  <si>
    <t>Audit &amp; assurance</t>
  </si>
  <si>
    <t>التدقيق والضمان</t>
  </si>
  <si>
    <t>Financial audit, SOX, compliance</t>
  </si>
  <si>
    <t>BUS-04</t>
  </si>
  <si>
    <t>Tax &amp; regulatory</t>
  </si>
  <si>
    <t>الضرائب والامتثال</t>
  </si>
  <si>
    <t>Filings, advisory</t>
  </si>
  <si>
    <t>BUS-05</t>
  </si>
  <si>
    <t>Investment analysis</t>
  </si>
  <si>
    <t>تحليل الاستثمار</t>
  </si>
  <si>
    <t>Deal screening, memos</t>
  </si>
  <si>
    <t>BUS-06</t>
  </si>
  <si>
    <t>Business development</t>
  </si>
  <si>
    <t>تطوير الأعمال</t>
  </si>
  <si>
    <t>Pipeline, outreach, closing</t>
  </si>
  <si>
    <t>BUS-07</t>
  </si>
  <si>
    <t>Sales operations</t>
  </si>
  <si>
    <t>إدارة المبيعات</t>
  </si>
  <si>
    <t>CRM, forecasting, enablement</t>
  </si>
  <si>
    <t>BUS-08</t>
  </si>
  <si>
    <t>Digital marketing</t>
  </si>
  <si>
    <t>التسويق الرقمي</t>
  </si>
  <si>
    <t>Paid, SEO, content, lifecycle</t>
  </si>
  <si>
    <t>BUS-09</t>
  </si>
  <si>
    <t>Operations management</t>
  </si>
  <si>
    <t>إدارة العمليات</t>
  </si>
  <si>
    <t>Process design, SOPs, scale</t>
  </si>
  <si>
    <t>BUS-10</t>
  </si>
  <si>
    <t>HR &amp; people ops</t>
  </si>
  <si>
    <t>الموارد البشرية</t>
  </si>
  <si>
    <t>Hiring, culture, policies</t>
  </si>
  <si>
    <t>TRN-01</t>
  </si>
  <si>
    <t>Curriculum design</t>
  </si>
  <si>
    <t>تصميم المناهج</t>
  </si>
  <si>
    <t>Learning outcomes, modules</t>
  </si>
  <si>
    <t>TRN-02</t>
  </si>
  <si>
    <t>Instructor / facilitator</t>
  </si>
  <si>
    <t>المدرب والميسّر</t>
  </si>
  <si>
    <t>Workshops, cohorts</t>
  </si>
  <si>
    <t>TRN-03</t>
  </si>
  <si>
    <t>Coaching &amp; mentoring</t>
  </si>
  <si>
    <t>التدريب الفردي</t>
  </si>
  <si>
    <t>1-on-1, career, leadership</t>
  </si>
  <si>
    <t>TRN-04</t>
  </si>
  <si>
    <t>E-learning production</t>
  </si>
  <si>
    <t>إنتاج التعلم الإلكتروني</t>
  </si>
  <si>
    <t>SCORM, LMS, interactive</t>
  </si>
  <si>
    <t>TRN-05</t>
  </si>
  <si>
    <t>Assessment design</t>
  </si>
  <si>
    <t>تصميم التقييم</t>
  </si>
  <si>
    <t>Exams, rubrics, skill tests</t>
  </si>
  <si>
    <t>RSH-01</t>
  </si>
  <si>
    <t>Market research</t>
  </si>
  <si>
    <t>أبحاث السوق</t>
  </si>
  <si>
    <t>Surveys, interviews, sizing</t>
  </si>
  <si>
    <t>RSH-02</t>
  </si>
  <si>
    <t>Policy &amp; economic research</t>
  </si>
  <si>
    <t>أبحاث السياسات والاقتصاد</t>
  </si>
  <si>
    <t>Sr / Lead</t>
  </si>
  <si>
    <t>Reports, briefings</t>
  </si>
  <si>
    <t>RSH-03</t>
  </si>
  <si>
    <t>User research</t>
  </si>
  <si>
    <t>أبحاث المستخدم</t>
  </si>
  <si>
    <t>Usability, ethnography</t>
  </si>
  <si>
    <t>RSH-04</t>
  </si>
  <si>
    <t>Data analytics</t>
  </si>
  <si>
    <t>تحليلات البيانات</t>
  </si>
  <si>
    <t>Dashboards, insights</t>
  </si>
  <si>
    <t>RSH-05</t>
  </si>
  <si>
    <t>Academic / scientific writing</t>
  </si>
  <si>
    <t>الكتابة العلمية</t>
  </si>
  <si>
    <t>Papers, reviews, citations</t>
  </si>
  <si>
    <t>CNS-01</t>
  </si>
  <si>
    <t>Strategy consulting</t>
  </si>
  <si>
    <t>الاستشارات الاستراتيجية</t>
  </si>
  <si>
    <t>Growth plans, market entry</t>
  </si>
  <si>
    <t>CNS-02</t>
  </si>
  <si>
    <t>Management consulting</t>
  </si>
  <si>
    <t>الاستشارات الإدارية</t>
  </si>
  <si>
    <t>Org design, transformation</t>
  </si>
  <si>
    <t>CNS-03</t>
  </si>
  <si>
    <t>Technology advisory</t>
  </si>
  <si>
    <t>الاستشارات التقنية</t>
  </si>
  <si>
    <t>Stack selection, architecture</t>
  </si>
  <si>
    <t>CNS-04</t>
  </si>
  <si>
    <t>M&amp;A advisory</t>
  </si>
  <si>
    <t>استشارات الاستحواذ</t>
  </si>
  <si>
    <t>Deal structuring, due diligence</t>
  </si>
  <si>
    <t>CNS-05</t>
  </si>
  <si>
    <t>Legal advisory</t>
  </si>
  <si>
    <t>الاستشارات القانونية</t>
  </si>
  <si>
    <t>Contracts, compliance (via partners)</t>
  </si>
  <si>
    <t>CNS-06</t>
  </si>
  <si>
    <t>Financial advisory</t>
  </si>
  <si>
    <t>الاستشارات المالية</t>
  </si>
  <si>
    <t>Restructuring, working capital</t>
  </si>
  <si>
    <t>CNS-07</t>
  </si>
  <si>
    <t>Sustainability / ESG</t>
  </si>
  <si>
    <t>الاستدامة والحوكمة</t>
  </si>
  <si>
    <t>Frameworks, reports</t>
  </si>
  <si>
    <t>PHY-01</t>
  </si>
  <si>
    <t>Event management</t>
  </si>
  <si>
    <t>إدارة الفعاليات</t>
  </si>
  <si>
    <t>Planning, ops, vendor mgmt</t>
  </si>
  <si>
    <t>PHY-02</t>
  </si>
  <si>
    <t>Logistics &amp; supply chain</t>
  </si>
  <si>
    <t>اللوجستيات وسلسلة الإمداد</t>
  </si>
  <si>
    <t>Warehousing, transport</t>
  </si>
  <si>
    <t>PHY-03</t>
  </si>
  <si>
    <t>Construction &amp; fit-out</t>
  </si>
  <si>
    <t>البناء والتشطيب</t>
  </si>
  <si>
    <t>Site ops, fit-out, supervision</t>
  </si>
  <si>
    <t>PHY-04</t>
  </si>
  <si>
    <t>Field survey / audit</t>
  </si>
  <si>
    <t>المسوح والتدقيق الميداني</t>
  </si>
  <si>
    <t>Household surveys, asset audits</t>
  </si>
  <si>
    <t>PHY-05</t>
  </si>
  <si>
    <t>Hospitality operations</t>
  </si>
  <si>
    <t>عمليات الضيافة</t>
  </si>
  <si>
    <t>F&amp;B, front-of-house, guest ops</t>
  </si>
  <si>
    <t>PHY-06</t>
  </si>
  <si>
    <t>Facilities &amp; maintenance</t>
  </si>
  <si>
    <t>الصيانة والمرافق</t>
  </si>
  <si>
    <t>Hub upkeep, systems</t>
  </si>
  <si>
    <t>SPC-01</t>
  </si>
  <si>
    <t>Arabic calligraphy &amp; typography</t>
  </si>
  <si>
    <t>الخط والطباعة العربية</t>
  </si>
  <si>
    <t>Custom scripts, typefaces</t>
  </si>
  <si>
    <t>SPC-02</t>
  </si>
  <si>
    <t>Islamic finance specialist</t>
  </si>
  <si>
    <t>التمويل الإسلامي</t>
  </si>
  <si>
    <t>Shariah structuring</t>
  </si>
  <si>
    <t>SPC-03</t>
  </si>
  <si>
    <t>Humanitarian / INGO ops</t>
  </si>
  <si>
    <t>العمل الإنساني</t>
  </si>
  <si>
    <t>Program design, M&amp;E</t>
  </si>
  <si>
    <t>SPC-04</t>
  </si>
  <si>
    <t>Journalism &amp; editorial</t>
  </si>
  <si>
    <t>الصحافة والتحرير</t>
  </si>
  <si>
    <t>Reporting, long-form</t>
  </si>
  <si>
    <t>SPC-05</t>
  </si>
  <si>
    <t>Podcast production</t>
  </si>
  <si>
    <t>إنتاج البودكاست</t>
  </si>
  <si>
    <t>Editing, distribution</t>
  </si>
  <si>
    <t>SPC-06</t>
  </si>
  <si>
    <t>Public relations</t>
  </si>
  <si>
    <t>العلاقات العامة</t>
  </si>
  <si>
    <t>Media, crisis, reputation</t>
  </si>
  <si>
    <t>SPC-07</t>
  </si>
  <si>
    <t>Government relations</t>
  </si>
  <si>
    <t>العلاقات الحكومية</t>
  </si>
  <si>
    <t>Stakeholder engagement</t>
  </si>
  <si>
    <t>SPC-08</t>
  </si>
  <si>
    <t>Investor relations</t>
  </si>
  <si>
    <t>علاقات المستثمرين</t>
  </si>
  <si>
    <t>Decks, reporting, roadshows</t>
  </si>
  <si>
    <t>SPC-09</t>
  </si>
  <si>
    <t>Impact measurement</t>
  </si>
  <si>
    <t>قياس الأثر</t>
  </si>
  <si>
    <t>M&amp;E frameworks, reporting</t>
  </si>
  <si>
    <t>WHATSAPP INTAKE SCRIPTS / سكربتات واتساب للاستقبال</t>
  </si>
  <si>
    <t>Bilingual conversational flows. Each message ≤ 160 chars where possible. Bot sends → saves partial capture → human handler closes the loop within 24 hours.</t>
  </si>
  <si>
    <t>Step</t>
  </si>
  <si>
    <t>English</t>
  </si>
  <si>
    <t>Type</t>
  </si>
  <si>
    <t>— CLIENT / العميل —</t>
  </si>
  <si>
    <t>Welcome</t>
  </si>
  <si>
    <t>Ahlan 👋 This is Kayan — managed delivery + trusted pods. Reply START to share your project in 2 minutes.</t>
  </si>
  <si>
    <t>أهلاً 👋 هذه كيان — تنفيذ مُدار وفِرق موثوقة. أرسل ابدأ لنأخذ تفاصيل مشروعك في دقيقتين.</t>
  </si>
  <si>
    <t>bot</t>
  </si>
  <si>
    <t>Name</t>
  </si>
  <si>
    <t>What is your full name?</t>
  </si>
  <si>
    <t>ما اسمك الكامل؟</t>
  </si>
  <si>
    <t>capture</t>
  </si>
  <si>
    <t>Company</t>
  </si>
  <si>
    <t>Company or organization name?</t>
  </si>
  <si>
    <t>اسم الشركة أو الجهة؟</t>
  </si>
  <si>
    <t>Industry</t>
  </si>
  <si>
    <t>Which industry? (e.g., retail, finance, health)</t>
  </si>
  <si>
    <t>ما القطاع؟ (مثلاً: تجارة، مالية، صحة)</t>
  </si>
  <si>
    <t>Need</t>
  </si>
  <si>
    <t>In one sentence — what do you want to get done?</t>
  </si>
  <si>
    <t>في جملة — ما الذي تريد إنجازه؟</t>
  </si>
  <si>
    <t>Budget</t>
  </si>
  <si>
    <t>Budget band: &lt;$500, $500-2k, $2k-10k, $10k-50k, $50k+, undecided?</t>
  </si>
  <si>
    <t>شريحة الميزانية: أقل من 500، 500-2000، 2000-10000، 10000-50000، 50000+، أو لم تحدد؟</t>
  </si>
  <si>
    <t>Deadline</t>
  </si>
  <si>
    <t>When do you need it done? (date or rough week)</t>
  </si>
  <si>
    <t>متى تحتاج الإنجاز؟ (تاريخ أو أسبوع تقريبي)</t>
  </si>
  <si>
    <t>What email should we send the scoping call invite to?</t>
  </si>
  <si>
    <t>على أي بريد نرسل دعوة جلسة التحديد؟</t>
  </si>
  <si>
    <t>Close</t>
  </si>
  <si>
    <t>Thank you. A handler will reach you within 24 hours with a scoping call. Reply STOP to pause.</t>
  </si>
  <si>
    <t>شكراً لك. سيتواصل معك أحد الفريق خلال 24 ساعة لتحديد جلسة العمل. أرسل إيقاف لإيقاف المحادثة.</t>
  </si>
  <si>
    <t>— TALENT / المستقل —</t>
  </si>
  <si>
    <t>Ahlan, talent 👋 This is Kayan. We match verified talent to paid, escrow-protected work. Reply START to join the waitlist in 90 seconds.</t>
  </si>
  <si>
    <t>أهلاً أيها المستقل 👋 كيان تربط الموهبة الموثقة بعمل مدفوع محمي بضمان. أرسل ابدأ للانضمام إلى قائمة الانتظار في 90 ثانية.</t>
  </si>
  <si>
    <t>Full name?</t>
  </si>
  <si>
    <t>الاسم الكامل؟</t>
  </si>
  <si>
    <t>Domain</t>
  </si>
  <si>
    <t>Primary domain: 1-Tech 2-Creative 3-Business 4-Training 5-Research 6-Consulting 7-Field 8-Specialist</t>
  </si>
  <si>
    <t>المجال الأساسي: 1-تقني 2-إبداعي 3-أعمال 4-تدريب 5-بحث 6-استشارات 7-ميداني 8-متخصص</t>
  </si>
  <si>
    <t>MicroSpec</t>
  </si>
  <si>
    <t>Your top skill (1-2 words)</t>
  </si>
  <si>
    <t>مهارتك الأبرز (كلمة أو اثنتان)</t>
  </si>
  <si>
    <t>Years</t>
  </si>
  <si>
    <t>Years of experience?</t>
  </si>
  <si>
    <t>سنوات الخبرة؟</t>
  </si>
  <si>
    <t>Rate</t>
  </si>
  <si>
    <t>Your hourly rate in USD (or YER)?</t>
  </si>
  <si>
    <t>سعرك بالساعة بالدولار (أو بالريال)؟</t>
  </si>
  <si>
    <t>Portfolio</t>
  </si>
  <si>
    <t>Portfolio / LinkedIn URL (skip if none)</t>
  </si>
  <si>
    <t>رابط أعمالك أو لينكدإن (تجاوز إن لم يوجد)</t>
  </si>
  <si>
    <t>City</t>
  </si>
  <si>
    <t>City of residence?</t>
  </si>
  <si>
    <t>مدينة الإقامة؟</t>
  </si>
  <si>
    <t>Email for verification?</t>
  </si>
  <si>
    <t>بريدك للتحقق؟</t>
  </si>
  <si>
    <t>Saved ✦ A verifier will reach you within 48 hours. Pass the skill test and we issue your Kayan Card (T2).</t>
  </si>
  <si>
    <t>تم الحفظ ✦ سيتواصل معك مسؤول التحقق خلال 48 ساعة. بعد اجتياز الاختبار نُصدر لك بطاقة كيان (T2).</t>
  </si>
  <si>
    <t>— VOLUNTEER / المتطوع —</t>
  </si>
  <si>
    <t>Ahlan 👋 FAEAN (by Kayan) — volunteers matched to causes where their skill lands. Reply START to join.</t>
  </si>
  <si>
    <t>أهلاً 👋 فعّان (من كيان) — متطوعون يُطابقون بمهاراتهم على القضايا. أرسل ابدأ للانضمام.</t>
  </si>
  <si>
    <t>City?</t>
  </si>
  <si>
    <t>المدينة؟</t>
  </si>
  <si>
    <t>Causes</t>
  </si>
  <si>
    <t>Top 3 causes (education, youth, women, health, env, community, humanitarian)</t>
  </si>
  <si>
    <t>أهم 3 قضايا (تعليم، شباب، مرأة، صحة، بيئة، مجتمع، إنساني)</t>
  </si>
  <si>
    <t>Skill</t>
  </si>
  <si>
    <t>Your main skill you can offer?</t>
  </si>
  <si>
    <t>مهارتك الرئيسية التي يمكن تقديمها؟</t>
  </si>
  <si>
    <t>Hours</t>
  </si>
  <si>
    <t>Hours per month you can give?</t>
  </si>
  <si>
    <t>ساعات شهرياً يمكنك التبرع بها؟</t>
  </si>
  <si>
    <t>Start</t>
  </si>
  <si>
    <t>When can you start?</t>
  </si>
  <si>
    <t>متى يمكنك البدء؟</t>
  </si>
  <si>
    <t>Email for coordination?</t>
  </si>
  <si>
    <t>بريد للتنسيق؟</t>
  </si>
  <si>
    <t>Thank you ✦ A FAEAN coordinator will reach you within 48 hours.</t>
  </si>
  <si>
    <t>شكراً ✦ سيتواصل معك منسق فعّان خلال 48 ساعة.</t>
  </si>
  <si>
    <t>— HUB / المساحة —</t>
  </si>
  <si>
    <t>Ahlan 👋 Kayan Hub — quiet, beautiful, where work gets done. Reply START to tell us what you need.</t>
  </si>
  <si>
    <t>أهلاً 👋 مساحة كيان — هادئة وجميلة، حيث يُنجَز العمل. أرسل ابدأ لنعرف ما تحتاج.</t>
  </si>
  <si>
    <t>Use</t>
  </si>
  <si>
    <t>What do you need? (hot desk / private office / meeting room / event)</t>
  </si>
  <si>
    <t>ماذا تحتاج؟ (مكتب مفتوح / مكتب خاص / قاعة اجتماعات / فعالية)</t>
  </si>
  <si>
    <t>People</t>
  </si>
  <si>
    <t>Number of people?</t>
  </si>
  <si>
    <t>عدد الأشخاص؟</t>
  </si>
  <si>
    <t>When</t>
  </si>
  <si>
    <t>Date and time?</t>
  </si>
  <si>
    <t>التاريخ والوقت؟</t>
  </si>
  <si>
    <t>Freq</t>
  </si>
  <si>
    <t>One-off or recurring?</t>
  </si>
  <si>
    <t>مرة واحدة أم متكرر؟</t>
  </si>
  <si>
    <t>Your name?</t>
  </si>
  <si>
    <t>اسمك؟</t>
  </si>
  <si>
    <t>Contact</t>
  </si>
  <si>
    <t>Email?</t>
  </si>
  <si>
    <t>البريد؟</t>
  </si>
  <si>
    <t>Noted ✦ We will confirm within 2 hours with a quote and a reservation link.</t>
  </si>
  <si>
    <t>تم التسجيل ✦ سنؤكد خلال ساعتين بعرض سعر ورابط حجز.</t>
  </si>
  <si>
    <t>— ACADEMY / الأكاديمية —</t>
  </si>
  <si>
    <t>Ahlan 👋 Kayan Academy — practice-first learning, real paid projects at the end. Reply START.</t>
  </si>
  <si>
    <t>أهلاً 👋 أكاديمية كيان — تعلُّم تطبيقي ومشاريع حقيقية مدفوعة في النهاية. أرسل ابدأ.</t>
  </si>
  <si>
    <t>Track</t>
  </si>
  <si>
    <t>Which track interests you? (tech, creative, business, training, research)</t>
  </si>
  <si>
    <t>ما المسار الذي يهمك؟ (تقني، إبداعي، أعمال، تدريب، بحث)</t>
  </si>
  <si>
    <t>Level</t>
  </si>
  <si>
    <t>Your current level (beginner / intermediate / advanced)</t>
  </si>
  <si>
    <t>مستواك الحالي (مبتدئ / متوسط / متقدم)</t>
  </si>
  <si>
    <t>Format</t>
  </si>
  <si>
    <t>In-person, online, or hybrid?</t>
  </si>
  <si>
    <t>حضوري، عن بعد، أم مختلط؟</t>
  </si>
  <si>
    <t>Pay</t>
  </si>
  <si>
    <t>Can you pay the fee, or need scholarship?</t>
  </si>
  <si>
    <t>هل يمكنك دفع الرسوم أم تحتاج منحة؟</t>
  </si>
  <si>
    <t>Thanks ✦ You are on the cohort waitlist. We will invite you to the next cohort briefing.</t>
  </si>
  <si>
    <t>شكراً ✦ تم إدراجك في قائمة الدفعة. سندعوك للجلسة التعريفية التالية.</t>
  </si>
  <si>
    <t>— BUSINESS / الشركة —</t>
  </si>
  <si>
    <t>Ahlan 👋 Kayan for Business — one operating system for your team, space, learning, and delivery. Reply START.</t>
  </si>
  <si>
    <t>أهلاً 👋 كيان للأعمال — نظام تشغيل واحد لفريقك ومساحتك وتدريبك وتنفيذك. أرسل ابدأ.</t>
  </si>
  <si>
    <t>Decision-maker full name?</t>
  </si>
  <si>
    <t>اسم صاحب القرار الكامل؟</t>
  </si>
  <si>
    <t>Company name?</t>
  </si>
  <si>
    <t>اسم الشركة؟</t>
  </si>
  <si>
    <t>Size</t>
  </si>
  <si>
    <t>Company size (sole, 2-10, 11-50, 51-250, 251+)</t>
  </si>
  <si>
    <t>حجم الشركة (فرد، 2-10، 11-50، 51-250، 251+)</t>
  </si>
  <si>
    <t>Which of these matter most: Delivery / Talent / Hub / Academy / Vendor / Partnership?</t>
  </si>
  <si>
    <t>أي الخدمات الأهم: تنفيذ / كوادر / مساحة / أكاديمية / توريد / شراكة؟</t>
  </si>
  <si>
    <t>Annual spend estimate (USD)?</t>
  </si>
  <si>
    <t>الإنفاق السنوي التقديري ($)؟</t>
  </si>
  <si>
    <t>Work email?</t>
  </si>
  <si>
    <t>البريد الرسمي؟</t>
  </si>
  <si>
    <t>Shukran ✦ A Kayan relationship lead will reach you within 48 hours with a tailored package.</t>
  </si>
  <si>
    <t>شكراً ✦ سيتواصل معك مدير العلاقات خلال 48 ساعة بعرض مخصص.</t>
  </si>
  <si>
    <t>AUTO-REPLY TEMPLATES / قوالب الرد التلقائي</t>
  </si>
  <si>
    <t>Used by email + WhatsApp + SMS bots. Placeholders in {curly braces} come from the captured form data.</t>
  </si>
  <si>
    <t>Template code</t>
  </si>
  <si>
    <t>English body</t>
  </si>
  <si>
    <t>T-ACK-CLIENT</t>
  </si>
  <si>
    <t>Hi {name}, thank you for your interest in Kayan. We received your brief for {company}. A handler will contact you within 24h to schedule a scoping call. — Kayan</t>
  </si>
  <si>
    <t>مرحباً {name}، شكراً لاهتمامك بكيان. استلمنا بياناتك عن {company}. سيتواصل معك أحد الفريق خلال 24 ساعة لتحديد موعد جلسة العمل. — كيان</t>
  </si>
  <si>
    <t>T-ACK-TALENT</t>
  </si>
  <si>
    <t>Hi {name}, thanks for joining the Kayan talent waitlist. Expect a verification call within 48h. Pass the skill test and we issue your Kayan Card (T2). — Kayan Talent Desk</t>
  </si>
  <si>
    <t>مرحباً {name}، شكراً لانضمامك إلى قائمة انتظار مواهب كيان. سيصلك اتصال تحقق خلال 48 ساعة. بعد اختبار المهارة نُصدر بطاقة كيان (T2). — مكتب المواهب</t>
  </si>
  <si>
    <t>T-ACK-VOL</t>
  </si>
  <si>
    <t>Salam {name}, welcome to FAEAN. We match volunteers to missions where their skill counts. A coordinator reaches you within 48h. — FAEAN by Kayan</t>
  </si>
  <si>
    <t>السلام عليكم {name}، أهلاً بك في فعّان. نطابقك مع مهمة تفيد فيها مهارتك. سيتواصل معك المنسق خلال 48 ساعة. — فعّان من كيان</t>
  </si>
  <si>
    <t>T-ACK-HUB</t>
  </si>
  <si>
    <t>Hi {name}, your hub enquiry is noted. We hold your preferred setup and reply within 2h with a quote and reservation link. — Kayan Hub</t>
  </si>
  <si>
    <t>مرحباً {name}، تم تسجيل استفسارك عن المساحة. نحجز إعدادك المفضل ونرد خلال ساعتين بعرض سعر ورابط الحجز. — مساحة كيان</t>
  </si>
  <si>
    <t>T-ACK-ACADEMY</t>
  </si>
  <si>
    <t>Hi {name}, you are on the Kayan Academy cohort waitlist for {track}. We will invite you to the next cohort briefing.</t>
  </si>
  <si>
    <t>مرحباً {name}، تم إدراجك في قائمة دفعة أكاديمية كيان لمسار {track}. سندعوك للجلسة التعريفية القادمة.</t>
  </si>
  <si>
    <t>T-ACK-BUSINESS</t>
  </si>
  <si>
    <t>Hello {name}, thank you. A Kayan relationship lead will reach you within 48h with a tailored package for {company}.</t>
  </si>
  <si>
    <t>مرحباً {name}، شكراً لك. سيتواصل معك مدير العلاقات في كيان خلال 48 ساعة بعرض مخصص لـ{company}.</t>
  </si>
  <si>
    <t>T-FOLLOWUP-D3</t>
  </si>
  <si>
    <t>Gentle follow-up to your EOI — reminder we are still here and would love to connect. Reply with a time window that works for you.</t>
  </si>
  <si>
    <t>متابعة لنموذج اهتمامك — لا زلنا في الخدمة ونود التواصل. أرسل لنا وقتاً مناسباً.</t>
  </si>
  <si>
    <t>T-FOLLOWUP-D7</t>
  </si>
  <si>
    <t>Just checking in — does the timing still make sense? We will park your file for 90 days unless we hear back.</t>
  </si>
  <si>
    <t>متابعة — هل ما زال التوقيت مناسباً؟ سنحتفظ بملفك لمدة 90 يوماً ما لم نسمع منك.</t>
  </si>
  <si>
    <t>T-SCHEDULE</t>
  </si>
  <si>
    <t>Scoping call scheduled for {date} at {time} ({timezone}). Location: {location}. Agenda attached. — Kayan</t>
  </si>
  <si>
    <t>تم تحديد جلسة العمل في {date} الساعة {time} ({timezone}). المكان: {location}. جدول الأعمال مرفق. — كيان</t>
  </si>
  <si>
    <t>T-SOW-READY</t>
  </si>
  <si>
    <t>Your SOW ({sow_id}) is ready for review. Please open the link, review, and sign if you are happy. Escrow funding instructions follow signature.</t>
  </si>
  <si>
    <t>نطاق العمل {sow_id} جاهز للمراجعة. افتح الرابط وراجعه ووقّعه إن وافقت. تعليمات تمويل الضمان تتبع التوقيع.</t>
  </si>
  <si>
    <t>T-DECLINE-POLITE</t>
  </si>
  <si>
    <t>Thank you — we are not able to take this on right now, but we will keep your brief on file for 18 months. We are grateful you considered us.</t>
  </si>
  <si>
    <t>شكراً لك — لا يمكننا تولي هذا الأمر حالياً، لكننا سنحتفظ ببياناتك لمدة 18 شهراً. نُقدّر ثقتك.</t>
  </si>
  <si>
    <t>T-OOH</t>
  </si>
  <si>
    <t>Outside office hours — we reply Sun-Thu 8:30-17:00 (AST). Leave your message and we will respond first thing.</t>
  </si>
  <si>
    <t>خارج ساعات العمل — نرد من الأحد إلى الخميس 8:30-17:00 (بتوقيت عدن). اترك رسالتك ونرد في أول فرصة.</t>
  </si>
  <si>
    <t>AUDIT LOG — EOI SUBMISSIONS / سجل التدقيق</t>
  </si>
  <si>
    <t>Append-only log. One row per submission. Production system replaces this with the immutable Postgres audit table + SHA-256 chain hash — this sheet is the manual mirror for the pre-launch period.</t>
  </si>
  <si>
    <t>Submission ID</t>
  </si>
  <si>
    <t>Form</t>
  </si>
  <si>
    <t>Received (UTC)</t>
  </si>
  <si>
    <t>Country</t>
  </si>
  <si>
    <t>Email / Phone</t>
  </si>
  <si>
    <t>Status</t>
  </si>
  <si>
    <t>Handler</t>
  </si>
  <si>
    <t>KYN-CL-20260419-0001</t>
  </si>
  <si>
    <t>2026-04-19 10:14</t>
  </si>
  <si>
    <t>{auto}</t>
  </si>
  <si>
    <t>Yemen</t>
  </si>
  <si>
    <t>client@example.com</t>
  </si>
  <si>
    <t>—</t>
  </si>
  <si>
    <t>KYN-TL-20260419-0002</t>
  </si>
  <si>
    <t>2026-04-19 10:22</t>
  </si>
  <si>
    <t>Egypt</t>
  </si>
  <si>
    <t>+20 xx xxxx xxxx</t>
  </si>
  <si>
    <t>KYN-VL-20260419-0003</t>
  </si>
  <si>
    <t>2026-04-19 10:41</t>
  </si>
  <si>
    <t>vol@example.com</t>
  </si>
  <si>
    <t>Amal</t>
  </si>
  <si>
    <t>PRE-LAUNCH KPI DASHBOARD / لوحة مؤشرات الإطلاق</t>
  </si>
  <si>
    <t>Dashboard auto-updates from 16_AUDIT_LOG. Refresh weekly. Targets below reflect the 25 Apr → 31 May 2026 window (Tech OS v8.0 §5).</t>
  </si>
  <si>
    <t>KPI</t>
  </si>
  <si>
    <t>Target</t>
  </si>
  <si>
    <t>Actual</t>
  </si>
  <si>
    <t>Gap</t>
  </si>
  <si>
    <t>% complete</t>
  </si>
  <si>
    <t>Owner</t>
  </si>
  <si>
    <t>Client EOIs received</t>
  </si>
  <si>
    <t>Maher / Sales</t>
  </si>
  <si>
    <t>Talent EOIs received</t>
  </si>
  <si>
    <t>Talent Desk</t>
  </si>
  <si>
    <t>Business / partner EOIs</t>
  </si>
  <si>
    <t>Maher</t>
  </si>
  <si>
    <t>Volunteer EOIs (FAEAN)</t>
  </si>
  <si>
    <t>FAEAN Coordinator</t>
  </si>
  <si>
    <t>Academy learner EOIs</t>
  </si>
  <si>
    <t>Academy Lead</t>
  </si>
  <si>
    <t>Hub enquiries</t>
  </si>
  <si>
    <t>Hub Manager</t>
  </si>
  <si>
    <t>T2 verified talent</t>
  </si>
  <si>
    <t>Full client registrations</t>
  </si>
  <si>
    <t>Hub anchor bookings</t>
  </si>
  <si>
    <t>Academy cohort confirmed</t>
  </si>
  <si>
    <t>AGGREGATE ROLL-UP / ملخص كلي</t>
  </si>
  <si>
    <t>Total target EOIs (all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</si>
</sst>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yyyy\-mm\-dd"/>
    <numFmt numFmtId="167" formatCode="mm/dd/yy\ hh:mm\ AM/PM"/>
  </numFmts>
  <fonts count="32">
    <font>
      <sz val="11"/>
      <color theme="1"/>
      <name val="Calibri"/>
      <family val="2"/>
      <charset val="1"/>
    </font>
    <font>
      <b/>
      <sz val="22"/>
      <color rgb="FFFFFFFF"/>
      <name val="Arial"/>
      <charset val="1"/>
    </font>
    <font>
      <i/>
      <sz val="9"/>
      <color rgb="FF6E6A63"/>
      <name val="Arial"/>
      <charset val="1"/>
    </font>
    <font>
      <b/>
      <sz val="12"/>
      <color rgb="FF1B1F23"/>
      <name val="Arial"/>
      <charset val="1"/>
    </font>
    <font>
      <b/>
      <sz val="10"/>
      <color rgb="FFFFFFFF"/>
      <name val="Arial"/>
      <charset val="1"/>
    </font>
    <font>
      <sz val="10"/>
      <color rgb="FF1B1F23"/>
      <name val="Arial"/>
      <charset val="1"/>
    </font>
    <font>
      <b/>
      <sz val="10"/>
      <color rgb="FF2C4A3E"/>
      <name val="Arial"/>
      <charset val="1"/>
    </font>
    <font>
      <b/>
      <sz val="10"/>
      <color rgb="FF0000FF"/>
      <name val="Arial"/>
      <charset val="1"/>
    </font>
    <font>
      <b/>
      <sz val="10"/>
      <color rgb="FF000000"/>
      <name val="Arial"/>
      <charset val="1"/>
    </font>
    <font>
      <b/>
      <sz val="10"/>
      <color rgb="FF008000"/>
      <name val="Arial"/>
      <charset val="1"/>
    </font>
    <font>
      <b/>
      <sz val="10"/>
      <color rgb="FF1B1F23"/>
      <name val="Arial"/>
      <charset val="1"/>
    </font>
    <font>
      <b/>
      <sz val="10"/>
      <color rgb="FFC0392B"/>
      <name val="Arial"/>
      <charset val="1"/>
    </font>
    <font>
      <b/>
      <sz val="10"/>
      <name val="Arial"/>
      <charset val="1"/>
    </font>
    <font>
      <sz val="10"/>
      <color rgb="FF2C4A3E"/>
      <name val="Arial"/>
      <charset val="1"/>
    </font>
    <font>
      <sz val="10"/>
      <name val="Arial"/>
      <charset val="1"/>
    </font>
    <font>
      <b/>
      <sz val="18"/>
      <color rgb="FFFFFFFF"/>
      <name val="Arial"/>
      <charset val="1"/>
    </font>
    <font>
      <i/>
      <sz val="10"/>
      <color rgb="FF6E6A63"/>
      <name val="Arial"/>
      <charset val="1"/>
    </font>
    <font>
      <b/>
      <sz val="11"/>
      <color rgb="FF2C4A3E"/>
      <name val="Arial"/>
      <charset val="1"/>
    </font>
    <font>
      <b/>
      <sz val="10"/>
      <color rgb="FF6E6A63"/>
      <name val="Arial"/>
      <charset val="1"/>
    </font>
    <font>
      <sz val="10"/>
      <color rgb="FF0000FF"/>
      <name val="Arial"/>
      <charset val="1"/>
    </font>
    <font>
      <b/>
      <sz val="9"/>
      <color rgb="FFC0392B"/>
      <name val="Arial"/>
      <charset val="1"/>
    </font>
    <font>
      <b/>
      <sz val="9"/>
      <color rgb="FF6E6A63"/>
      <name val="Arial"/>
      <charset val="1"/>
    </font>
    <font>
      <b/>
      <sz val="14"/>
      <color rgb="FF2C4A3E"/>
      <name val="Arial"/>
      <charset val="1"/>
    </font>
    <font>
      <i/>
      <sz val="10"/>
      <color rgb="FF000000"/>
      <name val="Arial"/>
      <charset val="1"/>
    </font>
    <font>
      <b/>
      <sz val="11"/>
      <color rgb="FFC9A24B"/>
      <name val="Arial"/>
      <charset val="1"/>
    </font>
    <font>
      <sz val="10"/>
      <name val="Arial"/>
      <family val="2"/>
    </font>
    <font>
      <sz val="10"/>
      <name val="FreeSans"/>
      <family val="2"/>
    </font>
    <font>
      <sz val="9"/>
      <color rgb="FF6E6A63"/>
      <name val="Arial"/>
      <charset val="1"/>
    </font>
    <font>
      <sz val="10"/>
      <color rgb="FF6E6A63"/>
      <name val="Arial"/>
      <charset val="1"/>
    </font>
    <font>
      <b/>
      <sz val="11"/>
      <color rgb="FFFFFFFF"/>
      <name val="Arial"/>
      <charset val="1"/>
    </font>
    <font>
      <i/>
      <sz val="10"/>
      <color rgb="FF008000"/>
      <name val="Arial"/>
      <charset val="1"/>
    </font>
    <font>
      <i/>
      <sz val="10"/>
      <name val="Arial"/>
      <charset val="1"/>
    </font>
  </fonts>
  <fills count="9">
    <fill>
      <patternFill patternType="none"/>
    </fill>
    <fill>
      <patternFill patternType="gray125"/>
    </fill>
    <fill>
      <patternFill patternType="solid">
        <fgColor rgb="FF2C4A3E"/>
        <bgColor rgb="FF003366"/>
      </patternFill>
    </fill>
    <fill>
      <patternFill patternType="solid">
        <fgColor rgb="FFFAF7F0"/>
        <bgColor rgb="FFF5EFE2"/>
      </patternFill>
    </fill>
    <fill>
      <patternFill patternType="solid">
        <fgColor rgb="FFC9A24B"/>
        <bgColor rgb="FFB0B0B0"/>
      </patternFill>
    </fill>
    <fill>
      <patternFill patternType="solid">
        <fgColor rgb="FFF5EFE2"/>
        <bgColor rgb="FFFAF7F0"/>
      </patternFill>
    </fill>
    <fill>
      <patternFill patternType="solid">
        <fgColor rgb="FFFFF3BF"/>
        <bgColor rgb="FFFFF3CD"/>
      </patternFill>
    </fill>
    <fill>
      <patternFill patternType="solid">
        <fgColor rgb="FFE8DEC7"/>
        <bgColor rgb="FFF8D7DA"/>
      </patternFill>
    </fill>
    <fill>
      <patternFill patternType="solid">
        <fgColor rgb="FF1B1F23"/>
        <bgColor rgb="FF003300"/>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B0B0B0"/>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5">
    <xf numFmtId="0" fontId="0" fillId="0" borderId="0" xfId="0"/>
    <xf numFmtId="0" fontId="29" fillId="2" borderId="0" xfId="0" applyFont="1" applyFill="1" applyBorder="1" applyAlignment="1">
      <alignment horizontal="center" vertical="center"/>
    </xf>
    <xf numFmtId="0" fontId="24" fillId="8" borderId="0" xfId="0" applyFont="1" applyFill="1" applyBorder="1" applyAlignment="1">
      <alignment horizontal="center" vertical="center"/>
    </xf>
    <xf numFmtId="0" fontId="10" fillId="7" borderId="3" xfId="0" applyFont="1" applyFill="1" applyBorder="1" applyAlignment="1">
      <alignment horizontal="left" vertical="center" wrapText="1" indent="1"/>
    </xf>
    <xf numFmtId="0" fontId="3" fillId="7" borderId="0" xfId="0" applyFont="1" applyFill="1" applyBorder="1" applyAlignment="1">
      <alignment horizontal="left" vertical="center" wrapText="1" indent="1"/>
    </xf>
    <xf numFmtId="0" fontId="10" fillId="5" borderId="3" xfId="0" applyFont="1" applyFill="1" applyBorder="1" applyAlignment="1">
      <alignment horizontal="left" vertical="center" wrapText="1" indent="1"/>
    </xf>
    <xf numFmtId="0" fontId="16" fillId="5" borderId="0" xfId="0" applyFont="1" applyFill="1" applyBorder="1" applyAlignment="1">
      <alignment horizontal="left" vertical="top" wrapText="1" indent="1"/>
    </xf>
    <xf numFmtId="0" fontId="16" fillId="0" borderId="2" xfId="0" applyFont="1" applyBorder="1" applyAlignment="1">
      <alignment horizontal="left" vertical="center" wrapText="1" indent="1"/>
    </xf>
    <xf numFmtId="0" fontId="15" fillId="2" borderId="0" xfId="0" applyFont="1" applyFill="1" applyBorder="1" applyAlignment="1">
      <alignment horizontal="center" vertical="center" wrapText="1"/>
    </xf>
    <xf numFmtId="0" fontId="5" fillId="0" borderId="3" xfId="0" applyFont="1" applyBorder="1" applyAlignment="1">
      <alignment horizontal="left" vertical="center" wrapText="1" indent="1"/>
    </xf>
    <xf numFmtId="0" fontId="3" fillId="4" borderId="0" xfId="0" applyFont="1" applyFill="1" applyBorder="1" applyAlignment="1">
      <alignment horizontal="left" vertical="center" wrapText="1" indent="1"/>
    </xf>
    <xf numFmtId="0" fontId="2" fillId="3" borderId="0" xfId="0" applyFont="1" applyFill="1" applyBorder="1" applyAlignment="1">
      <alignment horizontal="left" vertical="top" wrapText="1" indent="1"/>
    </xf>
    <xf numFmtId="0" fontId="1" fillId="2" borderId="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2" xfId="0" applyFont="1" applyBorder="1" applyAlignment="1">
      <alignment vertical="center" wrapText="1" indent="1"/>
    </xf>
    <xf numFmtId="0" fontId="6" fillId="0" borderId="2" xfId="0" applyFont="1" applyBorder="1" applyAlignment="1">
      <alignment vertical="center" wrapText="1" indent="1"/>
    </xf>
    <xf numFmtId="0" fontId="7" fillId="3" borderId="2" xfId="0" applyFont="1" applyFill="1" applyBorder="1" applyAlignment="1">
      <alignment horizontal="left" vertical="center" indent="1"/>
    </xf>
    <xf numFmtId="0" fontId="8" fillId="5" borderId="2" xfId="0" applyFont="1" applyFill="1" applyBorder="1" applyAlignment="1">
      <alignment horizontal="left" vertical="center" indent="1"/>
    </xf>
    <xf numFmtId="0" fontId="9" fillId="5" borderId="2" xfId="0" applyFont="1" applyFill="1" applyBorder="1" applyAlignment="1">
      <alignment horizontal="left" vertical="center" indent="1"/>
    </xf>
    <xf numFmtId="0" fontId="10" fillId="6" borderId="2" xfId="0" applyFont="1" applyFill="1" applyBorder="1" applyAlignment="1">
      <alignment horizontal="left" vertical="center" indent="1"/>
    </xf>
    <xf numFmtId="0" fontId="11" fillId="3" borderId="2" xfId="0" applyFont="1" applyFill="1" applyBorder="1" applyAlignment="1">
      <alignment horizontal="left" vertical="center" indent="1"/>
    </xf>
    <xf numFmtId="0" fontId="12" fillId="0" borderId="0" xfId="0" applyFont="1"/>
    <xf numFmtId="0" fontId="13" fillId="0" borderId="0" xfId="0" applyFont="1"/>
    <xf numFmtId="0" fontId="14" fillId="0" borderId="0" xfId="0" applyFont="1"/>
    <xf numFmtId="0" fontId="14" fillId="0" borderId="2" xfId="0" applyFont="1" applyBorder="1"/>
    <xf numFmtId="0" fontId="6" fillId="0" borderId="2" xfId="0" applyFont="1" applyBorder="1"/>
    <xf numFmtId="3" fontId="7" fillId="6" borderId="2" xfId="0" applyNumberFormat="1" applyFont="1" applyFill="1" applyBorder="1"/>
    <xf numFmtId="164" fontId="7" fillId="6" borderId="2" xfId="0" applyNumberFormat="1" applyFont="1" applyFill="1" applyBorder="1"/>
    <xf numFmtId="165" fontId="7" fillId="6" borderId="2" xfId="0" applyNumberFormat="1" applyFont="1" applyFill="1" applyBorder="1"/>
    <xf numFmtId="0" fontId="0" fillId="5" borderId="0" xfId="0" applyFill="1"/>
    <xf numFmtId="0" fontId="17" fillId="0" borderId="0" xfId="0" applyFont="1"/>
    <xf numFmtId="0" fontId="5" fillId="0" borderId="4" xfId="0" applyFont="1" applyBorder="1" applyAlignment="1">
      <alignment horizontal="left" vertical="center" indent="1"/>
    </xf>
    <xf numFmtId="0" fontId="14" fillId="0" borderId="4" xfId="0" applyFont="1" applyBorder="1" applyAlignment="1">
      <alignment horizontal="left" vertical="center" indent="1"/>
    </xf>
    <xf numFmtId="0" fontId="18" fillId="3" borderId="2" xfId="0" applyFont="1" applyFill="1" applyBorder="1" applyAlignment="1">
      <alignment horizontal="center" vertical="center"/>
    </xf>
    <xf numFmtId="0" fontId="19" fillId="3" borderId="2" xfId="0" applyFont="1" applyFill="1" applyBorder="1" applyAlignment="1">
      <alignment horizontal="left" vertical="center" wrapText="1" indent="1"/>
    </xf>
    <xf numFmtId="0" fontId="20" fillId="3" borderId="2" xfId="0" applyFont="1" applyFill="1" applyBorder="1" applyAlignment="1">
      <alignment horizontal="center" vertical="center"/>
    </xf>
    <xf numFmtId="49" fontId="19" fillId="3" borderId="2" xfId="0" applyNumberFormat="1" applyFont="1" applyFill="1" applyBorder="1" applyAlignment="1">
      <alignment horizontal="left" vertical="center" wrapText="1" indent="1"/>
    </xf>
    <xf numFmtId="0" fontId="21" fillId="3" borderId="2" xfId="0" applyFont="1" applyFill="1" applyBorder="1" applyAlignment="1">
      <alignment horizontal="center" vertical="center"/>
    </xf>
    <xf numFmtId="0" fontId="19" fillId="3" borderId="2" xfId="0" applyFont="1" applyFill="1" applyBorder="1" applyAlignment="1">
      <alignment horizontal="left" vertical="top" wrapText="1" indent="1"/>
    </xf>
    <xf numFmtId="166" fontId="19" fillId="3" borderId="2" xfId="0" applyNumberFormat="1" applyFont="1" applyFill="1" applyBorder="1" applyAlignment="1">
      <alignment horizontal="left" vertical="center" wrapText="1" indent="1"/>
    </xf>
    <xf numFmtId="0" fontId="22" fillId="0" borderId="2" xfId="0" applyFont="1" applyBorder="1" applyAlignment="1">
      <alignment horizontal="center" vertical="center"/>
    </xf>
    <xf numFmtId="0" fontId="20" fillId="0" borderId="2" xfId="0" applyFont="1" applyBorder="1" applyAlignment="1">
      <alignment horizontal="center" vertical="center"/>
    </xf>
    <xf numFmtId="0" fontId="21" fillId="0" borderId="2" xfId="0" applyFont="1" applyBorder="1" applyAlignment="1">
      <alignment horizontal="center" vertical="center"/>
    </xf>
    <xf numFmtId="0" fontId="0" fillId="7" borderId="2" xfId="0" applyFill="1" applyBorder="1"/>
    <xf numFmtId="0" fontId="23" fillId="3" borderId="2" xfId="0" applyFont="1" applyFill="1" applyBorder="1" applyAlignment="1">
      <alignment horizontal="left" vertical="center" wrapText="1" indent="1"/>
    </xf>
    <xf numFmtId="0" fontId="2" fillId="7" borderId="2" xfId="0" applyFont="1" applyFill="1" applyBorder="1" applyAlignment="1">
      <alignment horizontal="center" vertical="center"/>
    </xf>
    <xf numFmtId="167" fontId="23" fillId="3" borderId="2" xfId="0" applyNumberFormat="1" applyFont="1" applyFill="1" applyBorder="1" applyAlignment="1">
      <alignment horizontal="left" vertical="center" wrapText="1" indent="1"/>
    </xf>
    <xf numFmtId="0" fontId="14" fillId="0" borderId="4" xfId="0" applyFont="1" applyBorder="1" applyAlignment="1">
      <alignment horizontal="left" vertical="center" wrapText="1" indent="1"/>
    </xf>
    <xf numFmtId="0" fontId="6" fillId="0" borderId="4" xfId="0" applyFont="1" applyBorder="1" applyAlignment="1">
      <alignment horizontal="left" vertical="center" wrapText="1" indent="1"/>
    </xf>
    <xf numFmtId="0" fontId="27" fillId="0" borderId="4" xfId="0" applyFont="1" applyBorder="1" applyAlignment="1">
      <alignment horizontal="left" vertical="center" wrapText="1" indent="1"/>
    </xf>
    <xf numFmtId="0" fontId="28" fillId="0" borderId="0" xfId="0" applyFont="1"/>
    <xf numFmtId="0" fontId="28" fillId="0" borderId="4" xfId="0" applyFont="1" applyBorder="1" applyAlignment="1">
      <alignment horizontal="left" vertical="top" wrapText="1" indent="1"/>
    </xf>
    <xf numFmtId="0" fontId="6" fillId="0" borderId="4" xfId="0" applyFont="1" applyBorder="1" applyAlignment="1">
      <alignment horizontal="left" vertical="top" wrapText="1" indent="1"/>
    </xf>
    <xf numFmtId="0" fontId="14" fillId="0" borderId="4" xfId="0" applyFont="1" applyBorder="1" applyAlignment="1">
      <alignment horizontal="left" vertical="top" wrapText="1" indent="1"/>
    </xf>
    <xf numFmtId="0" fontId="2" fillId="0" borderId="4" xfId="0" applyFont="1" applyBorder="1" applyAlignment="1">
      <alignment horizontal="left" vertical="top" wrapText="1" indent="1"/>
    </xf>
    <xf numFmtId="0" fontId="27" fillId="0" borderId="4" xfId="0" applyFont="1" applyBorder="1" applyAlignment="1">
      <alignment horizontal="left" vertical="top" wrapText="1" indent="1"/>
    </xf>
    <xf numFmtId="0" fontId="28" fillId="0" borderId="4" xfId="0" applyFont="1" applyBorder="1" applyAlignment="1">
      <alignment horizontal="left" vertical="center" wrapText="1" indent="1"/>
    </xf>
    <xf numFmtId="0" fontId="19" fillId="0" borderId="4" xfId="0" applyFont="1" applyBorder="1" applyAlignment="1">
      <alignment horizontal="left" vertical="center" wrapText="1" indent="1"/>
    </xf>
    <xf numFmtId="0" fontId="0" fillId="0" borderId="4" xfId="0" applyBorder="1" applyAlignment="1">
      <alignment horizontal="center" vertical="center" wrapText="1" indent="1"/>
    </xf>
    <xf numFmtId="0" fontId="10" fillId="0" borderId="4" xfId="0" applyFont="1" applyBorder="1" applyAlignment="1">
      <alignment horizontal="left" vertical="center" wrapText="1" indent="1"/>
    </xf>
    <xf numFmtId="0" fontId="19" fillId="6" borderId="4" xfId="0" applyFont="1" applyFill="1" applyBorder="1" applyAlignment="1">
      <alignment horizontal="center" vertical="center" wrapText="1" indent="1"/>
    </xf>
    <xf numFmtId="0" fontId="30" fillId="0" borderId="4" xfId="0" applyFont="1" applyBorder="1" applyAlignment="1">
      <alignment horizontal="center" vertical="center" wrapText="1" indent="1"/>
    </xf>
    <xf numFmtId="0" fontId="31" fillId="0" borderId="4" xfId="0" applyFont="1" applyBorder="1" applyAlignment="1">
      <alignment horizontal="center" vertical="center" wrapText="1" indent="1"/>
    </xf>
    <xf numFmtId="165" fontId="31" fillId="0" borderId="4" xfId="0" applyNumberFormat="1" applyFont="1" applyBorder="1" applyAlignment="1">
      <alignment horizontal="center" vertical="center" wrapText="1" indent="1"/>
    </xf>
    <xf numFmtId="165" fontId="17" fillId="0" borderId="0" xfId="0" applyNumberFormat="1" applyFont="1"/>
  </cellXfs>
  <cellStyles count="1">
    <cellStyle name="Normal" xfId="0" builtinId="0"/>
  </cellStyles>
  <dxfs count="3">
    <dxf>
      <fill>
        <patternFill>
          <bgColor rgb="FFD4EDDA"/>
        </patternFill>
      </fill>
    </dxf>
    <dxf>
      <fill>
        <patternFill>
          <bgColor rgb="FFFFF3CD"/>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3CD"/>
      <rgbColor rgb="FFFAF7F0"/>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5EFE2"/>
      <rgbColor rgb="FFD4EDDA"/>
      <rgbColor rgb="FFFFF3BF"/>
      <rgbColor rgb="FFE8DEC7"/>
      <rgbColor rgb="FFFF99CC"/>
      <rgbColor rgb="FFCC99FF"/>
      <rgbColor rgb="FFF8D7DA"/>
      <rgbColor rgb="FF3366FF"/>
      <rgbColor rgb="FF33CCCC"/>
      <rgbColor rgb="FF99CC00"/>
      <rgbColor rgb="FFFFCC00"/>
      <rgbColor rgb="FFFF9900"/>
      <rgbColor rgb="FFFF6600"/>
      <rgbColor rgb="FF6E6A63"/>
      <rgbColor rgb="FFC9A24B"/>
      <rgbColor rgb="FF003366"/>
      <rgbColor rgb="FF339966"/>
      <rgbColor rgb="FF003300"/>
      <rgbColor rgb="FF1B1F23"/>
      <rgbColor rgb="FFC0392B"/>
      <rgbColor rgb="FF993366"/>
      <rgbColor rgb="FF333399"/>
      <rgbColor rgb="FF2C4A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7"/>
  <sheetViews>
    <sheetView zoomScaleNormal="100" workbookViewId="0">
      <pane ySplit="5" topLeftCell="A6" activePane="bottomLeft" state="frozen"/>
      <selection pane="bottomLeft"/>
    </sheetView>
  </sheetViews>
  <sheetFormatPr defaultColWidth="8.7421875" defaultRowHeight="15"/>
  <cols>
    <col min="1" max="1" width="4.03515625" customWidth="1"/>
    <col min="2" max="2" width="22.05859375" customWidth="1"/>
    <col min="3" max="3" width="43.98828125" customWidth="1"/>
    <col min="4" max="5" width="22.05859375" customWidth="1"/>
    <col min="6" max="6" width="13.98828125" customWidth="1"/>
  </cols>
  <sheetData>
    <row r="1" spans="1:6" ht="15" customHeight="1">
      <c r="A1" s="12" t="s">
        <v>0</v>
      </c>
      <c r="B1" s="12"/>
      <c r="C1" s="12"/>
      <c r="D1" s="12"/>
      <c r="E1" s="12"/>
      <c r="F1" s="12"/>
    </row>
    <row r="2" spans="1:6">
      <c r="A2" s="12"/>
      <c r="B2" s="12"/>
      <c r="C2" s="12"/>
      <c r="D2" s="12"/>
      <c r="E2" s="12"/>
      <c r="F2" s="12"/>
    </row>
    <row r="3" spans="1:6" ht="15" customHeight="1">
      <c r="A3" s="11" t="s">
        <v>1</v>
      </c>
      <c r="B3" s="11"/>
      <c r="C3" s="11"/>
      <c r="D3" s="11"/>
      <c r="E3" s="11"/>
      <c r="F3" s="11"/>
    </row>
    <row r="5" spans="1:6" ht="15" customHeight="1">
      <c r="A5" s="10" t="s">
        <v>2</v>
      </c>
      <c r="B5" s="10"/>
      <c r="C5" s="10"/>
      <c r="D5" s="10"/>
      <c r="E5" s="10"/>
      <c r="F5" s="10"/>
    </row>
    <row r="6" spans="1:6" ht="31.5" customHeight="1">
      <c r="A6" s="13" t="s">
        <v>3</v>
      </c>
      <c r="B6" s="13" t="s">
        <v>4</v>
      </c>
      <c r="C6" s="13" t="s">
        <v>5</v>
      </c>
      <c r="D6" s="13" t="s">
        <v>6</v>
      </c>
      <c r="E6" s="13" t="s">
        <v>7</v>
      </c>
      <c r="F6" s="13" t="s">
        <v>8</v>
      </c>
    </row>
    <row r="7" spans="1:6" ht="21.75" customHeight="1">
      <c r="A7" s="14" t="s">
        <v>9</v>
      </c>
      <c r="B7" s="15" t="s">
        <v>10</v>
      </c>
      <c r="C7" s="14" t="s">
        <v>11</v>
      </c>
      <c r="D7" s="14" t="s">
        <v>12</v>
      </c>
      <c r="E7" s="14" t="s">
        <v>13</v>
      </c>
      <c r="F7" s="14" t="s">
        <v>14</v>
      </c>
    </row>
    <row r="8" spans="1:6" ht="21.75" customHeight="1">
      <c r="A8" s="14" t="s">
        <v>15</v>
      </c>
      <c r="B8" s="15" t="s">
        <v>16</v>
      </c>
      <c r="C8" s="14" t="s">
        <v>17</v>
      </c>
      <c r="D8" s="14" t="s">
        <v>18</v>
      </c>
      <c r="E8" s="14" t="s">
        <v>19</v>
      </c>
      <c r="F8" s="14" t="s">
        <v>20</v>
      </c>
    </row>
    <row r="9" spans="1:6" ht="21.75" customHeight="1">
      <c r="A9" s="14" t="s">
        <v>21</v>
      </c>
      <c r="B9" s="15" t="s">
        <v>22</v>
      </c>
      <c r="C9" s="14" t="s">
        <v>23</v>
      </c>
      <c r="D9" s="14" t="s">
        <v>24</v>
      </c>
      <c r="E9" s="14" t="s">
        <v>19</v>
      </c>
      <c r="F9" s="14" t="s">
        <v>20</v>
      </c>
    </row>
    <row r="10" spans="1:6" ht="21.75" customHeight="1">
      <c r="A10" s="14" t="s">
        <v>25</v>
      </c>
      <c r="B10" s="15" t="s">
        <v>26</v>
      </c>
      <c r="C10" s="14" t="s">
        <v>27</v>
      </c>
      <c r="D10" s="14" t="s">
        <v>28</v>
      </c>
      <c r="E10" s="14" t="s">
        <v>19</v>
      </c>
      <c r="F10" s="14" t="s">
        <v>29</v>
      </c>
    </row>
    <row r="11" spans="1:6" ht="21.75" customHeight="1">
      <c r="A11" s="14" t="s">
        <v>30</v>
      </c>
      <c r="B11" s="15" t="s">
        <v>31</v>
      </c>
      <c r="C11" s="14" t="s">
        <v>32</v>
      </c>
      <c r="D11" s="14" t="s">
        <v>33</v>
      </c>
      <c r="E11" s="14" t="s">
        <v>19</v>
      </c>
      <c r="F11" s="14" t="s">
        <v>20</v>
      </c>
    </row>
    <row r="12" spans="1:6" ht="21.75" customHeight="1">
      <c r="A12" s="14" t="s">
        <v>34</v>
      </c>
      <c r="B12" s="15" t="s">
        <v>35</v>
      </c>
      <c r="C12" s="14" t="s">
        <v>36</v>
      </c>
      <c r="D12" s="14" t="s">
        <v>37</v>
      </c>
      <c r="E12" s="14" t="s">
        <v>19</v>
      </c>
      <c r="F12" s="14" t="s">
        <v>20</v>
      </c>
    </row>
    <row r="13" spans="1:6" ht="21.75" customHeight="1">
      <c r="A13" s="14" t="s">
        <v>38</v>
      </c>
      <c r="B13" s="15" t="s">
        <v>39</v>
      </c>
      <c r="C13" s="14" t="s">
        <v>40</v>
      </c>
      <c r="D13" s="14" t="s">
        <v>41</v>
      </c>
      <c r="E13" s="14" t="s">
        <v>19</v>
      </c>
      <c r="F13" s="14" t="s">
        <v>20</v>
      </c>
    </row>
    <row r="14" spans="1:6" ht="21.75" customHeight="1">
      <c r="A14" s="14" t="s">
        <v>42</v>
      </c>
      <c r="B14" s="15" t="s">
        <v>43</v>
      </c>
      <c r="C14" s="14" t="s">
        <v>44</v>
      </c>
      <c r="D14" s="14" t="s">
        <v>45</v>
      </c>
      <c r="E14" s="14" t="s">
        <v>19</v>
      </c>
      <c r="F14" s="14" t="s">
        <v>46</v>
      </c>
    </row>
    <row r="15" spans="1:6" ht="21.75" customHeight="1">
      <c r="A15" s="14" t="s">
        <v>47</v>
      </c>
      <c r="B15" s="15" t="s">
        <v>48</v>
      </c>
      <c r="C15" s="14" t="s">
        <v>49</v>
      </c>
      <c r="D15" s="14" t="s">
        <v>50</v>
      </c>
      <c r="E15" s="14" t="s">
        <v>19</v>
      </c>
      <c r="F15" s="14" t="s">
        <v>46</v>
      </c>
    </row>
    <row r="16" spans="1:6" ht="21.75" customHeight="1">
      <c r="A16" s="14" t="s">
        <v>51</v>
      </c>
      <c r="B16" s="15" t="s">
        <v>52</v>
      </c>
      <c r="C16" s="14" t="s">
        <v>53</v>
      </c>
      <c r="D16" s="14" t="s">
        <v>54</v>
      </c>
      <c r="E16" s="14" t="s">
        <v>19</v>
      </c>
      <c r="F16" s="14" t="s">
        <v>46</v>
      </c>
    </row>
    <row r="17" spans="1:6" ht="21.75" customHeight="1">
      <c r="A17" s="14" t="s">
        <v>55</v>
      </c>
      <c r="B17" s="15" t="s">
        <v>56</v>
      </c>
      <c r="C17" s="14" t="s">
        <v>57</v>
      </c>
      <c r="D17" s="14" t="s">
        <v>58</v>
      </c>
      <c r="E17" s="14" t="s">
        <v>19</v>
      </c>
      <c r="F17" s="14" t="s">
        <v>20</v>
      </c>
    </row>
    <row r="18" spans="1:6" ht="21.75" customHeight="1">
      <c r="A18" s="14" t="s">
        <v>59</v>
      </c>
      <c r="B18" s="15" t="s">
        <v>60</v>
      </c>
      <c r="C18" s="14" t="s">
        <v>61</v>
      </c>
      <c r="D18" s="14" t="s">
        <v>62</v>
      </c>
      <c r="E18" s="14" t="s">
        <v>19</v>
      </c>
      <c r="F18" s="14" t="s">
        <v>46</v>
      </c>
    </row>
    <row r="19" spans="1:6" ht="21.75" customHeight="1">
      <c r="A19" s="14" t="s">
        <v>63</v>
      </c>
      <c r="B19" s="15" t="s">
        <v>64</v>
      </c>
      <c r="C19" s="14" t="s">
        <v>65</v>
      </c>
      <c r="D19" s="14" t="s">
        <v>66</v>
      </c>
      <c r="E19" s="14" t="s">
        <v>13</v>
      </c>
      <c r="F19" s="14" t="s">
        <v>67</v>
      </c>
    </row>
    <row r="20" spans="1:6" ht="21.75" customHeight="1">
      <c r="A20" s="14" t="s">
        <v>68</v>
      </c>
      <c r="B20" s="15" t="s">
        <v>69</v>
      </c>
      <c r="C20" s="14" t="s">
        <v>70</v>
      </c>
      <c r="D20" s="14" t="s">
        <v>71</v>
      </c>
      <c r="E20" s="14" t="s">
        <v>72</v>
      </c>
      <c r="F20" s="14" t="s">
        <v>73</v>
      </c>
    </row>
    <row r="21" spans="1:6" ht="21.75" customHeight="1">
      <c r="A21" s="14" t="s">
        <v>74</v>
      </c>
      <c r="B21" s="15" t="s">
        <v>75</v>
      </c>
      <c r="C21" s="14" t="s">
        <v>76</v>
      </c>
      <c r="D21" s="14" t="s">
        <v>77</v>
      </c>
      <c r="E21" s="14" t="s">
        <v>78</v>
      </c>
      <c r="F21" s="14" t="s">
        <v>79</v>
      </c>
    </row>
    <row r="22" spans="1:6" ht="21.75" customHeight="1">
      <c r="A22" s="14" t="s">
        <v>80</v>
      </c>
      <c r="B22" s="15" t="s">
        <v>81</v>
      </c>
      <c r="C22" s="14" t="s">
        <v>82</v>
      </c>
      <c r="D22" s="14" t="s">
        <v>83</v>
      </c>
      <c r="E22" s="14" t="s">
        <v>84</v>
      </c>
      <c r="F22" s="14" t="s">
        <v>85</v>
      </c>
    </row>
    <row r="23" spans="1:6" ht="21.75" customHeight="1">
      <c r="A23" s="14" t="s">
        <v>86</v>
      </c>
      <c r="B23" s="15" t="s">
        <v>87</v>
      </c>
      <c r="C23" s="14" t="s">
        <v>88</v>
      </c>
      <c r="D23" s="14" t="s">
        <v>89</v>
      </c>
      <c r="E23" s="14" t="s">
        <v>90</v>
      </c>
      <c r="F23" s="14" t="s">
        <v>91</v>
      </c>
    </row>
    <row r="26" spans="1:6" ht="15" customHeight="1">
      <c r="A26" s="10" t="s">
        <v>92</v>
      </c>
      <c r="B26" s="10"/>
      <c r="C26" s="10"/>
      <c r="D26" s="10"/>
      <c r="E26" s="10"/>
      <c r="F26" s="10"/>
    </row>
    <row r="27" spans="1:6" ht="15" customHeight="1">
      <c r="A27" s="16" t="s">
        <v>93</v>
      </c>
      <c r="B27" s="9" t="s">
        <v>94</v>
      </c>
      <c r="C27" s="9"/>
      <c r="D27" s="9"/>
      <c r="E27" s="9"/>
      <c r="F27" s="9"/>
    </row>
    <row r="28" spans="1:6" ht="15" customHeight="1">
      <c r="A28" s="17" t="s">
        <v>95</v>
      </c>
      <c r="B28" s="9" t="s">
        <v>96</v>
      </c>
      <c r="C28" s="9"/>
      <c r="D28" s="9"/>
      <c r="E28" s="9"/>
      <c r="F28" s="9"/>
    </row>
    <row r="29" spans="1:6" ht="15" customHeight="1">
      <c r="A29" s="18" t="s">
        <v>97</v>
      </c>
      <c r="B29" s="9" t="s">
        <v>98</v>
      </c>
      <c r="C29" s="9"/>
      <c r="D29" s="9"/>
      <c r="E29" s="9"/>
      <c r="F29" s="9"/>
    </row>
    <row r="30" spans="1:6" ht="15" customHeight="1">
      <c r="A30" s="19" t="s">
        <v>99</v>
      </c>
      <c r="B30" s="9" t="s">
        <v>100</v>
      </c>
      <c r="C30" s="9"/>
      <c r="D30" s="9"/>
      <c r="E30" s="9"/>
      <c r="F30" s="9"/>
    </row>
    <row r="31" spans="1:6" ht="15" customHeight="1">
      <c r="A31" s="20" t="s">
        <v>101</v>
      </c>
      <c r="B31" s="9" t="s">
        <v>102</v>
      </c>
      <c r="C31" s="9"/>
      <c r="D31" s="9"/>
      <c r="E31" s="9"/>
      <c r="F31" s="9"/>
    </row>
    <row r="34" spans="1:6" ht="15" customHeight="1">
      <c r="A34" s="10" t="s">
        <v>103</v>
      </c>
      <c r="B34" s="10"/>
      <c r="C34" s="10"/>
      <c r="D34" s="10"/>
      <c r="E34" s="10"/>
      <c r="F34" s="10"/>
    </row>
    <row r="35" spans="1:6">
      <c r="A35" s="21" t="s">
        <v>104</v>
      </c>
      <c r="B35" s="22" t="s">
        <v>105</v>
      </c>
    </row>
    <row r="36" spans="1:6">
      <c r="A36" s="21" t="s">
        <v>106</v>
      </c>
      <c r="B36" s="23" t="s">
        <v>107</v>
      </c>
    </row>
    <row r="37" spans="1:6">
      <c r="A37" s="21" t="s">
        <v>108</v>
      </c>
      <c r="B37" s="23" t="s">
        <v>109</v>
      </c>
    </row>
  </sheetData>
  <mergeCells count="10">
    <mergeCell ref="B28:F28"/>
    <mergeCell ref="B29:F29"/>
    <mergeCell ref="B30:F30"/>
    <mergeCell ref="B31:F31"/>
    <mergeCell ref="A34:F34"/>
    <mergeCell ref="A1:F2"/>
    <mergeCell ref="A3:F3"/>
    <mergeCell ref="A5:F5"/>
    <mergeCell ref="A26:F26"/>
    <mergeCell ref="B27:F27"/>
  </mergeCells>
  <printOptions horizontalCentered="1"/>
  <pageMargins left="0.5" right="0.5" top="0.6" bottom="0.6"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8"/>
  <sheetViews>
    <sheetView topLeftCell="E1" zoomScaleNormal="100" workbookViewId="0">
      <pane ySplit="5" topLeftCell="E10" activePane="bottomLeft" state="frozen"/>
      <selection pane="bottomLeft" activeCell="C7" sqref="C7:C14"/>
    </sheetView>
  </sheetViews>
  <sheetFormatPr defaultColWidth="8.7421875" defaultRowHeight="15"/>
  <cols>
    <col min="1" max="1" width="4.03515625" customWidth="1"/>
    <col min="2" max="2" width="23.9453125" customWidth="1"/>
    <col min="3" max="3" width="32.015625" customWidth="1"/>
    <col min="4" max="4" width="27.98046875" customWidth="1"/>
    <col min="5" max="7" width="23.9453125" customWidth="1"/>
  </cols>
  <sheetData>
    <row r="1" spans="1:7" ht="15" customHeight="1">
      <c r="A1" s="8" t="s">
        <v>110</v>
      </c>
      <c r="B1" s="8"/>
      <c r="C1" s="8"/>
      <c r="D1" s="8"/>
      <c r="E1" s="8"/>
      <c r="F1" s="8"/>
      <c r="G1" s="8"/>
    </row>
    <row r="2" spans="1:7">
      <c r="A2" s="8"/>
      <c r="B2" s="8"/>
      <c r="C2" s="8"/>
      <c r="D2" s="8"/>
      <c r="E2" s="8"/>
      <c r="F2" s="8"/>
      <c r="G2" s="8"/>
    </row>
    <row r="3" spans="1:7" ht="15" customHeight="1">
      <c r="A3" s="11" t="s">
        <v>111</v>
      </c>
      <c r="B3" s="11"/>
      <c r="C3" s="11"/>
      <c r="D3" s="11"/>
      <c r="E3" s="11"/>
      <c r="F3" s="11"/>
      <c r="G3" s="11"/>
    </row>
    <row r="5" spans="1:7" ht="15" customHeight="1">
      <c r="A5" s="10" t="s">
        <v>112</v>
      </c>
      <c r="B5" s="10"/>
      <c r="C5" s="10"/>
      <c r="D5" s="10"/>
      <c r="E5" s="10"/>
      <c r="F5" s="10"/>
      <c r="G5" s="10"/>
    </row>
    <row r="6" spans="1:7" ht="31.5" customHeight="1">
      <c r="A6" s="13" t="s">
        <v>3</v>
      </c>
      <c r="B6" s="13" t="s">
        <v>113</v>
      </c>
      <c r="C6" s="13" t="s">
        <v>114</v>
      </c>
      <c r="D6" s="13" t="s">
        <v>115</v>
      </c>
      <c r="E6" s="13"/>
      <c r="F6" s="13"/>
      <c r="G6" s="13"/>
    </row>
    <row r="7" spans="1:7" ht="15" customHeight="1">
      <c r="A7" s="24">
        <v>1</v>
      </c>
      <c r="B7" s="25" t="s">
        <v>116</v>
      </c>
      <c r="C7" s="26"/>
      <c r="D7" s="7" t="s">
        <v>117</v>
      </c>
      <c r="E7" s="7"/>
      <c r="F7" s="7"/>
      <c r="G7" s="7"/>
    </row>
    <row r="8" spans="1:7" ht="15" customHeight="1">
      <c r="A8" s="24">
        <v>2</v>
      </c>
      <c r="B8" s="25" t="s">
        <v>118</v>
      </c>
      <c r="C8" s="27"/>
      <c r="D8" s="7" t="s">
        <v>119</v>
      </c>
      <c r="E8" s="7"/>
      <c r="F8" s="7"/>
      <c r="G8" s="7"/>
    </row>
    <row r="9" spans="1:7" ht="15" customHeight="1">
      <c r="A9" s="24">
        <v>3</v>
      </c>
      <c r="B9" s="25" t="s">
        <v>120</v>
      </c>
      <c r="C9" s="27"/>
      <c r="D9" s="7" t="s">
        <v>121</v>
      </c>
      <c r="E9" s="7"/>
      <c r="F9" s="7"/>
      <c r="G9" s="7"/>
    </row>
    <row r="10" spans="1:7" ht="15" customHeight="1">
      <c r="A10" s="24">
        <v>4</v>
      </c>
      <c r="B10" s="25" t="s">
        <v>122</v>
      </c>
      <c r="C10" s="28"/>
      <c r="D10" s="7" t="s">
        <v>123</v>
      </c>
      <c r="E10" s="7"/>
      <c r="F10" s="7"/>
      <c r="G10" s="7"/>
    </row>
    <row r="11" spans="1:7" ht="15" customHeight="1">
      <c r="A11" s="24">
        <v>5</v>
      </c>
      <c r="B11" s="25" t="s">
        <v>124</v>
      </c>
      <c r="C11" s="28"/>
      <c r="D11" s="7" t="s">
        <v>125</v>
      </c>
      <c r="E11" s="7"/>
      <c r="F11" s="7"/>
      <c r="G11" s="7"/>
    </row>
    <row r="12" spans="1:7" ht="15" customHeight="1">
      <c r="A12" s="24">
        <v>6</v>
      </c>
      <c r="B12" s="25" t="s">
        <v>126</v>
      </c>
      <c r="C12" s="28"/>
      <c r="D12" s="7" t="s">
        <v>127</v>
      </c>
      <c r="E12" s="7"/>
      <c r="F12" s="7"/>
      <c r="G12" s="7"/>
    </row>
    <row r="13" spans="1:7" ht="15" customHeight="1">
      <c r="A13" s="24">
        <v>7</v>
      </c>
      <c r="B13" s="25" t="s">
        <v>128</v>
      </c>
      <c r="C13" s="28"/>
      <c r="D13" s="7" t="s">
        <v>129</v>
      </c>
      <c r="E13" s="7"/>
      <c r="F13" s="7"/>
      <c r="G13" s="7"/>
    </row>
    <row r="14" spans="1:7" ht="15" customHeight="1">
      <c r="A14" s="24">
        <v>8</v>
      </c>
      <c r="B14" s="25" t="s">
        <v>130</v>
      </c>
      <c r="C14" s="28"/>
      <c r="D14" s="7" t="s">
        <v>131</v>
      </c>
      <c r="E14" s="7"/>
      <c r="F14" s="7"/>
      <c r="G14" s="7"/>
    </row>
    <row r="16" spans="1:7" ht="15" customHeight="1">
      <c r="A16" s="10" t="s">
        <v>132</v>
      </c>
      <c r="B16" s="10"/>
      <c r="C16" s="10"/>
      <c r="D16" s="10"/>
      <c r="E16" s="10"/>
      <c r="F16" s="10"/>
      <c r="G16" s="10"/>
    </row>
    <row r="17" spans="1:7">
      <c r="A17" s="29"/>
      <c r="B17" s="30" t="s">
        <v>133</v>
      </c>
      <c r="C17" s="30" t="s">
        <v>134</v>
      </c>
      <c r="D17" s="30" t="s">
        <v>135</v>
      </c>
      <c r="E17" s="30" t="s">
        <v>136</v>
      </c>
      <c r="F17" s="30" t="s">
        <v>137</v>
      </c>
      <c r="G17" s="30" t="s">
        <v>138</v>
      </c>
    </row>
    <row r="18" spans="1:7">
      <c r="B18" s="31" t="s">
        <v>139</v>
      </c>
      <c r="C18" s="31" t="s">
        <v>140</v>
      </c>
      <c r="D18" s="31" t="s">
        <v>141</v>
      </c>
      <c r="E18" s="31" t="s">
        <v>142</v>
      </c>
      <c r="F18" s="31" t="s">
        <v>143</v>
      </c>
      <c r="G18" s="31" t="s">
        <v>144</v>
      </c>
    </row>
    <row r="19" spans="1:7">
      <c r="B19" s="31" t="s">
        <v>145</v>
      </c>
      <c r="C19" s="31" t="s">
        <v>146</v>
      </c>
      <c r="D19" s="31" t="s">
        <v>147</v>
      </c>
      <c r="E19" s="31" t="s">
        <v>148</v>
      </c>
      <c r="F19" s="31" t="s">
        <v>149</v>
      </c>
      <c r="G19" s="31" t="s">
        <v>150</v>
      </c>
    </row>
    <row r="20" spans="1:7">
      <c r="B20" s="31" t="s">
        <v>151</v>
      </c>
      <c r="C20" s="31" t="s">
        <v>152</v>
      </c>
      <c r="D20" s="31" t="s">
        <v>153</v>
      </c>
      <c r="E20" s="31" t="s">
        <v>154</v>
      </c>
      <c r="F20" s="31" t="s">
        <v>155</v>
      </c>
      <c r="G20" s="31" t="s">
        <v>156</v>
      </c>
    </row>
    <row r="21" spans="1:7">
      <c r="B21" s="31" t="s">
        <v>157</v>
      </c>
      <c r="C21" s="31" t="s">
        <v>158</v>
      </c>
      <c r="D21" s="31" t="s">
        <v>159</v>
      </c>
      <c r="E21" s="31" t="s">
        <v>160</v>
      </c>
      <c r="F21" s="31" t="s">
        <v>161</v>
      </c>
      <c r="G21" s="31" t="s">
        <v>162</v>
      </c>
    </row>
    <row r="22" spans="1:7">
      <c r="B22" s="31" t="s">
        <v>163</v>
      </c>
      <c r="C22" s="31" t="s">
        <v>164</v>
      </c>
      <c r="D22" s="31" t="s">
        <v>165</v>
      </c>
      <c r="E22" s="31" t="s">
        <v>166</v>
      </c>
      <c r="F22" s="31" t="s">
        <v>167</v>
      </c>
      <c r="G22" s="31" t="s">
        <v>168</v>
      </c>
    </row>
    <row r="23" spans="1:7">
      <c r="B23" s="31" t="s">
        <v>169</v>
      </c>
      <c r="C23" s="31" t="s">
        <v>170</v>
      </c>
      <c r="D23" s="31" t="s">
        <v>171</v>
      </c>
      <c r="E23" s="31" t="s">
        <v>172</v>
      </c>
      <c r="F23" s="31"/>
      <c r="G23" s="31" t="s">
        <v>173</v>
      </c>
    </row>
    <row r="24" spans="1:7">
      <c r="B24" s="31" t="s">
        <v>174</v>
      </c>
      <c r="C24" s="31" t="s">
        <v>175</v>
      </c>
      <c r="D24" s="31" t="s">
        <v>176</v>
      </c>
      <c r="E24" s="31" t="s">
        <v>177</v>
      </c>
      <c r="F24" s="31"/>
      <c r="G24" s="31" t="s">
        <v>178</v>
      </c>
    </row>
    <row r="25" spans="1:7">
      <c r="B25" s="31" t="s">
        <v>179</v>
      </c>
      <c r="C25" s="31" t="s">
        <v>180</v>
      </c>
      <c r="D25" s="31" t="s">
        <v>181</v>
      </c>
      <c r="E25" s="31" t="s">
        <v>182</v>
      </c>
      <c r="F25" s="31"/>
      <c r="G25" s="31" t="s">
        <v>183</v>
      </c>
    </row>
    <row r="26" spans="1:7">
      <c r="B26" s="31" t="s">
        <v>184</v>
      </c>
      <c r="C26" s="31"/>
      <c r="D26" s="31" t="s">
        <v>185</v>
      </c>
      <c r="E26" s="31" t="s">
        <v>186</v>
      </c>
      <c r="F26" s="31"/>
      <c r="G26" s="31"/>
    </row>
    <row r="27" spans="1:7">
      <c r="B27" s="31" t="s">
        <v>187</v>
      </c>
      <c r="C27" s="31"/>
      <c r="D27" s="31" t="s">
        <v>188</v>
      </c>
      <c r="E27" s="31"/>
      <c r="F27" s="31"/>
      <c r="G27" s="31"/>
    </row>
    <row r="28" spans="1:7">
      <c r="B28" s="31" t="s">
        <v>189</v>
      </c>
      <c r="C28" s="31"/>
      <c r="D28" s="31"/>
      <c r="E28" s="31"/>
      <c r="F28" s="31"/>
      <c r="G28" s="31"/>
    </row>
    <row r="29" spans="1:7">
      <c r="B29" s="31" t="s">
        <v>190</v>
      </c>
      <c r="C29" s="31"/>
      <c r="D29" s="31"/>
      <c r="E29" s="31"/>
      <c r="F29" s="31"/>
      <c r="G29" s="31"/>
    </row>
    <row r="30" spans="1:7">
      <c r="B30" s="31" t="s">
        <v>191</v>
      </c>
      <c r="C30" s="31"/>
      <c r="D30" s="31"/>
      <c r="E30" s="31"/>
      <c r="F30" s="31"/>
      <c r="G30" s="31"/>
    </row>
    <row r="31" spans="1:7">
      <c r="B31" s="31" t="s">
        <v>192</v>
      </c>
      <c r="C31" s="31"/>
      <c r="D31" s="31"/>
      <c r="E31" s="31"/>
      <c r="F31" s="31"/>
      <c r="G31" s="31"/>
    </row>
    <row r="32" spans="1:7">
      <c r="B32" s="31" t="s">
        <v>193</v>
      </c>
      <c r="C32" s="31"/>
      <c r="D32" s="31"/>
      <c r="E32" s="31"/>
      <c r="F32" s="31"/>
      <c r="G32" s="31"/>
    </row>
    <row r="33" spans="1:7">
      <c r="B33" s="31" t="s">
        <v>194</v>
      </c>
      <c r="C33" s="31"/>
      <c r="D33" s="31"/>
      <c r="E33" s="31"/>
      <c r="F33" s="31"/>
      <c r="G33" s="31"/>
    </row>
    <row r="34" spans="1:7">
      <c r="B34" s="31" t="s">
        <v>195</v>
      </c>
      <c r="C34" s="31"/>
      <c r="D34" s="31"/>
      <c r="E34" s="31"/>
      <c r="F34" s="31"/>
      <c r="G34" s="31"/>
    </row>
    <row r="35" spans="1:7">
      <c r="B35" s="31" t="s">
        <v>196</v>
      </c>
      <c r="C35" s="31"/>
      <c r="D35" s="31"/>
      <c r="E35" s="31"/>
      <c r="F35" s="31"/>
      <c r="G35" s="31"/>
    </row>
    <row r="36" spans="1:7">
      <c r="B36" s="31" t="s">
        <v>197</v>
      </c>
      <c r="C36" s="31"/>
      <c r="D36" s="31"/>
      <c r="E36" s="31"/>
      <c r="F36" s="31"/>
      <c r="G36" s="31"/>
    </row>
    <row r="37" spans="1:7">
      <c r="B37" s="31" t="s">
        <v>198</v>
      </c>
      <c r="C37" s="31"/>
      <c r="D37" s="31"/>
      <c r="E37" s="31"/>
      <c r="F37" s="31"/>
      <c r="G37" s="31"/>
    </row>
    <row r="38" spans="1:7">
      <c r="B38" s="31" t="s">
        <v>199</v>
      </c>
      <c r="C38" s="31"/>
      <c r="D38" s="31"/>
      <c r="E38" s="31"/>
      <c r="F38" s="31"/>
      <c r="G38" s="31"/>
    </row>
    <row r="41" spans="1:7" ht="15" customHeight="1">
      <c r="A41" s="10" t="s">
        <v>200</v>
      </c>
      <c r="B41" s="10"/>
      <c r="C41" s="10"/>
      <c r="D41" s="10"/>
      <c r="E41" s="10"/>
      <c r="F41" s="10"/>
      <c r="G41" s="10"/>
    </row>
    <row r="42" spans="1:7">
      <c r="B42" s="30" t="s">
        <v>201</v>
      </c>
      <c r="C42" s="30" t="s">
        <v>202</v>
      </c>
      <c r="D42" s="30" t="s">
        <v>203</v>
      </c>
      <c r="E42" s="30" t="s">
        <v>204</v>
      </c>
    </row>
    <row r="43" spans="1:7">
      <c r="B43" s="32" t="s">
        <v>205</v>
      </c>
      <c r="C43" s="32" t="s">
        <v>206</v>
      </c>
      <c r="D43" s="32" t="s">
        <v>207</v>
      </c>
      <c r="E43" s="32" t="s">
        <v>208</v>
      </c>
    </row>
    <row r="44" spans="1:7">
      <c r="B44" s="32" t="s">
        <v>209</v>
      </c>
      <c r="C44" s="32" t="s">
        <v>210</v>
      </c>
      <c r="D44" s="32" t="s">
        <v>211</v>
      </c>
      <c r="E44" s="32" t="s">
        <v>212</v>
      </c>
    </row>
    <row r="45" spans="1:7">
      <c r="C45" s="32" t="s">
        <v>213</v>
      </c>
      <c r="D45" s="32" t="s">
        <v>214</v>
      </c>
      <c r="E45" s="32" t="s">
        <v>215</v>
      </c>
    </row>
    <row r="46" spans="1:7">
      <c r="D46" s="32" t="s">
        <v>216</v>
      </c>
      <c r="E46" s="32" t="s">
        <v>217</v>
      </c>
    </row>
    <row r="47" spans="1:7">
      <c r="D47" s="32" t="s">
        <v>218</v>
      </c>
      <c r="E47" s="32" t="s">
        <v>219</v>
      </c>
    </row>
    <row r="48" spans="1:7">
      <c r="D48" s="32" t="s">
        <v>220</v>
      </c>
    </row>
    <row r="56" spans="2:5">
      <c r="B56" s="30" t="s">
        <v>221</v>
      </c>
      <c r="C56" s="30" t="s">
        <v>222</v>
      </c>
      <c r="D56" s="30" t="s">
        <v>223</v>
      </c>
      <c r="E56" s="30" t="s">
        <v>224</v>
      </c>
    </row>
    <row r="57" spans="2:5">
      <c r="B57" s="32" t="s">
        <v>225</v>
      </c>
      <c r="C57" s="32" t="s">
        <v>226</v>
      </c>
      <c r="D57" s="32" t="s">
        <v>227</v>
      </c>
      <c r="E57" s="32" t="s">
        <v>228</v>
      </c>
    </row>
    <row r="58" spans="2:5">
      <c r="B58" s="32" t="s">
        <v>229</v>
      </c>
      <c r="C58" s="32" t="s">
        <v>230</v>
      </c>
      <c r="D58" s="32" t="s">
        <v>231</v>
      </c>
      <c r="E58" s="32" t="s">
        <v>232</v>
      </c>
    </row>
    <row r="59" spans="2:5">
      <c r="B59" s="32" t="s">
        <v>233</v>
      </c>
      <c r="C59" s="32" t="s">
        <v>234</v>
      </c>
      <c r="D59" s="32" t="s">
        <v>235</v>
      </c>
      <c r="E59" s="32" t="s">
        <v>236</v>
      </c>
    </row>
    <row r="60" spans="2:5">
      <c r="B60" s="32" t="s">
        <v>237</v>
      </c>
      <c r="C60" s="32" t="s">
        <v>238</v>
      </c>
      <c r="D60" s="32" t="s">
        <v>239</v>
      </c>
      <c r="E60" s="32" t="s">
        <v>240</v>
      </c>
    </row>
    <row r="61" spans="2:5">
      <c r="B61" s="32" t="s">
        <v>241</v>
      </c>
      <c r="C61" s="32" t="s">
        <v>242</v>
      </c>
      <c r="D61" s="32" t="s">
        <v>243</v>
      </c>
      <c r="E61" s="32" t="s">
        <v>180</v>
      </c>
    </row>
    <row r="62" spans="2:5">
      <c r="B62" s="32" t="s">
        <v>244</v>
      </c>
      <c r="C62" s="32" t="s">
        <v>245</v>
      </c>
    </row>
    <row r="63" spans="2:5">
      <c r="C63" s="32" t="s">
        <v>246</v>
      </c>
    </row>
    <row r="64" spans="2:5">
      <c r="C64" s="32" t="s">
        <v>247</v>
      </c>
    </row>
    <row r="65" spans="3:3">
      <c r="C65" s="32" t="s">
        <v>248</v>
      </c>
    </row>
    <row r="66" spans="3:3">
      <c r="C66" s="32" t="s">
        <v>249</v>
      </c>
    </row>
    <row r="67" spans="3:3">
      <c r="C67" s="32" t="s">
        <v>250</v>
      </c>
    </row>
    <row r="68" spans="3:3">
      <c r="C68" s="32" t="s">
        <v>180</v>
      </c>
    </row>
  </sheetData>
  <mergeCells count="13">
    <mergeCell ref="D14:G14"/>
    <mergeCell ref="A16:G16"/>
    <mergeCell ref="A41:G41"/>
    <mergeCell ref="D9:G9"/>
    <mergeCell ref="D10:G10"/>
    <mergeCell ref="D11:G11"/>
    <mergeCell ref="D12:G12"/>
    <mergeCell ref="D13:G13"/>
    <mergeCell ref="A1:G2"/>
    <mergeCell ref="A3:G3"/>
    <mergeCell ref="A5:G5"/>
    <mergeCell ref="D7:G7"/>
    <mergeCell ref="D8:G8"/>
  </mergeCells>
  <printOptions horizontalCentered="1"/>
  <pageMargins left="0.5" right="0.5" top="0.6" bottom="0.6" header="0.511811023622047" footer="0.511811023622047"/>
  <pageSetup paperSize="9" fitToHeight="0"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50"/>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251</v>
      </c>
      <c r="B1" s="8"/>
      <c r="C1" s="8"/>
      <c r="D1" s="8"/>
      <c r="E1" s="8"/>
    </row>
    <row r="2" spans="1:5">
      <c r="A2" s="8"/>
      <c r="B2" s="8"/>
      <c r="C2" s="8"/>
      <c r="D2" s="8"/>
      <c r="E2" s="8"/>
    </row>
    <row r="3" spans="1:5" ht="15" customHeight="1">
      <c r="A3" s="11" t="s">
        <v>252</v>
      </c>
      <c r="B3" s="11"/>
      <c r="C3" s="11"/>
      <c r="D3" s="11"/>
      <c r="E3" s="11"/>
    </row>
    <row r="4" spans="1:5" ht="27.75" customHeight="1">
      <c r="A4" s="6" t="s">
        <v>253</v>
      </c>
      <c r="B4" s="6"/>
      <c r="C4" s="6"/>
      <c r="D4" s="6"/>
      <c r="E4" s="6"/>
    </row>
    <row r="5" spans="1:5" ht="27.75" customHeight="1">
      <c r="A5" s="6"/>
      <c r="B5" s="6"/>
      <c r="C5" s="6"/>
      <c r="D5" s="6"/>
      <c r="E5" s="6"/>
    </row>
    <row r="7" spans="1:5" ht="15" customHeight="1">
      <c r="A7" s="10" t="s">
        <v>254</v>
      </c>
      <c r="B7" s="10"/>
      <c r="C7" s="10"/>
      <c r="D7" s="10"/>
      <c r="E7" s="10"/>
    </row>
    <row r="8" spans="1:5" ht="21.75" customHeight="1">
      <c r="A8" s="33">
        <v>1</v>
      </c>
      <c r="B8" s="5" t="s">
        <v>255</v>
      </c>
      <c r="C8" s="5"/>
      <c r="D8" s="34"/>
      <c r="E8" s="35" t="s">
        <v>256</v>
      </c>
    </row>
    <row r="9" spans="1:5" ht="21.75" customHeight="1">
      <c r="A9" s="33">
        <v>2</v>
      </c>
      <c r="B9" s="5" t="s">
        <v>257</v>
      </c>
      <c r="C9" s="5"/>
      <c r="D9" s="34"/>
      <c r="E9" s="35" t="s">
        <v>256</v>
      </c>
    </row>
    <row r="10" spans="1:5" ht="21.75" customHeight="1">
      <c r="A10" s="33">
        <v>3</v>
      </c>
      <c r="B10" s="5" t="s">
        <v>258</v>
      </c>
      <c r="C10" s="5"/>
      <c r="D10" s="34"/>
      <c r="E10" s="35" t="s">
        <v>256</v>
      </c>
    </row>
    <row r="11" spans="1:5" ht="21.75" customHeight="1">
      <c r="A11" s="33">
        <v>4</v>
      </c>
      <c r="B11" s="5" t="s">
        <v>259</v>
      </c>
      <c r="C11" s="5"/>
      <c r="D11" s="34"/>
      <c r="E11" s="35" t="s">
        <v>256</v>
      </c>
    </row>
    <row r="12" spans="1:5" ht="21.75" customHeight="1">
      <c r="A12" s="33">
        <v>5</v>
      </c>
      <c r="B12" s="5" t="s">
        <v>260</v>
      </c>
      <c r="C12" s="5"/>
      <c r="D12" s="36"/>
      <c r="E12" s="35" t="s">
        <v>256</v>
      </c>
    </row>
    <row r="13" spans="1:5" ht="21.75" customHeight="1">
      <c r="A13" s="33">
        <v>6</v>
      </c>
      <c r="B13" s="5" t="s">
        <v>261</v>
      </c>
      <c r="C13" s="5"/>
      <c r="D13" s="34"/>
      <c r="E13" s="35" t="s">
        <v>256</v>
      </c>
    </row>
    <row r="14" spans="1:5" ht="21.75" customHeight="1">
      <c r="A14" s="33">
        <v>7</v>
      </c>
      <c r="B14" s="5" t="s">
        <v>262</v>
      </c>
      <c r="C14" s="5"/>
      <c r="D14" s="34"/>
      <c r="E14" s="35" t="s">
        <v>256</v>
      </c>
    </row>
    <row r="15" spans="1:5" ht="21.75" customHeight="1">
      <c r="A15" s="33">
        <v>8</v>
      </c>
      <c r="B15" s="5" t="s">
        <v>263</v>
      </c>
      <c r="C15" s="5"/>
      <c r="D15" s="34"/>
      <c r="E15" s="35" t="s">
        <v>256</v>
      </c>
    </row>
    <row r="16" spans="1:5" ht="21.75" customHeight="1">
      <c r="A16" s="33">
        <v>9</v>
      </c>
      <c r="B16" s="5" t="s">
        <v>264</v>
      </c>
      <c r="C16" s="5"/>
      <c r="D16" s="34"/>
      <c r="E16" s="35" t="s">
        <v>256</v>
      </c>
    </row>
    <row r="17" spans="1:5" ht="15" customHeight="1">
      <c r="A17" s="10" t="s">
        <v>265</v>
      </c>
      <c r="B17" s="10"/>
      <c r="C17" s="10"/>
      <c r="D17" s="10"/>
      <c r="E17" s="10"/>
    </row>
    <row r="18" spans="1:5" ht="21.75" customHeight="1">
      <c r="A18" s="33">
        <v>10</v>
      </c>
      <c r="B18" s="5" t="s">
        <v>266</v>
      </c>
      <c r="C18" s="5"/>
      <c r="D18" s="34"/>
      <c r="E18" s="35" t="s">
        <v>256</v>
      </c>
    </row>
    <row r="19" spans="1:5" ht="21.75" customHeight="1">
      <c r="A19" s="33">
        <v>11</v>
      </c>
      <c r="B19" s="5" t="s">
        <v>267</v>
      </c>
      <c r="C19" s="5"/>
      <c r="D19" s="34"/>
      <c r="E19" s="35" t="s">
        <v>256</v>
      </c>
    </row>
    <row r="20" spans="1:5" ht="21.75" customHeight="1">
      <c r="A20" s="33">
        <v>12</v>
      </c>
      <c r="B20" s="5" t="s">
        <v>268</v>
      </c>
      <c r="C20" s="5"/>
      <c r="D20" s="34"/>
      <c r="E20" s="37" t="s">
        <v>269</v>
      </c>
    </row>
    <row r="21" spans="1:5" ht="21.75" customHeight="1">
      <c r="A21" s="33">
        <v>13</v>
      </c>
      <c r="B21" s="5" t="s">
        <v>270</v>
      </c>
      <c r="C21" s="5"/>
      <c r="D21" s="34"/>
      <c r="E21" s="35" t="s">
        <v>256</v>
      </c>
    </row>
    <row r="22" spans="1:5" ht="15" customHeight="1">
      <c r="A22" s="10" t="s">
        <v>271</v>
      </c>
      <c r="B22" s="10"/>
      <c r="C22" s="10"/>
      <c r="D22" s="10"/>
      <c r="E22" s="10"/>
    </row>
    <row r="23" spans="1:5" ht="21.75" customHeight="1">
      <c r="A23" s="33">
        <v>14</v>
      </c>
      <c r="B23" s="5" t="s">
        <v>272</v>
      </c>
      <c r="C23" s="5"/>
      <c r="D23" s="34"/>
      <c r="E23" s="35" t="s">
        <v>256</v>
      </c>
    </row>
    <row r="24" spans="1:5" ht="48" customHeight="1">
      <c r="A24" s="33">
        <v>15</v>
      </c>
      <c r="B24" s="5" t="s">
        <v>273</v>
      </c>
      <c r="C24" s="5"/>
      <c r="D24" s="38"/>
      <c r="E24" s="35" t="s">
        <v>256</v>
      </c>
    </row>
    <row r="25" spans="1:5" ht="21.75" customHeight="1">
      <c r="A25" s="33">
        <v>16</v>
      </c>
      <c r="B25" s="5" t="s">
        <v>274</v>
      </c>
      <c r="C25" s="5"/>
      <c r="D25" s="34"/>
      <c r="E25" s="35" t="s">
        <v>256</v>
      </c>
    </row>
    <row r="26" spans="1:5" ht="21.75" customHeight="1">
      <c r="A26" s="33">
        <v>17</v>
      </c>
      <c r="B26" s="5" t="s">
        <v>275</v>
      </c>
      <c r="C26" s="5"/>
      <c r="D26" s="34"/>
      <c r="E26" s="35" t="s">
        <v>256</v>
      </c>
    </row>
    <row r="27" spans="1:5" ht="21.75" customHeight="1">
      <c r="A27" s="33">
        <v>18</v>
      </c>
      <c r="B27" s="5" t="s">
        <v>276</v>
      </c>
      <c r="C27" s="5"/>
      <c r="D27" s="34"/>
      <c r="E27" s="35" t="s">
        <v>256</v>
      </c>
    </row>
    <row r="28" spans="1:5" ht="21.75" customHeight="1">
      <c r="A28" s="33">
        <v>19</v>
      </c>
      <c r="B28" s="5" t="s">
        <v>277</v>
      </c>
      <c r="C28" s="5"/>
      <c r="D28" s="39"/>
      <c r="E28" s="37" t="s">
        <v>269</v>
      </c>
    </row>
    <row r="29" spans="1:5" ht="21.75" customHeight="1">
      <c r="A29" s="33">
        <v>20</v>
      </c>
      <c r="B29" s="5" t="s">
        <v>278</v>
      </c>
      <c r="C29" s="5"/>
      <c r="D29" s="39"/>
      <c r="E29" s="37" t="s">
        <v>269</v>
      </c>
    </row>
    <row r="30" spans="1:5" ht="21.75" customHeight="1">
      <c r="A30" s="33">
        <v>21</v>
      </c>
      <c r="B30" s="5" t="s">
        <v>279</v>
      </c>
      <c r="C30" s="5"/>
      <c r="D30" s="34"/>
      <c r="E30" s="35" t="s">
        <v>256</v>
      </c>
    </row>
    <row r="31" spans="1:5" ht="15" customHeight="1">
      <c r="A31" s="10" t="s">
        <v>280</v>
      </c>
      <c r="B31" s="10"/>
      <c r="C31" s="10"/>
      <c r="D31" s="10"/>
      <c r="E31" s="10"/>
    </row>
    <row r="32" spans="1:5" ht="21.75" customHeight="1">
      <c r="A32" s="33">
        <v>22</v>
      </c>
      <c r="B32" s="5" t="s">
        <v>281</v>
      </c>
      <c r="C32" s="5"/>
      <c r="D32" s="34"/>
      <c r="E32" s="35" t="s">
        <v>256</v>
      </c>
    </row>
    <row r="33" spans="1:5" ht="21.75" customHeight="1">
      <c r="A33" s="33">
        <v>23</v>
      </c>
      <c r="B33" s="5" t="s">
        <v>282</v>
      </c>
      <c r="C33" s="5"/>
      <c r="D33" s="34"/>
      <c r="E33" s="37" t="s">
        <v>269</v>
      </c>
    </row>
    <row r="35" spans="1:5" ht="15" customHeight="1">
      <c r="A35" s="10" t="s">
        <v>283</v>
      </c>
      <c r="B35" s="10"/>
      <c r="C35" s="10"/>
      <c r="D35" s="10"/>
      <c r="E35" s="10"/>
    </row>
    <row r="36" spans="1:5" ht="36" customHeight="1">
      <c r="A36" s="40" t="s">
        <v>284</v>
      </c>
      <c r="B36" s="9" t="s">
        <v>285</v>
      </c>
      <c r="C36" s="9"/>
      <c r="D36" s="9"/>
      <c r="E36" s="41" t="s">
        <v>256</v>
      </c>
    </row>
    <row r="37" spans="1:5" ht="36" customHeight="1">
      <c r="A37" s="40" t="s">
        <v>284</v>
      </c>
      <c r="B37" s="9" t="s">
        <v>286</v>
      </c>
      <c r="C37" s="9"/>
      <c r="D37" s="9"/>
      <c r="E37" s="41" t="s">
        <v>256</v>
      </c>
    </row>
    <row r="38" spans="1:5" ht="36" customHeight="1">
      <c r="A38" s="40" t="s">
        <v>284</v>
      </c>
      <c r="B38" s="9" t="s">
        <v>287</v>
      </c>
      <c r="C38" s="9"/>
      <c r="D38" s="9"/>
      <c r="E38" s="41" t="s">
        <v>256</v>
      </c>
    </row>
    <row r="39" spans="1:5" ht="36" customHeight="1">
      <c r="A39" s="40" t="s">
        <v>284</v>
      </c>
      <c r="B39" s="9" t="s">
        <v>288</v>
      </c>
      <c r="C39" s="9"/>
      <c r="D39" s="9"/>
      <c r="E39" s="42" t="s">
        <v>269</v>
      </c>
    </row>
    <row r="41" spans="1:5" ht="15" customHeight="1">
      <c r="A41" s="4" t="s">
        <v>289</v>
      </c>
      <c r="B41" s="4"/>
      <c r="C41" s="4"/>
      <c r="D41" s="4"/>
      <c r="E41" s="4"/>
    </row>
    <row r="42" spans="1:5" ht="24" customHeight="1">
      <c r="A42" s="43"/>
      <c r="B42" s="3" t="s">
        <v>290</v>
      </c>
      <c r="C42" s="3"/>
      <c r="D42" s="44" t="str">
        <f ca="1">"KYN-CL-"&amp;TEXT(TODAY(),"YYYYMMDD")&amp;"-"&amp;TEXT(RANDBETWEEN(1000,9999),"0000")</f>
        <v>KYN-CL-20260609-5372</v>
      </c>
      <c r="E42" s="45" t="s">
        <v>91</v>
      </c>
    </row>
    <row r="43" spans="1:5" ht="24" customHeight="1">
      <c r="A43" s="43"/>
      <c r="B43" s="3" t="s">
        <v>291</v>
      </c>
      <c r="C43" s="3"/>
      <c r="D43" s="46">
        <f ca="1">NOW()</f>
        <v>46182.775330671298</v>
      </c>
      <c r="E43" s="45" t="s">
        <v>91</v>
      </c>
    </row>
    <row r="44" spans="1:5" ht="24" customHeight="1">
      <c r="A44" s="43"/>
      <c r="B44" s="3" t="s">
        <v>292</v>
      </c>
      <c r="C44" s="3"/>
      <c r="D44" s="34"/>
      <c r="E44" s="45" t="s">
        <v>91</v>
      </c>
    </row>
    <row r="45" spans="1:5" ht="24" customHeight="1">
      <c r="A45" s="43"/>
      <c r="B45" s="3" t="s">
        <v>293</v>
      </c>
      <c r="C45" s="3"/>
      <c r="D45" s="34"/>
      <c r="E45" s="45" t="s">
        <v>91</v>
      </c>
    </row>
    <row r="46" spans="1:5" ht="24" customHeight="1">
      <c r="A46" s="43"/>
      <c r="B46" s="3" t="s">
        <v>294</v>
      </c>
      <c r="C46" s="3"/>
      <c r="D46" s="34"/>
      <c r="E46" s="45" t="s">
        <v>91</v>
      </c>
    </row>
    <row r="47" spans="1:5" ht="24" customHeight="1">
      <c r="A47" s="43"/>
      <c r="B47" s="3" t="s">
        <v>295</v>
      </c>
      <c r="C47" s="3"/>
      <c r="D47" s="34"/>
      <c r="E47" s="45" t="s">
        <v>91</v>
      </c>
    </row>
    <row r="48" spans="1:5" ht="24" customHeight="1">
      <c r="A48" s="43"/>
      <c r="B48" s="3" t="s">
        <v>296</v>
      </c>
      <c r="C48" s="3"/>
      <c r="D48" s="34"/>
      <c r="E48" s="45" t="s">
        <v>91</v>
      </c>
    </row>
    <row r="50" spans="1:5" ht="25.5" customHeight="1">
      <c r="A50" s="2" t="s">
        <v>297</v>
      </c>
      <c r="B50" s="2"/>
      <c r="C50" s="2"/>
      <c r="D50" s="2"/>
      <c r="E50" s="2"/>
    </row>
  </sheetData>
  <mergeCells count="44">
    <mergeCell ref="B46:C46"/>
    <mergeCell ref="B47:C47"/>
    <mergeCell ref="B48:C48"/>
    <mergeCell ref="A50:E50"/>
    <mergeCell ref="A41:E41"/>
    <mergeCell ref="B42:C42"/>
    <mergeCell ref="B43:C43"/>
    <mergeCell ref="B44:C44"/>
    <mergeCell ref="B45:C45"/>
    <mergeCell ref="A35:E35"/>
    <mergeCell ref="B36:D36"/>
    <mergeCell ref="B37:D37"/>
    <mergeCell ref="B38:D38"/>
    <mergeCell ref="B39:D39"/>
    <mergeCell ref="B29:C29"/>
    <mergeCell ref="B30:C30"/>
    <mergeCell ref="A31:E31"/>
    <mergeCell ref="B32:C32"/>
    <mergeCell ref="B33:C33"/>
    <mergeCell ref="B24:C24"/>
    <mergeCell ref="B25:C25"/>
    <mergeCell ref="B26:C26"/>
    <mergeCell ref="B27:C27"/>
    <mergeCell ref="B28:C28"/>
    <mergeCell ref="B19:C19"/>
    <mergeCell ref="B20:C20"/>
    <mergeCell ref="B21:C21"/>
    <mergeCell ref="A22:E22"/>
    <mergeCell ref="B23:C23"/>
    <mergeCell ref="B14:C14"/>
    <mergeCell ref="B15:C15"/>
    <mergeCell ref="B16:C16"/>
    <mergeCell ref="A17:E17"/>
    <mergeCell ref="B18:C18"/>
    <mergeCell ref="B9:C9"/>
    <mergeCell ref="B10:C10"/>
    <mergeCell ref="B11:C11"/>
    <mergeCell ref="B12:C12"/>
    <mergeCell ref="B13:C13"/>
    <mergeCell ref="A1:E2"/>
    <mergeCell ref="A3:E3"/>
    <mergeCell ref="A4:E5"/>
    <mergeCell ref="A7:E7"/>
    <mergeCell ref="B8:C8"/>
  </mergeCells>
  <dataValidations count="12">
    <dataValidation type="custom" allowBlank="1" errorTitle="Email" error="Enter a valid email" sqref="D11" xr:uid="{00000000-0002-0000-0200-000000000000}">
      <formula1>ISNUMBER(SEARCH("@",D11))</formula1>
      <formula2>0</formula2>
    </dataValidation>
    <dataValidation type="list" allowBlank="1" sqref="D13" xr:uid="{00000000-0002-0000-0200-000001000000}">
      <formula1>Countries</formula1>
      <formula2>0</formula2>
    </dataValidation>
    <dataValidation type="list" allowBlank="1" sqref="D15" xr:uid="{00000000-0002-0000-0200-000002000000}">
      <formula1>Languages</formula1>
      <formula2>0</formula2>
    </dataValidation>
    <dataValidation type="list" allowBlank="1" sqref="D16 D44 D32" xr:uid="{00000000-0002-0000-0200-000003000000}">
      <formula1>Channels</formula1>
      <formula2>0</formula2>
    </dataValidation>
    <dataValidation type="list" allowBlank="1" sqref="D18" xr:uid="{00000000-0002-0000-0200-000004000000}">
      <formula1>Industries</formula1>
      <formula2>0</formula2>
    </dataValidation>
    <dataValidation type="list" allowBlank="1" sqref="D19" xr:uid="{00000000-0002-0000-0200-000005000000}">
      <formula1>OrgSizes</formula1>
      <formula2>0</formula2>
    </dataValidation>
    <dataValidation type="list" allowBlank="1" sqref="D21 D30" xr:uid="{00000000-0002-0000-0200-000006000000}">
      <formula1>YesNo</formula1>
      <formula2>0</formula2>
    </dataValidation>
    <dataValidation type="list" allowBlank="1" sqref="D25" xr:uid="{00000000-0002-0000-0200-000007000000}">
      <formula1>Domains</formula1>
      <formula2>0</formula2>
    </dataValidation>
    <dataValidation type="list" allowBlank="1" sqref="D26" xr:uid="{00000000-0002-0000-0200-000008000000}">
      <formula1>BudgetBands</formula1>
      <formula2>0</formula2>
    </dataValidation>
    <dataValidation type="list" allowBlank="1" sqref="D27" xr:uid="{00000000-0002-0000-0200-000009000000}">
      <formula1>Currencies</formula1>
      <formula2>0</formula2>
    </dataValidation>
    <dataValidation type="date" allowBlank="1" errorTitle="Date" error="Enter a valid date" sqref="D28:D29" xr:uid="{00000000-0002-0000-0200-00000A000000}">
      <formula1>DATE(2020,1,1)</formula1>
      <formula2>DATE(2035,12,31)</formula2>
    </dataValidation>
    <dataValidation type="list" allowBlank="1" sqref="D46" xr:uid="{00000000-0002-0000-0200-00000F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54"/>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298</v>
      </c>
      <c r="B1" s="8"/>
      <c r="C1" s="8"/>
      <c r="D1" s="8"/>
      <c r="E1" s="8"/>
    </row>
    <row r="2" spans="1:5">
      <c r="A2" s="8"/>
      <c r="B2" s="8"/>
      <c r="C2" s="8"/>
      <c r="D2" s="8"/>
      <c r="E2" s="8"/>
    </row>
    <row r="3" spans="1:5" ht="15" customHeight="1">
      <c r="A3" s="11" t="s">
        <v>299</v>
      </c>
      <c r="B3" s="11"/>
      <c r="C3" s="11"/>
      <c r="D3" s="11"/>
      <c r="E3" s="11"/>
    </row>
    <row r="4" spans="1:5" ht="27.75" customHeight="1">
      <c r="A4" s="6" t="s">
        <v>300</v>
      </c>
      <c r="B4" s="6"/>
      <c r="C4" s="6"/>
      <c r="D4" s="6"/>
      <c r="E4" s="6"/>
    </row>
    <row r="5" spans="1:5" ht="27.75" customHeight="1">
      <c r="A5" s="6"/>
      <c r="B5" s="6"/>
      <c r="C5" s="6"/>
      <c r="D5" s="6"/>
      <c r="E5" s="6"/>
    </row>
    <row r="7" spans="1:5" ht="15" customHeight="1">
      <c r="A7" s="10" t="s">
        <v>301</v>
      </c>
      <c r="B7" s="10"/>
      <c r="C7" s="10"/>
      <c r="D7" s="10"/>
      <c r="E7" s="10"/>
    </row>
    <row r="8" spans="1:5" ht="21.75" customHeight="1">
      <c r="A8" s="33">
        <v>1</v>
      </c>
      <c r="B8" s="5" t="s">
        <v>255</v>
      </c>
      <c r="C8" s="5"/>
      <c r="D8" s="34"/>
      <c r="E8" s="35" t="s">
        <v>256</v>
      </c>
    </row>
    <row r="9" spans="1:5" ht="21.75" customHeight="1">
      <c r="A9" s="33">
        <v>2</v>
      </c>
      <c r="B9" s="5" t="s">
        <v>302</v>
      </c>
      <c r="C9" s="5"/>
      <c r="D9" s="34"/>
      <c r="E9" s="37" t="s">
        <v>269</v>
      </c>
    </row>
    <row r="10" spans="1:5" ht="21.75" customHeight="1">
      <c r="A10" s="33">
        <v>3</v>
      </c>
      <c r="B10" s="5" t="s">
        <v>303</v>
      </c>
      <c r="C10" s="5"/>
      <c r="D10" s="34"/>
      <c r="E10" s="35" t="s">
        <v>256</v>
      </c>
    </row>
    <row r="11" spans="1:5" ht="21.75" customHeight="1">
      <c r="A11" s="33">
        <v>4</v>
      </c>
      <c r="B11" s="5" t="s">
        <v>304</v>
      </c>
      <c r="C11" s="5"/>
      <c r="D11" s="34"/>
      <c r="E11" s="35" t="s">
        <v>256</v>
      </c>
    </row>
    <row r="12" spans="1:5" ht="21.75" customHeight="1">
      <c r="A12" s="33">
        <v>5</v>
      </c>
      <c r="B12" s="5" t="s">
        <v>260</v>
      </c>
      <c r="C12" s="5"/>
      <c r="D12" s="36"/>
      <c r="E12" s="35" t="s">
        <v>256</v>
      </c>
    </row>
    <row r="13" spans="1:5" ht="21.75" customHeight="1">
      <c r="A13" s="33">
        <v>6</v>
      </c>
      <c r="B13" s="5" t="s">
        <v>305</v>
      </c>
      <c r="C13" s="5"/>
      <c r="D13" s="34"/>
      <c r="E13" s="35" t="s">
        <v>256</v>
      </c>
    </row>
    <row r="14" spans="1:5" ht="21.75" customHeight="1">
      <c r="A14" s="33">
        <v>7</v>
      </c>
      <c r="B14" s="5" t="s">
        <v>262</v>
      </c>
      <c r="C14" s="5"/>
      <c r="D14" s="34"/>
      <c r="E14" s="35" t="s">
        <v>256</v>
      </c>
    </row>
    <row r="15" spans="1:5" ht="21.75" customHeight="1">
      <c r="A15" s="33">
        <v>8</v>
      </c>
      <c r="B15" s="5" t="s">
        <v>306</v>
      </c>
      <c r="C15" s="5"/>
      <c r="D15" s="34"/>
      <c r="E15" s="35" t="s">
        <v>256</v>
      </c>
    </row>
    <row r="16" spans="1:5" ht="15" customHeight="1">
      <c r="A16" s="10" t="s">
        <v>307</v>
      </c>
      <c r="B16" s="10"/>
      <c r="C16" s="10"/>
      <c r="D16" s="10"/>
      <c r="E16" s="10"/>
    </row>
    <row r="17" spans="1:5" ht="21.75" customHeight="1">
      <c r="A17" s="33">
        <v>9</v>
      </c>
      <c r="B17" s="5" t="s">
        <v>308</v>
      </c>
      <c r="C17" s="5"/>
      <c r="D17" s="34"/>
      <c r="E17" s="35" t="s">
        <v>256</v>
      </c>
    </row>
    <row r="18" spans="1:5" ht="21.75" customHeight="1">
      <c r="A18" s="33">
        <v>10</v>
      </c>
      <c r="B18" s="5" t="s">
        <v>309</v>
      </c>
      <c r="C18" s="5"/>
      <c r="D18" s="34"/>
      <c r="E18" s="35" t="s">
        <v>256</v>
      </c>
    </row>
    <row r="19" spans="1:5" ht="21.75" customHeight="1">
      <c r="A19" s="33">
        <v>11</v>
      </c>
      <c r="B19" s="5" t="s">
        <v>310</v>
      </c>
      <c r="C19" s="5"/>
      <c r="D19" s="34"/>
      <c r="E19" s="35" t="s">
        <v>256</v>
      </c>
    </row>
    <row r="20" spans="1:5" ht="21.75" customHeight="1">
      <c r="A20" s="33">
        <v>12</v>
      </c>
      <c r="B20" s="5" t="s">
        <v>311</v>
      </c>
      <c r="C20" s="5"/>
      <c r="D20" s="34"/>
      <c r="E20" s="35" t="s">
        <v>256</v>
      </c>
    </row>
    <row r="21" spans="1:5" ht="21.75" customHeight="1">
      <c r="A21" s="33">
        <v>13</v>
      </c>
      <c r="B21" s="5" t="s">
        <v>312</v>
      </c>
      <c r="C21" s="5"/>
      <c r="D21" s="34"/>
      <c r="E21" s="37" t="s">
        <v>269</v>
      </c>
    </row>
    <row r="22" spans="1:5" ht="21.75" customHeight="1">
      <c r="A22" s="33">
        <v>14</v>
      </c>
      <c r="B22" s="5" t="s">
        <v>313</v>
      </c>
      <c r="C22" s="5"/>
      <c r="D22" s="34"/>
      <c r="E22" s="37" t="s">
        <v>269</v>
      </c>
    </row>
    <row r="23" spans="1:5" ht="48" customHeight="1">
      <c r="A23" s="33">
        <v>15</v>
      </c>
      <c r="B23" s="5" t="s">
        <v>314</v>
      </c>
      <c r="C23" s="5"/>
      <c r="D23" s="38"/>
      <c r="E23" s="35" t="s">
        <v>256</v>
      </c>
    </row>
    <row r="24" spans="1:5" ht="15" customHeight="1">
      <c r="A24" s="10" t="s">
        <v>315</v>
      </c>
      <c r="B24" s="10"/>
      <c r="C24" s="10"/>
      <c r="D24" s="10"/>
      <c r="E24" s="10"/>
    </row>
    <row r="25" spans="1:5" ht="21.75" customHeight="1">
      <c r="A25" s="33">
        <v>16</v>
      </c>
      <c r="B25" s="5" t="s">
        <v>316</v>
      </c>
      <c r="C25" s="5"/>
      <c r="D25" s="34"/>
      <c r="E25" s="35" t="s">
        <v>256</v>
      </c>
    </row>
    <row r="26" spans="1:5" ht="21.75" customHeight="1">
      <c r="A26" s="33">
        <v>17</v>
      </c>
      <c r="B26" s="5" t="s">
        <v>317</v>
      </c>
      <c r="C26" s="5"/>
      <c r="D26" s="34"/>
      <c r="E26" s="35" t="s">
        <v>256</v>
      </c>
    </row>
    <row r="27" spans="1:5" ht="21.75" customHeight="1">
      <c r="A27" s="33">
        <v>18</v>
      </c>
      <c r="B27" s="5" t="s">
        <v>276</v>
      </c>
      <c r="C27" s="5"/>
      <c r="D27" s="34"/>
      <c r="E27" s="35" t="s">
        <v>256</v>
      </c>
    </row>
    <row r="28" spans="1:5" ht="21.75" customHeight="1">
      <c r="A28" s="33">
        <v>19</v>
      </c>
      <c r="B28" s="5" t="s">
        <v>318</v>
      </c>
      <c r="C28" s="5"/>
      <c r="D28" s="34"/>
      <c r="E28" s="35" t="s">
        <v>256</v>
      </c>
    </row>
    <row r="29" spans="1:5" ht="21.75" customHeight="1">
      <c r="A29" s="33">
        <v>20</v>
      </c>
      <c r="B29" s="5" t="s">
        <v>319</v>
      </c>
      <c r="C29" s="5"/>
      <c r="D29" s="34"/>
      <c r="E29" s="35" t="s">
        <v>256</v>
      </c>
    </row>
    <row r="30" spans="1:5" ht="21.75" customHeight="1">
      <c r="A30" s="33">
        <v>21</v>
      </c>
      <c r="B30" s="5" t="s">
        <v>320</v>
      </c>
      <c r="C30" s="5"/>
      <c r="D30" s="34"/>
      <c r="E30" s="35" t="s">
        <v>256</v>
      </c>
    </row>
    <row r="31" spans="1:5" ht="15" customHeight="1">
      <c r="A31" s="10" t="s">
        <v>321</v>
      </c>
      <c r="B31" s="10"/>
      <c r="C31" s="10"/>
      <c r="D31" s="10"/>
      <c r="E31" s="10"/>
    </row>
    <row r="32" spans="1:5" ht="21.75" customHeight="1">
      <c r="A32" s="33">
        <v>22</v>
      </c>
      <c r="B32" s="5" t="s">
        <v>322</v>
      </c>
      <c r="C32" s="5"/>
      <c r="D32" s="34"/>
      <c r="E32" s="35" t="s">
        <v>256</v>
      </c>
    </row>
    <row r="33" spans="1:5" ht="21.75" customHeight="1">
      <c r="A33" s="33">
        <v>23</v>
      </c>
      <c r="B33" s="5" t="s">
        <v>323</v>
      </c>
      <c r="C33" s="5"/>
      <c r="D33" s="34"/>
      <c r="E33" s="35" t="s">
        <v>256</v>
      </c>
    </row>
    <row r="34" spans="1:5" ht="21.75" customHeight="1">
      <c r="A34" s="33">
        <v>24</v>
      </c>
      <c r="B34" s="5" t="s">
        <v>324</v>
      </c>
      <c r="C34" s="5"/>
      <c r="D34" s="34"/>
      <c r="E34" s="37" t="s">
        <v>269</v>
      </c>
    </row>
    <row r="35" spans="1:5" ht="15" customHeight="1">
      <c r="A35" s="10" t="s">
        <v>325</v>
      </c>
      <c r="B35" s="10"/>
      <c r="C35" s="10"/>
      <c r="D35" s="10"/>
      <c r="E35" s="10"/>
    </row>
    <row r="36" spans="1:5" ht="21.75" customHeight="1">
      <c r="A36" s="33">
        <v>25</v>
      </c>
      <c r="B36" s="5" t="s">
        <v>281</v>
      </c>
      <c r="C36" s="5"/>
      <c r="D36" s="34"/>
      <c r="E36" s="35" t="s">
        <v>256</v>
      </c>
    </row>
    <row r="37" spans="1:5" ht="21.75" customHeight="1">
      <c r="A37" s="33">
        <v>26</v>
      </c>
      <c r="B37" s="5" t="s">
        <v>326</v>
      </c>
      <c r="C37" s="5"/>
      <c r="D37" s="34"/>
      <c r="E37" s="37" t="s">
        <v>269</v>
      </c>
    </row>
    <row r="39" spans="1:5" ht="15" customHeight="1">
      <c r="A39" s="10" t="s">
        <v>283</v>
      </c>
      <c r="B39" s="10"/>
      <c r="C39" s="10"/>
      <c r="D39" s="10"/>
      <c r="E39" s="10"/>
    </row>
    <row r="40" spans="1:5" ht="36" customHeight="1">
      <c r="A40" s="40" t="s">
        <v>284</v>
      </c>
      <c r="B40" s="9" t="s">
        <v>285</v>
      </c>
      <c r="C40" s="9"/>
      <c r="D40" s="9"/>
      <c r="E40" s="41" t="s">
        <v>256</v>
      </c>
    </row>
    <row r="41" spans="1:5" ht="36" customHeight="1">
      <c r="A41" s="40" t="s">
        <v>284</v>
      </c>
      <c r="B41" s="9" t="s">
        <v>286</v>
      </c>
      <c r="C41" s="9"/>
      <c r="D41" s="9"/>
      <c r="E41" s="41" t="s">
        <v>256</v>
      </c>
    </row>
    <row r="42" spans="1:5" ht="36" customHeight="1">
      <c r="A42" s="40" t="s">
        <v>284</v>
      </c>
      <c r="B42" s="9" t="s">
        <v>287</v>
      </c>
      <c r="C42" s="9"/>
      <c r="D42" s="9"/>
      <c r="E42" s="41" t="s">
        <v>256</v>
      </c>
    </row>
    <row r="43" spans="1:5" ht="36" customHeight="1">
      <c r="A43" s="40" t="s">
        <v>284</v>
      </c>
      <c r="B43" s="9" t="s">
        <v>288</v>
      </c>
      <c r="C43" s="9"/>
      <c r="D43" s="9"/>
      <c r="E43" s="42" t="s">
        <v>269</v>
      </c>
    </row>
    <row r="45" spans="1:5" ht="15" customHeight="1">
      <c r="A45" s="4" t="s">
        <v>289</v>
      </c>
      <c r="B45" s="4"/>
      <c r="C45" s="4"/>
      <c r="D45" s="4"/>
      <c r="E45" s="4"/>
    </row>
    <row r="46" spans="1:5" ht="24" customHeight="1">
      <c r="A46" s="43"/>
      <c r="B46" s="3" t="s">
        <v>290</v>
      </c>
      <c r="C46" s="3"/>
      <c r="D46" s="44" t="str">
        <f ca="1">"KYN-TL-"&amp;TEXT(TODAY(),"YYYYMMDD")&amp;"-"&amp;TEXT(RANDBETWEEN(1000,9999),"0000")</f>
        <v>KYN-TL-20260609-6080</v>
      </c>
      <c r="E46" s="45" t="s">
        <v>91</v>
      </c>
    </row>
    <row r="47" spans="1:5" ht="24" customHeight="1">
      <c r="A47" s="43"/>
      <c r="B47" s="3" t="s">
        <v>291</v>
      </c>
      <c r="C47" s="3"/>
      <c r="D47" s="46">
        <f ca="1">NOW()</f>
        <v>46182.775330671298</v>
      </c>
      <c r="E47" s="45" t="s">
        <v>91</v>
      </c>
    </row>
    <row r="48" spans="1:5" ht="24" customHeight="1">
      <c r="A48" s="43"/>
      <c r="B48" s="3" t="s">
        <v>292</v>
      </c>
      <c r="C48" s="3"/>
      <c r="D48" s="34"/>
      <c r="E48" s="45" t="s">
        <v>91</v>
      </c>
    </row>
    <row r="49" spans="1:5" ht="24" customHeight="1">
      <c r="A49" s="43"/>
      <c r="B49" s="3" t="s">
        <v>293</v>
      </c>
      <c r="C49" s="3"/>
      <c r="D49" s="34"/>
      <c r="E49" s="45" t="s">
        <v>91</v>
      </c>
    </row>
    <row r="50" spans="1:5" ht="24" customHeight="1">
      <c r="A50" s="43"/>
      <c r="B50" s="3" t="s">
        <v>294</v>
      </c>
      <c r="C50" s="3"/>
      <c r="D50" s="34"/>
      <c r="E50" s="45" t="s">
        <v>91</v>
      </c>
    </row>
    <row r="51" spans="1:5" ht="24" customHeight="1">
      <c r="A51" s="43"/>
      <c r="B51" s="3" t="s">
        <v>295</v>
      </c>
      <c r="C51" s="3"/>
      <c r="D51" s="34"/>
      <c r="E51" s="45" t="s">
        <v>91</v>
      </c>
    </row>
    <row r="52" spans="1:5" ht="24" customHeight="1">
      <c r="A52" s="43"/>
      <c r="B52" s="3" t="s">
        <v>296</v>
      </c>
      <c r="C52" s="3"/>
      <c r="D52" s="34"/>
      <c r="E52" s="45" t="s">
        <v>91</v>
      </c>
    </row>
    <row r="54" spans="1:5" ht="25.5" customHeight="1">
      <c r="A54" s="2" t="s">
        <v>327</v>
      </c>
      <c r="B54" s="2"/>
      <c r="C54" s="2"/>
      <c r="D54" s="2"/>
      <c r="E54" s="2"/>
    </row>
  </sheetData>
  <mergeCells count="48">
    <mergeCell ref="B51:C51"/>
    <mergeCell ref="B52:C52"/>
    <mergeCell ref="A54:E54"/>
    <mergeCell ref="B46:C46"/>
    <mergeCell ref="B47:C47"/>
    <mergeCell ref="B48:C48"/>
    <mergeCell ref="B49:C49"/>
    <mergeCell ref="B50:C50"/>
    <mergeCell ref="B40:D40"/>
    <mergeCell ref="B41:D41"/>
    <mergeCell ref="B42:D42"/>
    <mergeCell ref="B43:D43"/>
    <mergeCell ref="A45:E45"/>
    <mergeCell ref="B34:C34"/>
    <mergeCell ref="A35:E35"/>
    <mergeCell ref="B36:C36"/>
    <mergeCell ref="B37:C37"/>
    <mergeCell ref="A39:E39"/>
    <mergeCell ref="B29:C29"/>
    <mergeCell ref="B30:C30"/>
    <mergeCell ref="A31:E31"/>
    <mergeCell ref="B32:C32"/>
    <mergeCell ref="B33:C33"/>
    <mergeCell ref="A24:E24"/>
    <mergeCell ref="B25:C25"/>
    <mergeCell ref="B26:C26"/>
    <mergeCell ref="B27:C27"/>
    <mergeCell ref="B28:C28"/>
    <mergeCell ref="B19:C19"/>
    <mergeCell ref="B20:C20"/>
    <mergeCell ref="B21:C21"/>
    <mergeCell ref="B22:C22"/>
    <mergeCell ref="B23:C23"/>
    <mergeCell ref="B14:C14"/>
    <mergeCell ref="B15:C15"/>
    <mergeCell ref="A16:E16"/>
    <mergeCell ref="B17:C17"/>
    <mergeCell ref="B18:C18"/>
    <mergeCell ref="B9:C9"/>
    <mergeCell ref="B10:C10"/>
    <mergeCell ref="B11:C11"/>
    <mergeCell ref="B12:C12"/>
    <mergeCell ref="B13:C13"/>
    <mergeCell ref="A1:E2"/>
    <mergeCell ref="A3:E3"/>
    <mergeCell ref="A4:E5"/>
    <mergeCell ref="A7:E7"/>
    <mergeCell ref="B8:C8"/>
  </mergeCells>
  <dataValidations count="12">
    <dataValidation type="list" allowBlank="1" sqref="D9" xr:uid="{00000000-0002-0000-0300-000000000000}">
      <formula1>Genders</formula1>
      <formula2>0</formula2>
    </dataValidation>
    <dataValidation type="list" allowBlank="1" sqref="D10" xr:uid="{00000000-0002-0000-0300-000001000000}">
      <formula1>AgeBands</formula1>
      <formula2>0</formula2>
    </dataValidation>
    <dataValidation type="custom" allowBlank="1" errorTitle="Email" error="Enter a valid email" sqref="D11" xr:uid="{00000000-0002-0000-0300-000002000000}">
      <formula1>ISNUMBER(SEARCH("@",D11))</formula1>
      <formula2>0</formula2>
    </dataValidation>
    <dataValidation type="list" allowBlank="1" sqref="D13" xr:uid="{00000000-0002-0000-0300-000003000000}">
      <formula1>Countries</formula1>
      <formula2>0</formula2>
    </dataValidation>
    <dataValidation type="list" allowBlank="1" sqref="D15" xr:uid="{00000000-0002-0000-0300-000004000000}">
      <formula1>Languages</formula1>
      <formula2>0</formula2>
    </dataValidation>
    <dataValidation type="list" allowBlank="1" sqref="D17" xr:uid="{00000000-0002-0000-0300-000005000000}">
      <formula1>Domains</formula1>
      <formula2>0</formula2>
    </dataValidation>
    <dataValidation type="decimal" operator="greaterThanOrEqual" allowBlank="1" errorTitle="Number" error="Numbers only" sqref="D19 D26 D28" xr:uid="{00000000-0002-0000-0300-000006000000}">
      <formula1>0</formula1>
      <formula2>0</formula2>
    </dataValidation>
    <dataValidation type="list" allowBlank="1" sqref="D25" xr:uid="{00000000-0002-0000-0300-000007000000}">
      <formula1>Availability</formula1>
      <formula2>0</formula2>
    </dataValidation>
    <dataValidation type="list" allowBlank="1" sqref="D27" xr:uid="{00000000-0002-0000-0300-000008000000}">
      <formula1>Currencies</formula1>
      <formula2>0</formula2>
    </dataValidation>
    <dataValidation type="list" allowBlank="1" sqref="D32:D34 D29:D30" xr:uid="{00000000-0002-0000-0300-000009000000}">
      <formula1>YesNo</formula1>
      <formula2>0</formula2>
    </dataValidation>
    <dataValidation type="list" allowBlank="1" sqref="D36 D48" xr:uid="{00000000-0002-0000-0300-00000E000000}">
      <formula1>Channels</formula1>
      <formula2>0</formula2>
    </dataValidation>
    <dataValidation type="list" allowBlank="1" sqref="D50" xr:uid="{00000000-0002-0000-0300-000010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51"/>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328</v>
      </c>
      <c r="B1" s="8"/>
      <c r="C1" s="8"/>
      <c r="D1" s="8"/>
      <c r="E1" s="8"/>
    </row>
    <row r="2" spans="1:5">
      <c r="A2" s="8"/>
      <c r="B2" s="8"/>
      <c r="C2" s="8"/>
      <c r="D2" s="8"/>
      <c r="E2" s="8"/>
    </row>
    <row r="3" spans="1:5" ht="15" customHeight="1">
      <c r="A3" s="11" t="s">
        <v>329</v>
      </c>
      <c r="B3" s="11"/>
      <c r="C3" s="11"/>
      <c r="D3" s="11"/>
      <c r="E3" s="11"/>
    </row>
    <row r="4" spans="1:5" ht="27.75" customHeight="1">
      <c r="A4" s="6" t="s">
        <v>330</v>
      </c>
      <c r="B4" s="6"/>
      <c r="C4" s="6"/>
      <c r="D4" s="6"/>
      <c r="E4" s="6"/>
    </row>
    <row r="5" spans="1:5" ht="27.75" customHeight="1">
      <c r="A5" s="6"/>
      <c r="B5" s="6"/>
      <c r="C5" s="6"/>
      <c r="D5" s="6"/>
      <c r="E5" s="6"/>
    </row>
    <row r="7" spans="1:5" ht="15" customHeight="1">
      <c r="A7" s="10" t="s">
        <v>331</v>
      </c>
      <c r="B7" s="10"/>
      <c r="C7" s="10"/>
      <c r="D7" s="10"/>
      <c r="E7" s="10"/>
    </row>
    <row r="8" spans="1:5" ht="21.75" customHeight="1">
      <c r="A8" s="33">
        <v>1</v>
      </c>
      <c r="B8" s="5" t="s">
        <v>332</v>
      </c>
      <c r="C8" s="5"/>
      <c r="D8" s="34"/>
      <c r="E8" s="35" t="s">
        <v>256</v>
      </c>
    </row>
    <row r="9" spans="1:5" ht="21.75" customHeight="1">
      <c r="A9" s="33">
        <v>2</v>
      </c>
      <c r="B9" s="5" t="s">
        <v>333</v>
      </c>
      <c r="C9" s="5"/>
      <c r="D9" s="34"/>
      <c r="E9" s="35" t="s">
        <v>256</v>
      </c>
    </row>
    <row r="10" spans="1:5" ht="21.75" customHeight="1">
      <c r="A10" s="33">
        <v>3</v>
      </c>
      <c r="B10" s="5" t="s">
        <v>258</v>
      </c>
      <c r="C10" s="5"/>
      <c r="D10" s="34"/>
      <c r="E10" s="35" t="s">
        <v>256</v>
      </c>
    </row>
    <row r="11" spans="1:5" ht="21.75" customHeight="1">
      <c r="A11" s="33">
        <v>4</v>
      </c>
      <c r="B11" s="5" t="s">
        <v>259</v>
      </c>
      <c r="C11" s="5"/>
      <c r="D11" s="34"/>
      <c r="E11" s="35" t="s">
        <v>256</v>
      </c>
    </row>
    <row r="12" spans="1:5" ht="21.75" customHeight="1">
      <c r="A12" s="33">
        <v>5</v>
      </c>
      <c r="B12" s="5" t="s">
        <v>260</v>
      </c>
      <c r="C12" s="5"/>
      <c r="D12" s="36"/>
      <c r="E12" s="35" t="s">
        <v>256</v>
      </c>
    </row>
    <row r="13" spans="1:5" ht="21.75" customHeight="1">
      <c r="A13" s="33">
        <v>6</v>
      </c>
      <c r="B13" s="5" t="s">
        <v>261</v>
      </c>
      <c r="C13" s="5"/>
      <c r="D13" s="34"/>
      <c r="E13" s="35" t="s">
        <v>256</v>
      </c>
    </row>
    <row r="14" spans="1:5" ht="21.75" customHeight="1">
      <c r="A14" s="33">
        <v>7</v>
      </c>
      <c r="B14" s="5" t="s">
        <v>262</v>
      </c>
      <c r="C14" s="5"/>
      <c r="D14" s="34"/>
      <c r="E14" s="35" t="s">
        <v>256</v>
      </c>
    </row>
    <row r="15" spans="1:5" ht="15" customHeight="1">
      <c r="A15" s="10" t="s">
        <v>334</v>
      </c>
      <c r="B15" s="10"/>
      <c r="C15" s="10"/>
      <c r="D15" s="10"/>
      <c r="E15" s="10"/>
    </row>
    <row r="16" spans="1:5" ht="21.75" customHeight="1">
      <c r="A16" s="33">
        <v>8</v>
      </c>
      <c r="B16" s="5" t="s">
        <v>266</v>
      </c>
      <c r="C16" s="5"/>
      <c r="D16" s="34"/>
      <c r="E16" s="35" t="s">
        <v>256</v>
      </c>
    </row>
    <row r="17" spans="1:5" ht="21.75" customHeight="1">
      <c r="A17" s="33">
        <v>9</v>
      </c>
      <c r="B17" s="5" t="s">
        <v>267</v>
      </c>
      <c r="C17" s="5"/>
      <c r="D17" s="34"/>
      <c r="E17" s="35" t="s">
        <v>256</v>
      </c>
    </row>
    <row r="18" spans="1:5" ht="21.75" customHeight="1">
      <c r="A18" s="33">
        <v>10</v>
      </c>
      <c r="B18" s="5" t="s">
        <v>335</v>
      </c>
      <c r="C18" s="5"/>
      <c r="D18" s="34"/>
      <c r="E18" s="35" t="s">
        <v>256</v>
      </c>
    </row>
    <row r="19" spans="1:5" ht="21.75" customHeight="1">
      <c r="A19" s="33">
        <v>11</v>
      </c>
      <c r="B19" s="5" t="s">
        <v>336</v>
      </c>
      <c r="C19" s="5"/>
      <c r="D19" s="34"/>
      <c r="E19" s="37" t="s">
        <v>269</v>
      </c>
    </row>
    <row r="20" spans="1:5" ht="21.75" customHeight="1">
      <c r="A20" s="33">
        <v>12</v>
      </c>
      <c r="B20" s="5" t="s">
        <v>337</v>
      </c>
      <c r="C20" s="5"/>
      <c r="D20" s="34"/>
      <c r="E20" s="35" t="s">
        <v>256</v>
      </c>
    </row>
    <row r="21" spans="1:5" ht="15" customHeight="1">
      <c r="A21" s="10" t="s">
        <v>338</v>
      </c>
      <c r="B21" s="10"/>
      <c r="C21" s="10"/>
      <c r="D21" s="10"/>
      <c r="E21" s="10"/>
    </row>
    <row r="22" spans="1:5" ht="21.75" customHeight="1">
      <c r="A22" s="33">
        <v>13</v>
      </c>
      <c r="B22" s="5" t="s">
        <v>339</v>
      </c>
      <c r="C22" s="5"/>
      <c r="D22" s="34"/>
      <c r="E22" s="35" t="s">
        <v>256</v>
      </c>
    </row>
    <row r="23" spans="1:5" ht="21.75" customHeight="1">
      <c r="A23" s="33">
        <v>14</v>
      </c>
      <c r="B23" s="5" t="s">
        <v>340</v>
      </c>
      <c r="C23" s="5"/>
      <c r="D23" s="34"/>
      <c r="E23" s="35" t="s">
        <v>256</v>
      </c>
    </row>
    <row r="24" spans="1:5" ht="21.75" customHeight="1">
      <c r="A24" s="33">
        <v>15</v>
      </c>
      <c r="B24" s="5" t="s">
        <v>341</v>
      </c>
      <c r="C24" s="5"/>
      <c r="D24" s="34"/>
      <c r="E24" s="35" t="s">
        <v>256</v>
      </c>
    </row>
    <row r="25" spans="1:5" ht="21.75" customHeight="1">
      <c r="A25" s="33">
        <v>16</v>
      </c>
      <c r="B25" s="5" t="s">
        <v>342</v>
      </c>
      <c r="C25" s="5"/>
      <c r="D25" s="34"/>
      <c r="E25" s="35" t="s">
        <v>256</v>
      </c>
    </row>
    <row r="26" spans="1:5" ht="21.75" customHeight="1">
      <c r="A26" s="33">
        <v>17</v>
      </c>
      <c r="B26" s="5" t="s">
        <v>343</v>
      </c>
      <c r="C26" s="5"/>
      <c r="D26" s="34"/>
      <c r="E26" s="35" t="s">
        <v>256</v>
      </c>
    </row>
    <row r="27" spans="1:5" ht="21.75" customHeight="1">
      <c r="A27" s="33">
        <v>18</v>
      </c>
      <c r="B27" s="5" t="s">
        <v>344</v>
      </c>
      <c r="C27" s="5"/>
      <c r="D27" s="34"/>
      <c r="E27" s="35" t="s">
        <v>256</v>
      </c>
    </row>
    <row r="28" spans="1:5" ht="21.75" customHeight="1">
      <c r="A28" s="33">
        <v>19</v>
      </c>
      <c r="B28" s="5" t="s">
        <v>345</v>
      </c>
      <c r="C28" s="5"/>
      <c r="D28" s="34"/>
      <c r="E28" s="37" t="s">
        <v>269</v>
      </c>
    </row>
    <row r="29" spans="1:5" ht="15" customHeight="1">
      <c r="A29" s="10" t="s">
        <v>346</v>
      </c>
      <c r="B29" s="10"/>
      <c r="C29" s="10"/>
      <c r="D29" s="10"/>
      <c r="E29" s="10"/>
    </row>
    <row r="30" spans="1:5" ht="48" customHeight="1">
      <c r="A30" s="33">
        <v>20</v>
      </c>
      <c r="B30" s="5" t="s">
        <v>347</v>
      </c>
      <c r="C30" s="5"/>
      <c r="D30" s="38"/>
      <c r="E30" s="35" t="s">
        <v>256</v>
      </c>
    </row>
    <row r="31" spans="1:5" ht="48" customHeight="1">
      <c r="A31" s="33">
        <v>21</v>
      </c>
      <c r="B31" s="5" t="s">
        <v>348</v>
      </c>
      <c r="C31" s="5"/>
      <c r="D31" s="38"/>
      <c r="E31" s="37" t="s">
        <v>269</v>
      </c>
    </row>
    <row r="32" spans="1:5" ht="15" customHeight="1">
      <c r="A32" s="10" t="s">
        <v>325</v>
      </c>
      <c r="B32" s="10"/>
      <c r="C32" s="10"/>
      <c r="D32" s="10"/>
      <c r="E32" s="10"/>
    </row>
    <row r="33" spans="1:5" ht="21.75" customHeight="1">
      <c r="A33" s="33">
        <v>22</v>
      </c>
      <c r="B33" s="5" t="s">
        <v>281</v>
      </c>
      <c r="C33" s="5"/>
      <c r="D33" s="34"/>
      <c r="E33" s="35" t="s">
        <v>256</v>
      </c>
    </row>
    <row r="34" spans="1:5" ht="21.75" customHeight="1">
      <c r="A34" s="33">
        <v>23</v>
      </c>
      <c r="B34" s="5" t="s">
        <v>326</v>
      </c>
      <c r="C34" s="5"/>
      <c r="D34" s="34"/>
      <c r="E34" s="37" t="s">
        <v>269</v>
      </c>
    </row>
    <row r="36" spans="1:5" ht="15" customHeight="1">
      <c r="A36" s="10" t="s">
        <v>283</v>
      </c>
      <c r="B36" s="10"/>
      <c r="C36" s="10"/>
      <c r="D36" s="10"/>
      <c r="E36" s="10"/>
    </row>
    <row r="37" spans="1:5" ht="36" customHeight="1">
      <c r="A37" s="40" t="s">
        <v>284</v>
      </c>
      <c r="B37" s="9" t="s">
        <v>285</v>
      </c>
      <c r="C37" s="9"/>
      <c r="D37" s="9"/>
      <c r="E37" s="41" t="s">
        <v>256</v>
      </c>
    </row>
    <row r="38" spans="1:5" ht="36" customHeight="1">
      <c r="A38" s="40" t="s">
        <v>284</v>
      </c>
      <c r="B38" s="9" t="s">
        <v>286</v>
      </c>
      <c r="C38" s="9"/>
      <c r="D38" s="9"/>
      <c r="E38" s="41" t="s">
        <v>256</v>
      </c>
    </row>
    <row r="39" spans="1:5" ht="36" customHeight="1">
      <c r="A39" s="40" t="s">
        <v>284</v>
      </c>
      <c r="B39" s="9" t="s">
        <v>287</v>
      </c>
      <c r="C39" s="9"/>
      <c r="D39" s="9"/>
      <c r="E39" s="41" t="s">
        <v>256</v>
      </c>
    </row>
    <row r="40" spans="1:5" ht="36" customHeight="1">
      <c r="A40" s="40" t="s">
        <v>284</v>
      </c>
      <c r="B40" s="9" t="s">
        <v>288</v>
      </c>
      <c r="C40" s="9"/>
      <c r="D40" s="9"/>
      <c r="E40" s="42" t="s">
        <v>269</v>
      </c>
    </row>
    <row r="42" spans="1:5" ht="15" customHeight="1">
      <c r="A42" s="4" t="s">
        <v>289</v>
      </c>
      <c r="B42" s="4"/>
      <c r="C42" s="4"/>
      <c r="D42" s="4"/>
      <c r="E42" s="4"/>
    </row>
    <row r="43" spans="1:5" ht="24" customHeight="1">
      <c r="A43" s="43"/>
      <c r="B43" s="3" t="s">
        <v>290</v>
      </c>
      <c r="C43" s="3"/>
      <c r="D43" s="44" t="str">
        <f ca="1">"KYN-BZ-"&amp;TEXT(TODAY(),"YYYYMMDD")&amp;"-"&amp;TEXT(RANDBETWEEN(1000,9999),"0000")</f>
        <v>KYN-BZ-20260609-7929</v>
      </c>
      <c r="E43" s="45" t="s">
        <v>91</v>
      </c>
    </row>
    <row r="44" spans="1:5" ht="24" customHeight="1">
      <c r="A44" s="43"/>
      <c r="B44" s="3" t="s">
        <v>291</v>
      </c>
      <c r="C44" s="3"/>
      <c r="D44" s="46">
        <f ca="1">NOW()</f>
        <v>46182.775330671298</v>
      </c>
      <c r="E44" s="45" t="s">
        <v>91</v>
      </c>
    </row>
    <row r="45" spans="1:5" ht="24" customHeight="1">
      <c r="A45" s="43"/>
      <c r="B45" s="3" t="s">
        <v>292</v>
      </c>
      <c r="C45" s="3"/>
      <c r="D45" s="34"/>
      <c r="E45" s="45" t="s">
        <v>91</v>
      </c>
    </row>
    <row r="46" spans="1:5" ht="24" customHeight="1">
      <c r="A46" s="43"/>
      <c r="B46" s="3" t="s">
        <v>293</v>
      </c>
      <c r="C46" s="3"/>
      <c r="D46" s="34"/>
      <c r="E46" s="45" t="s">
        <v>91</v>
      </c>
    </row>
    <row r="47" spans="1:5" ht="24" customHeight="1">
      <c r="A47" s="43"/>
      <c r="B47" s="3" t="s">
        <v>294</v>
      </c>
      <c r="C47" s="3"/>
      <c r="D47" s="34"/>
      <c r="E47" s="45" t="s">
        <v>91</v>
      </c>
    </row>
    <row r="48" spans="1:5" ht="24" customHeight="1">
      <c r="A48" s="43"/>
      <c r="B48" s="3" t="s">
        <v>295</v>
      </c>
      <c r="C48" s="3"/>
      <c r="D48" s="34"/>
      <c r="E48" s="45" t="s">
        <v>91</v>
      </c>
    </row>
    <row r="49" spans="1:5" ht="24" customHeight="1">
      <c r="A49" s="43"/>
      <c r="B49" s="3" t="s">
        <v>296</v>
      </c>
      <c r="C49" s="3"/>
      <c r="D49" s="34"/>
      <c r="E49" s="45" t="s">
        <v>91</v>
      </c>
    </row>
    <row r="51" spans="1:5" ht="25.5" customHeight="1">
      <c r="A51" s="2" t="s">
        <v>349</v>
      </c>
      <c r="B51" s="2"/>
      <c r="C51" s="2"/>
      <c r="D51" s="2"/>
      <c r="E51" s="2"/>
    </row>
  </sheetData>
  <mergeCells count="45">
    <mergeCell ref="B46:C46"/>
    <mergeCell ref="B47:C47"/>
    <mergeCell ref="B48:C48"/>
    <mergeCell ref="B49:C49"/>
    <mergeCell ref="A51:E51"/>
    <mergeCell ref="B40:D40"/>
    <mergeCell ref="A42:E42"/>
    <mergeCell ref="B43:C43"/>
    <mergeCell ref="B44:C44"/>
    <mergeCell ref="B45:C45"/>
    <mergeCell ref="B34:C34"/>
    <mergeCell ref="A36:E36"/>
    <mergeCell ref="B37:D37"/>
    <mergeCell ref="B38:D38"/>
    <mergeCell ref="B39:D39"/>
    <mergeCell ref="A29:E29"/>
    <mergeCell ref="B30:C30"/>
    <mergeCell ref="B31:C31"/>
    <mergeCell ref="A32:E32"/>
    <mergeCell ref="B33:C33"/>
    <mergeCell ref="B24:C24"/>
    <mergeCell ref="B25:C25"/>
    <mergeCell ref="B26:C26"/>
    <mergeCell ref="B27:C27"/>
    <mergeCell ref="B28:C28"/>
    <mergeCell ref="B19:C19"/>
    <mergeCell ref="B20:C20"/>
    <mergeCell ref="A21:E21"/>
    <mergeCell ref="B22:C22"/>
    <mergeCell ref="B23:C23"/>
    <mergeCell ref="B14:C14"/>
    <mergeCell ref="A15:E15"/>
    <mergeCell ref="B16:C16"/>
    <mergeCell ref="B17:C17"/>
    <mergeCell ref="B18:C18"/>
    <mergeCell ref="B9:C9"/>
    <mergeCell ref="B10:C10"/>
    <mergeCell ref="B11:C11"/>
    <mergeCell ref="B12:C12"/>
    <mergeCell ref="B13:C13"/>
    <mergeCell ref="A1:E2"/>
    <mergeCell ref="A3:E3"/>
    <mergeCell ref="A4:E5"/>
    <mergeCell ref="A7:E7"/>
    <mergeCell ref="B8:C8"/>
  </mergeCells>
  <dataValidations count="9">
    <dataValidation type="decimal" operator="greaterThanOrEqual" allowBlank="1" errorTitle="Number" error="Numbers only" sqref="D18" xr:uid="{00000000-0002-0000-0400-000000000000}">
      <formula1>0</formula1>
      <formula2>0</formula2>
    </dataValidation>
    <dataValidation type="custom" allowBlank="1" errorTitle="Email" error="Enter a valid email" sqref="D11" xr:uid="{00000000-0002-0000-0400-000001000000}">
      <formula1>ISNUMBER(SEARCH("@",D11))</formula1>
      <formula2>0</formula2>
    </dataValidation>
    <dataValidation type="list" allowBlank="1" sqref="D13" xr:uid="{00000000-0002-0000-0400-000002000000}">
      <formula1>Countries</formula1>
      <formula2>0</formula2>
    </dataValidation>
    <dataValidation type="list" allowBlank="1" sqref="D16" xr:uid="{00000000-0002-0000-0400-000003000000}">
      <formula1>Industries</formula1>
      <formula2>0</formula2>
    </dataValidation>
    <dataValidation type="list" allowBlank="1" sqref="D17" xr:uid="{00000000-0002-0000-0400-000004000000}">
      <formula1>OrgSizes</formula1>
      <formula2>0</formula2>
    </dataValidation>
    <dataValidation type="list" allowBlank="1" sqref="D22:D27" xr:uid="{00000000-0002-0000-0400-000005000000}">
      <formula1>YesNo</formula1>
      <formula2>0</formula2>
    </dataValidation>
    <dataValidation type="list" allowBlank="1" sqref="D28" xr:uid="{00000000-0002-0000-0400-00000B000000}">
      <formula1>BudgetBands</formula1>
      <formula2>0</formula2>
    </dataValidation>
    <dataValidation type="list" allowBlank="1" sqref="D33 D45" xr:uid="{00000000-0002-0000-0400-00000C000000}">
      <formula1>Channels</formula1>
      <formula2>0</formula2>
    </dataValidation>
    <dataValidation type="list" allowBlank="1" sqref="D47" xr:uid="{00000000-0002-0000-0400-00000E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56"/>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350</v>
      </c>
      <c r="B1" s="8"/>
      <c r="C1" s="8"/>
      <c r="D1" s="8"/>
      <c r="E1" s="8"/>
    </row>
    <row r="2" spans="1:5">
      <c r="A2" s="8"/>
      <c r="B2" s="8"/>
      <c r="C2" s="8"/>
      <c r="D2" s="8"/>
      <c r="E2" s="8"/>
    </row>
    <row r="3" spans="1:5" ht="15" customHeight="1">
      <c r="A3" s="11" t="s">
        <v>351</v>
      </c>
      <c r="B3" s="11"/>
      <c r="C3" s="11"/>
      <c r="D3" s="11"/>
      <c r="E3" s="11"/>
    </row>
    <row r="4" spans="1:5" ht="27.75" customHeight="1">
      <c r="A4" s="6" t="s">
        <v>352</v>
      </c>
      <c r="B4" s="6"/>
      <c r="C4" s="6"/>
      <c r="D4" s="6"/>
      <c r="E4" s="6"/>
    </row>
    <row r="5" spans="1:5" ht="27.75" customHeight="1">
      <c r="A5" s="6"/>
      <c r="B5" s="6"/>
      <c r="C5" s="6"/>
      <c r="D5" s="6"/>
      <c r="E5" s="6"/>
    </row>
    <row r="7" spans="1:5" ht="15" customHeight="1">
      <c r="A7" s="10" t="s">
        <v>301</v>
      </c>
      <c r="B7" s="10"/>
      <c r="C7" s="10"/>
      <c r="D7" s="10"/>
      <c r="E7" s="10"/>
    </row>
    <row r="8" spans="1:5" ht="21.75" customHeight="1">
      <c r="A8" s="33">
        <v>1</v>
      </c>
      <c r="B8" s="5" t="s">
        <v>255</v>
      </c>
      <c r="C8" s="5"/>
      <c r="D8" s="34"/>
      <c r="E8" s="35" t="s">
        <v>256</v>
      </c>
    </row>
    <row r="9" spans="1:5" ht="21.75" customHeight="1">
      <c r="A9" s="33">
        <v>2</v>
      </c>
      <c r="B9" s="5" t="s">
        <v>302</v>
      </c>
      <c r="C9" s="5"/>
      <c r="D9" s="34"/>
      <c r="E9" s="37" t="s">
        <v>269</v>
      </c>
    </row>
    <row r="10" spans="1:5" ht="21.75" customHeight="1">
      <c r="A10" s="33">
        <v>3</v>
      </c>
      <c r="B10" s="5" t="s">
        <v>303</v>
      </c>
      <c r="C10" s="5"/>
      <c r="D10" s="34"/>
      <c r="E10" s="35" t="s">
        <v>256</v>
      </c>
    </row>
    <row r="11" spans="1:5" ht="21.75" customHeight="1">
      <c r="A11" s="33">
        <v>4</v>
      </c>
      <c r="B11" s="5" t="s">
        <v>304</v>
      </c>
      <c r="C11" s="5"/>
      <c r="D11" s="34"/>
      <c r="E11" s="35" t="s">
        <v>256</v>
      </c>
    </row>
    <row r="12" spans="1:5" ht="21.75" customHeight="1">
      <c r="A12" s="33">
        <v>5</v>
      </c>
      <c r="B12" s="5" t="s">
        <v>260</v>
      </c>
      <c r="C12" s="5"/>
      <c r="D12" s="36"/>
      <c r="E12" s="35" t="s">
        <v>256</v>
      </c>
    </row>
    <row r="13" spans="1:5" ht="21.75" customHeight="1">
      <c r="A13" s="33">
        <v>6</v>
      </c>
      <c r="B13" s="5" t="s">
        <v>261</v>
      </c>
      <c r="C13" s="5"/>
      <c r="D13" s="34"/>
      <c r="E13" s="35" t="s">
        <v>256</v>
      </c>
    </row>
    <row r="14" spans="1:5" ht="21.75" customHeight="1">
      <c r="A14" s="33">
        <v>7</v>
      </c>
      <c r="B14" s="5" t="s">
        <v>353</v>
      </c>
      <c r="C14" s="5"/>
      <c r="D14" s="34"/>
      <c r="E14" s="35" t="s">
        <v>256</v>
      </c>
    </row>
    <row r="15" spans="1:5" ht="15" customHeight="1">
      <c r="A15" s="10" t="s">
        <v>354</v>
      </c>
      <c r="B15" s="10"/>
      <c r="C15" s="10"/>
      <c r="D15" s="10"/>
      <c r="E15" s="10"/>
    </row>
    <row r="16" spans="1:5" ht="21.75" customHeight="1">
      <c r="A16" s="33">
        <v>8</v>
      </c>
      <c r="B16" s="5" t="s">
        <v>355</v>
      </c>
      <c r="C16" s="5"/>
      <c r="D16" s="34"/>
      <c r="E16" s="37" t="s">
        <v>269</v>
      </c>
    </row>
    <row r="17" spans="1:5" ht="21.75" customHeight="1">
      <c r="A17" s="33">
        <v>9</v>
      </c>
      <c r="B17" s="5" t="s">
        <v>356</v>
      </c>
      <c r="C17" s="5"/>
      <c r="D17" s="34"/>
      <c r="E17" s="37" t="s">
        <v>269</v>
      </c>
    </row>
    <row r="18" spans="1:5" ht="21.75" customHeight="1">
      <c r="A18" s="33">
        <v>10</v>
      </c>
      <c r="B18" s="5" t="s">
        <v>357</v>
      </c>
      <c r="C18" s="5"/>
      <c r="D18" s="34"/>
      <c r="E18" s="37" t="s">
        <v>269</v>
      </c>
    </row>
    <row r="19" spans="1:5" ht="21.75" customHeight="1">
      <c r="A19" s="33">
        <v>11</v>
      </c>
      <c r="B19" s="5" t="s">
        <v>358</v>
      </c>
      <c r="C19" s="5"/>
      <c r="D19" s="34"/>
      <c r="E19" s="37" t="s">
        <v>269</v>
      </c>
    </row>
    <row r="20" spans="1:5" ht="21.75" customHeight="1">
      <c r="A20" s="33">
        <v>12</v>
      </c>
      <c r="B20" s="5" t="s">
        <v>359</v>
      </c>
      <c r="C20" s="5"/>
      <c r="D20" s="34"/>
      <c r="E20" s="37" t="s">
        <v>269</v>
      </c>
    </row>
    <row r="21" spans="1:5" ht="21.75" customHeight="1">
      <c r="A21" s="33">
        <v>13</v>
      </c>
      <c r="B21" s="5" t="s">
        <v>360</v>
      </c>
      <c r="C21" s="5"/>
      <c r="D21" s="34"/>
      <c r="E21" s="37" t="s">
        <v>269</v>
      </c>
    </row>
    <row r="22" spans="1:5" ht="21.75" customHeight="1">
      <c r="A22" s="33">
        <v>14</v>
      </c>
      <c r="B22" s="5" t="s">
        <v>361</v>
      </c>
      <c r="C22" s="5"/>
      <c r="D22" s="34"/>
      <c r="E22" s="37" t="s">
        <v>269</v>
      </c>
    </row>
    <row r="23" spans="1:5" ht="15" customHeight="1">
      <c r="A23" s="10" t="s">
        <v>362</v>
      </c>
      <c r="B23" s="10"/>
      <c r="C23" s="10"/>
      <c r="D23" s="10"/>
      <c r="E23" s="10"/>
    </row>
    <row r="24" spans="1:5" ht="21.75" customHeight="1">
      <c r="A24" s="33">
        <v>15</v>
      </c>
      <c r="B24" s="5" t="s">
        <v>363</v>
      </c>
      <c r="C24" s="5"/>
      <c r="D24" s="34"/>
      <c r="E24" s="35" t="s">
        <v>256</v>
      </c>
    </row>
    <row r="25" spans="1:5" ht="48" customHeight="1">
      <c r="A25" s="33">
        <v>16</v>
      </c>
      <c r="B25" s="5" t="s">
        <v>364</v>
      </c>
      <c r="C25" s="5"/>
      <c r="D25" s="38"/>
      <c r="E25" s="35" t="s">
        <v>256</v>
      </c>
    </row>
    <row r="26" spans="1:5" ht="21.75" customHeight="1">
      <c r="A26" s="33">
        <v>17</v>
      </c>
      <c r="B26" s="5" t="s">
        <v>365</v>
      </c>
      <c r="C26" s="5"/>
      <c r="D26" s="34"/>
      <c r="E26" s="35" t="s">
        <v>256</v>
      </c>
    </row>
    <row r="27" spans="1:5" ht="15" customHeight="1">
      <c r="A27" s="10" t="s">
        <v>366</v>
      </c>
      <c r="B27" s="10"/>
      <c r="C27" s="10"/>
      <c r="D27" s="10"/>
      <c r="E27" s="10"/>
    </row>
    <row r="28" spans="1:5" ht="21.75" customHeight="1">
      <c r="A28" s="33">
        <v>18</v>
      </c>
      <c r="B28" s="5" t="s">
        <v>367</v>
      </c>
      <c r="C28" s="5"/>
      <c r="D28" s="34"/>
      <c r="E28" s="35" t="s">
        <v>256</v>
      </c>
    </row>
    <row r="29" spans="1:5" ht="21.75" customHeight="1">
      <c r="A29" s="33">
        <v>19</v>
      </c>
      <c r="B29" s="5" t="s">
        <v>368</v>
      </c>
      <c r="C29" s="5"/>
      <c r="D29" s="34"/>
      <c r="E29" s="35" t="s">
        <v>256</v>
      </c>
    </row>
    <row r="30" spans="1:5" ht="21.75" customHeight="1">
      <c r="A30" s="33">
        <v>20</v>
      </c>
      <c r="B30" s="5" t="s">
        <v>369</v>
      </c>
      <c r="C30" s="5"/>
      <c r="D30" s="34"/>
      <c r="E30" s="35" t="s">
        <v>256</v>
      </c>
    </row>
    <row r="31" spans="1:5" ht="21.75" customHeight="1">
      <c r="A31" s="33">
        <v>21</v>
      </c>
      <c r="B31" s="5" t="s">
        <v>370</v>
      </c>
      <c r="C31" s="5"/>
      <c r="D31" s="39"/>
      <c r="E31" s="35" t="s">
        <v>256</v>
      </c>
    </row>
    <row r="32" spans="1:5" ht="15" customHeight="1">
      <c r="A32" s="10" t="s">
        <v>371</v>
      </c>
      <c r="B32" s="10"/>
      <c r="C32" s="10"/>
      <c r="D32" s="10"/>
      <c r="E32" s="10"/>
    </row>
    <row r="33" spans="1:5" ht="48" customHeight="1">
      <c r="A33" s="33">
        <v>22</v>
      </c>
      <c r="B33" s="5" t="s">
        <v>372</v>
      </c>
      <c r="C33" s="5"/>
      <c r="D33" s="38"/>
      <c r="E33" s="35" t="s">
        <v>256</v>
      </c>
    </row>
    <row r="34" spans="1:5" ht="21.75" customHeight="1">
      <c r="A34" s="33">
        <v>23</v>
      </c>
      <c r="B34" s="5" t="s">
        <v>373</v>
      </c>
      <c r="C34" s="5"/>
      <c r="D34" s="34"/>
      <c r="E34" s="35" t="s">
        <v>256</v>
      </c>
    </row>
    <row r="35" spans="1:5" ht="21.75" customHeight="1">
      <c r="A35" s="33">
        <v>24</v>
      </c>
      <c r="B35" s="5" t="s">
        <v>374</v>
      </c>
      <c r="C35" s="5"/>
      <c r="D35" s="34"/>
      <c r="E35" s="37" t="s">
        <v>269</v>
      </c>
    </row>
    <row r="36" spans="1:5" ht="21.75" customHeight="1">
      <c r="A36" s="33">
        <v>25</v>
      </c>
      <c r="B36" s="5" t="s">
        <v>375</v>
      </c>
      <c r="C36" s="5"/>
      <c r="D36" s="36"/>
      <c r="E36" s="37" t="s">
        <v>269</v>
      </c>
    </row>
    <row r="37" spans="1:5" ht="15" customHeight="1">
      <c r="A37" s="10" t="s">
        <v>376</v>
      </c>
      <c r="B37" s="10"/>
      <c r="C37" s="10"/>
      <c r="D37" s="10"/>
      <c r="E37" s="10"/>
    </row>
    <row r="38" spans="1:5" ht="21.75" customHeight="1">
      <c r="A38" s="33">
        <v>26</v>
      </c>
      <c r="B38" s="5" t="s">
        <v>281</v>
      </c>
      <c r="C38" s="5"/>
      <c r="D38" s="34"/>
      <c r="E38" s="35" t="s">
        <v>256</v>
      </c>
    </row>
    <row r="39" spans="1:5" ht="21.75" customHeight="1">
      <c r="A39" s="33">
        <v>27</v>
      </c>
      <c r="B39" s="5" t="s">
        <v>326</v>
      </c>
      <c r="C39" s="5"/>
      <c r="D39" s="34"/>
      <c r="E39" s="37" t="s">
        <v>269</v>
      </c>
    </row>
    <row r="41" spans="1:5" ht="15" customHeight="1">
      <c r="A41" s="10" t="s">
        <v>283</v>
      </c>
      <c r="B41" s="10"/>
      <c r="C41" s="10"/>
      <c r="D41" s="10"/>
      <c r="E41" s="10"/>
    </row>
    <row r="42" spans="1:5" ht="36" customHeight="1">
      <c r="A42" s="40" t="s">
        <v>284</v>
      </c>
      <c r="B42" s="9" t="s">
        <v>285</v>
      </c>
      <c r="C42" s="9"/>
      <c r="D42" s="9"/>
      <c r="E42" s="41" t="s">
        <v>256</v>
      </c>
    </row>
    <row r="43" spans="1:5" ht="36" customHeight="1">
      <c r="A43" s="40" t="s">
        <v>284</v>
      </c>
      <c r="B43" s="9" t="s">
        <v>286</v>
      </c>
      <c r="C43" s="9"/>
      <c r="D43" s="9"/>
      <c r="E43" s="41" t="s">
        <v>256</v>
      </c>
    </row>
    <row r="44" spans="1:5" ht="36" customHeight="1">
      <c r="A44" s="40" t="s">
        <v>284</v>
      </c>
      <c r="B44" s="9" t="s">
        <v>287</v>
      </c>
      <c r="C44" s="9"/>
      <c r="D44" s="9"/>
      <c r="E44" s="41" t="s">
        <v>256</v>
      </c>
    </row>
    <row r="45" spans="1:5" ht="36" customHeight="1">
      <c r="A45" s="40" t="s">
        <v>284</v>
      </c>
      <c r="B45" s="9" t="s">
        <v>288</v>
      </c>
      <c r="C45" s="9"/>
      <c r="D45" s="9"/>
      <c r="E45" s="42" t="s">
        <v>269</v>
      </c>
    </row>
    <row r="47" spans="1:5" ht="15" customHeight="1">
      <c r="A47" s="4" t="s">
        <v>289</v>
      </c>
      <c r="B47" s="4"/>
      <c r="C47" s="4"/>
      <c r="D47" s="4"/>
      <c r="E47" s="4"/>
    </row>
    <row r="48" spans="1:5" ht="24" customHeight="1">
      <c r="A48" s="43"/>
      <c r="B48" s="3" t="s">
        <v>290</v>
      </c>
      <c r="C48" s="3"/>
      <c r="D48" s="44" t="str">
        <f ca="1">"KYN-VL-"&amp;TEXT(TODAY(),"YYYYMMDD")&amp;"-"&amp;TEXT(RANDBETWEEN(1000,9999),"0000")</f>
        <v>KYN-VL-20260609-5252</v>
      </c>
      <c r="E48" s="45" t="s">
        <v>91</v>
      </c>
    </row>
    <row r="49" spans="1:5" ht="24" customHeight="1">
      <c r="A49" s="43"/>
      <c r="B49" s="3" t="s">
        <v>291</v>
      </c>
      <c r="C49" s="3"/>
      <c r="D49" s="46">
        <f ca="1">NOW()</f>
        <v>46182.775330671298</v>
      </c>
      <c r="E49" s="45" t="s">
        <v>91</v>
      </c>
    </row>
    <row r="50" spans="1:5" ht="24" customHeight="1">
      <c r="A50" s="43"/>
      <c r="B50" s="3" t="s">
        <v>292</v>
      </c>
      <c r="C50" s="3"/>
      <c r="D50" s="34"/>
      <c r="E50" s="45" t="s">
        <v>91</v>
      </c>
    </row>
    <row r="51" spans="1:5" ht="24" customHeight="1">
      <c r="A51" s="43"/>
      <c r="B51" s="3" t="s">
        <v>293</v>
      </c>
      <c r="C51" s="3"/>
      <c r="D51" s="34"/>
      <c r="E51" s="45" t="s">
        <v>91</v>
      </c>
    </row>
    <row r="52" spans="1:5" ht="24" customHeight="1">
      <c r="A52" s="43"/>
      <c r="B52" s="3" t="s">
        <v>294</v>
      </c>
      <c r="C52" s="3"/>
      <c r="D52" s="34"/>
      <c r="E52" s="45" t="s">
        <v>91</v>
      </c>
    </row>
    <row r="53" spans="1:5" ht="24" customHeight="1">
      <c r="A53" s="43"/>
      <c r="B53" s="3" t="s">
        <v>295</v>
      </c>
      <c r="C53" s="3"/>
      <c r="D53" s="34"/>
      <c r="E53" s="45" t="s">
        <v>91</v>
      </c>
    </row>
    <row r="54" spans="1:5" ht="24" customHeight="1">
      <c r="A54" s="43"/>
      <c r="B54" s="3" t="s">
        <v>296</v>
      </c>
      <c r="C54" s="3"/>
      <c r="D54" s="34"/>
      <c r="E54" s="45" t="s">
        <v>91</v>
      </c>
    </row>
    <row r="56" spans="1:5" ht="25.5" customHeight="1">
      <c r="A56" s="2" t="s">
        <v>377</v>
      </c>
      <c r="B56" s="2"/>
      <c r="C56" s="2"/>
      <c r="D56" s="2"/>
      <c r="E56" s="2"/>
    </row>
  </sheetData>
  <mergeCells count="50">
    <mergeCell ref="B51:C51"/>
    <mergeCell ref="B52:C52"/>
    <mergeCell ref="B53:C53"/>
    <mergeCell ref="B54:C54"/>
    <mergeCell ref="A56:E56"/>
    <mergeCell ref="B45:D45"/>
    <mergeCell ref="A47:E47"/>
    <mergeCell ref="B48:C48"/>
    <mergeCell ref="B49:C49"/>
    <mergeCell ref="B50:C50"/>
    <mergeCell ref="B39:C39"/>
    <mergeCell ref="A41:E41"/>
    <mergeCell ref="B42:D42"/>
    <mergeCell ref="B43:D43"/>
    <mergeCell ref="B44:D44"/>
    <mergeCell ref="B34:C34"/>
    <mergeCell ref="B35:C35"/>
    <mergeCell ref="B36:C36"/>
    <mergeCell ref="A37:E37"/>
    <mergeCell ref="B38:C38"/>
    <mergeCell ref="B29:C29"/>
    <mergeCell ref="B30:C30"/>
    <mergeCell ref="B31:C31"/>
    <mergeCell ref="A32:E32"/>
    <mergeCell ref="B33:C33"/>
    <mergeCell ref="B24:C24"/>
    <mergeCell ref="B25:C25"/>
    <mergeCell ref="B26:C26"/>
    <mergeCell ref="A27:E27"/>
    <mergeCell ref="B28:C28"/>
    <mergeCell ref="B19:C19"/>
    <mergeCell ref="B20:C20"/>
    <mergeCell ref="B21:C21"/>
    <mergeCell ref="B22:C22"/>
    <mergeCell ref="A23:E23"/>
    <mergeCell ref="B14:C14"/>
    <mergeCell ref="A15:E15"/>
    <mergeCell ref="B16:C16"/>
    <mergeCell ref="B17:C17"/>
    <mergeCell ref="B18:C18"/>
    <mergeCell ref="B9:C9"/>
    <mergeCell ref="B10:C10"/>
    <mergeCell ref="B11:C11"/>
    <mergeCell ref="B12:C12"/>
    <mergeCell ref="B13:C13"/>
    <mergeCell ref="A1:E2"/>
    <mergeCell ref="A3:E3"/>
    <mergeCell ref="A4:E5"/>
    <mergeCell ref="A7:E7"/>
    <mergeCell ref="B8:C8"/>
  </mergeCells>
  <dataValidations count="12">
    <dataValidation type="decimal" operator="greaterThanOrEqual" allowBlank="1" errorTitle="Number" error="Numbers only" sqref="D28" xr:uid="{00000000-0002-0000-0500-000000000000}">
      <formula1>0</formula1>
      <formula2>0</formula2>
    </dataValidation>
    <dataValidation type="list" allowBlank="1" sqref="D9" xr:uid="{00000000-0002-0000-0500-000001000000}">
      <formula1>Genders</formula1>
      <formula2>0</formula2>
    </dataValidation>
    <dataValidation type="list" allowBlank="1" sqref="D10" xr:uid="{00000000-0002-0000-0500-000002000000}">
      <formula1>AgeBands</formula1>
      <formula2>0</formula2>
    </dataValidation>
    <dataValidation type="custom" allowBlank="1" errorTitle="Email" error="Enter a valid email" sqref="D11" xr:uid="{00000000-0002-0000-0500-000003000000}">
      <formula1>ISNUMBER(SEARCH("@",D11))</formula1>
      <formula2>0</formula2>
    </dataValidation>
    <dataValidation type="list" allowBlank="1" sqref="D13" xr:uid="{00000000-0002-0000-0500-000004000000}">
      <formula1>Countries</formula1>
      <formula2>0</formula2>
    </dataValidation>
    <dataValidation type="list" allowBlank="1" sqref="D34 D16:D22" xr:uid="{00000000-0002-0000-0500-000005000000}">
      <formula1>YesNo</formula1>
      <formula2>0</formula2>
    </dataValidation>
    <dataValidation type="list" allowBlank="1" sqref="D24" xr:uid="{00000000-0002-0000-0500-00000C000000}">
      <formula1>Domains</formula1>
      <formula2>0</formula2>
    </dataValidation>
    <dataValidation type="list" allowBlank="1" sqref="D26" xr:uid="{00000000-0002-0000-0500-00000D000000}">
      <formula1>Languages</formula1>
      <formula2>0</formula2>
    </dataValidation>
    <dataValidation type="list" allowBlank="1" sqref="D29" xr:uid="{00000000-0002-0000-0500-00000E000000}">
      <formula1>Availability</formula1>
      <formula2>0</formula2>
    </dataValidation>
    <dataValidation type="date" allowBlank="1" errorTitle="Date" error="Enter a valid date" sqref="D31" xr:uid="{00000000-0002-0000-0500-00000F000000}">
      <formula1>DATE(2020,1,1)</formula1>
      <formula2>DATE(2035,12,31)</formula2>
    </dataValidation>
    <dataValidation type="list" allowBlank="1" sqref="D38 D50" xr:uid="{00000000-0002-0000-0500-000011000000}">
      <formula1>Channels</formula1>
      <formula2>0</formula2>
    </dataValidation>
    <dataValidation type="list" allowBlank="1" sqref="D52" xr:uid="{00000000-0002-0000-0500-000013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9"/>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378</v>
      </c>
      <c r="B1" s="8"/>
      <c r="C1" s="8"/>
      <c r="D1" s="8"/>
      <c r="E1" s="8"/>
    </row>
    <row r="2" spans="1:5">
      <c r="A2" s="8"/>
      <c r="B2" s="8"/>
      <c r="C2" s="8"/>
      <c r="D2" s="8"/>
      <c r="E2" s="8"/>
    </row>
    <row r="3" spans="1:5" ht="15" customHeight="1">
      <c r="A3" s="11" t="s">
        <v>379</v>
      </c>
      <c r="B3" s="11"/>
      <c r="C3" s="11"/>
      <c r="D3" s="11"/>
      <c r="E3" s="11"/>
    </row>
    <row r="4" spans="1:5" ht="27.75" customHeight="1">
      <c r="A4" s="6" t="s">
        <v>380</v>
      </c>
      <c r="B4" s="6"/>
      <c r="C4" s="6"/>
      <c r="D4" s="6"/>
      <c r="E4" s="6"/>
    </row>
    <row r="5" spans="1:5" ht="27.75" customHeight="1">
      <c r="A5" s="6"/>
      <c r="B5" s="6"/>
      <c r="C5" s="6"/>
      <c r="D5" s="6"/>
      <c r="E5" s="6"/>
    </row>
    <row r="7" spans="1:5" ht="15" customHeight="1">
      <c r="A7" s="10" t="s">
        <v>301</v>
      </c>
      <c r="B7" s="10"/>
      <c r="C7" s="10"/>
      <c r="D7" s="10"/>
      <c r="E7" s="10"/>
    </row>
    <row r="8" spans="1:5" ht="21.75" customHeight="1">
      <c r="A8" s="33">
        <v>1</v>
      </c>
      <c r="B8" s="5" t="s">
        <v>255</v>
      </c>
      <c r="C8" s="5"/>
      <c r="D8" s="34"/>
      <c r="E8" s="35" t="s">
        <v>256</v>
      </c>
    </row>
    <row r="9" spans="1:5" ht="21.75" customHeight="1">
      <c r="A9" s="33">
        <v>2</v>
      </c>
      <c r="B9" s="5" t="s">
        <v>302</v>
      </c>
      <c r="C9" s="5"/>
      <c r="D9" s="34"/>
      <c r="E9" s="37" t="s">
        <v>269</v>
      </c>
    </row>
    <row r="10" spans="1:5" ht="21.75" customHeight="1">
      <c r="A10" s="33">
        <v>3</v>
      </c>
      <c r="B10" s="5" t="s">
        <v>303</v>
      </c>
      <c r="C10" s="5"/>
      <c r="D10" s="34"/>
      <c r="E10" s="35" t="s">
        <v>256</v>
      </c>
    </row>
    <row r="11" spans="1:5" ht="21.75" customHeight="1">
      <c r="A11" s="33">
        <v>4</v>
      </c>
      <c r="B11" s="5" t="s">
        <v>304</v>
      </c>
      <c r="C11" s="5"/>
      <c r="D11" s="34"/>
      <c r="E11" s="35" t="s">
        <v>256</v>
      </c>
    </row>
    <row r="12" spans="1:5" ht="21.75" customHeight="1">
      <c r="A12" s="33">
        <v>5</v>
      </c>
      <c r="B12" s="5" t="s">
        <v>260</v>
      </c>
      <c r="C12" s="5"/>
      <c r="D12" s="36"/>
      <c r="E12" s="35" t="s">
        <v>256</v>
      </c>
    </row>
    <row r="13" spans="1:5" ht="21.75" customHeight="1">
      <c r="A13" s="33">
        <v>6</v>
      </c>
      <c r="B13" s="5" t="s">
        <v>261</v>
      </c>
      <c r="C13" s="5"/>
      <c r="D13" s="34"/>
      <c r="E13" s="35" t="s">
        <v>256</v>
      </c>
    </row>
    <row r="14" spans="1:5" ht="21.75" customHeight="1">
      <c r="A14" s="33">
        <v>7</v>
      </c>
      <c r="B14" s="5" t="s">
        <v>262</v>
      </c>
      <c r="C14" s="5"/>
      <c r="D14" s="34"/>
      <c r="E14" s="35" t="s">
        <v>256</v>
      </c>
    </row>
    <row r="15" spans="1:5" ht="15" customHeight="1">
      <c r="A15" s="10" t="s">
        <v>381</v>
      </c>
      <c r="B15" s="10"/>
      <c r="C15" s="10"/>
      <c r="D15" s="10"/>
      <c r="E15" s="10"/>
    </row>
    <row r="16" spans="1:5" ht="21.75" customHeight="1">
      <c r="A16" s="33">
        <v>8</v>
      </c>
      <c r="B16" s="5" t="s">
        <v>382</v>
      </c>
      <c r="C16" s="5"/>
      <c r="D16" s="34"/>
      <c r="E16" s="35" t="s">
        <v>256</v>
      </c>
    </row>
    <row r="17" spans="1:5" ht="21.75" customHeight="1">
      <c r="A17" s="33">
        <v>9</v>
      </c>
      <c r="B17" s="5" t="s">
        <v>383</v>
      </c>
      <c r="C17" s="5"/>
      <c r="D17" s="34"/>
      <c r="E17" s="35" t="s">
        <v>256</v>
      </c>
    </row>
    <row r="18" spans="1:5" ht="21.75" customHeight="1">
      <c r="A18" s="33">
        <v>10</v>
      </c>
      <c r="B18" s="5" t="s">
        <v>306</v>
      </c>
      <c r="C18" s="5"/>
      <c r="D18" s="34"/>
      <c r="E18" s="35" t="s">
        <v>256</v>
      </c>
    </row>
    <row r="19" spans="1:5" ht="15" customHeight="1">
      <c r="A19" s="10" t="s">
        <v>384</v>
      </c>
      <c r="B19" s="10"/>
      <c r="C19" s="10"/>
      <c r="D19" s="10"/>
      <c r="E19" s="10"/>
    </row>
    <row r="20" spans="1:5" ht="21.75" customHeight="1">
      <c r="A20" s="33">
        <v>11</v>
      </c>
      <c r="B20" s="5" t="s">
        <v>308</v>
      </c>
      <c r="C20" s="5"/>
      <c r="D20" s="34"/>
      <c r="E20" s="35" t="s">
        <v>256</v>
      </c>
    </row>
    <row r="21" spans="1:5" ht="48" customHeight="1">
      <c r="A21" s="33">
        <v>12</v>
      </c>
      <c r="B21" s="5" t="s">
        <v>385</v>
      </c>
      <c r="C21" s="5"/>
      <c r="D21" s="38"/>
      <c r="E21" s="35" t="s">
        <v>256</v>
      </c>
    </row>
    <row r="22" spans="1:5" ht="21.75" customHeight="1">
      <c r="A22" s="33">
        <v>13</v>
      </c>
      <c r="B22" s="5" t="s">
        <v>386</v>
      </c>
      <c r="C22" s="5"/>
      <c r="D22" s="34"/>
      <c r="E22" s="35" t="s">
        <v>256</v>
      </c>
    </row>
    <row r="23" spans="1:5" ht="48" customHeight="1">
      <c r="A23" s="33">
        <v>14</v>
      </c>
      <c r="B23" s="5" t="s">
        <v>387</v>
      </c>
      <c r="C23" s="5"/>
      <c r="D23" s="38"/>
      <c r="E23" s="35" t="s">
        <v>256</v>
      </c>
    </row>
    <row r="24" spans="1:5" ht="15" customHeight="1">
      <c r="A24" s="10" t="s">
        <v>388</v>
      </c>
      <c r="B24" s="10"/>
      <c r="C24" s="10"/>
      <c r="D24" s="10"/>
      <c r="E24" s="10"/>
    </row>
    <row r="25" spans="1:5" ht="21.75" customHeight="1">
      <c r="A25" s="33">
        <v>15</v>
      </c>
      <c r="B25" s="5" t="s">
        <v>389</v>
      </c>
      <c r="C25" s="5"/>
      <c r="D25" s="34"/>
      <c r="E25" s="35" t="s">
        <v>256</v>
      </c>
    </row>
    <row r="26" spans="1:5" ht="21.75" customHeight="1">
      <c r="A26" s="33">
        <v>16</v>
      </c>
      <c r="B26" s="5" t="s">
        <v>390</v>
      </c>
      <c r="C26" s="5"/>
      <c r="D26" s="34"/>
      <c r="E26" s="35" t="s">
        <v>256</v>
      </c>
    </row>
    <row r="27" spans="1:5" ht="21.75" customHeight="1">
      <c r="A27" s="33">
        <v>17</v>
      </c>
      <c r="B27" s="5" t="s">
        <v>391</v>
      </c>
      <c r="C27" s="5"/>
      <c r="D27" s="34"/>
      <c r="E27" s="35" t="s">
        <v>256</v>
      </c>
    </row>
    <row r="28" spans="1:5" ht="21.75" customHeight="1">
      <c r="A28" s="33">
        <v>18</v>
      </c>
      <c r="B28" s="5" t="s">
        <v>392</v>
      </c>
      <c r="C28" s="5"/>
      <c r="D28" s="34"/>
      <c r="E28" s="35" t="s">
        <v>256</v>
      </c>
    </row>
    <row r="29" spans="1:5" ht="21.75" customHeight="1">
      <c r="A29" s="33">
        <v>19</v>
      </c>
      <c r="B29" s="5" t="s">
        <v>393</v>
      </c>
      <c r="C29" s="5"/>
      <c r="D29" s="34"/>
      <c r="E29" s="35" t="s">
        <v>256</v>
      </c>
    </row>
    <row r="30" spans="1:5" ht="15" customHeight="1">
      <c r="A30" s="10" t="s">
        <v>394</v>
      </c>
      <c r="B30" s="10"/>
      <c r="C30" s="10"/>
      <c r="D30" s="10"/>
      <c r="E30" s="10"/>
    </row>
    <row r="31" spans="1:5" ht="21.75" customHeight="1">
      <c r="A31" s="33">
        <v>20</v>
      </c>
      <c r="B31" s="5" t="s">
        <v>281</v>
      </c>
      <c r="C31" s="5"/>
      <c r="D31" s="34"/>
      <c r="E31" s="35" t="s">
        <v>256</v>
      </c>
    </row>
    <row r="32" spans="1:5" ht="21.75" customHeight="1">
      <c r="A32" s="33">
        <v>21</v>
      </c>
      <c r="B32" s="5" t="s">
        <v>326</v>
      </c>
      <c r="C32" s="5"/>
      <c r="D32" s="34"/>
      <c r="E32" s="37" t="s">
        <v>269</v>
      </c>
    </row>
    <row r="34" spans="1:5" ht="15" customHeight="1">
      <c r="A34" s="10" t="s">
        <v>283</v>
      </c>
      <c r="B34" s="10"/>
      <c r="C34" s="10"/>
      <c r="D34" s="10"/>
      <c r="E34" s="10"/>
    </row>
    <row r="35" spans="1:5" ht="36" customHeight="1">
      <c r="A35" s="40" t="s">
        <v>284</v>
      </c>
      <c r="B35" s="9" t="s">
        <v>285</v>
      </c>
      <c r="C35" s="9"/>
      <c r="D35" s="9"/>
      <c r="E35" s="41" t="s">
        <v>256</v>
      </c>
    </row>
    <row r="36" spans="1:5" ht="36" customHeight="1">
      <c r="A36" s="40" t="s">
        <v>284</v>
      </c>
      <c r="B36" s="9" t="s">
        <v>286</v>
      </c>
      <c r="C36" s="9"/>
      <c r="D36" s="9"/>
      <c r="E36" s="41" t="s">
        <v>256</v>
      </c>
    </row>
    <row r="37" spans="1:5" ht="36" customHeight="1">
      <c r="A37" s="40" t="s">
        <v>284</v>
      </c>
      <c r="B37" s="9" t="s">
        <v>287</v>
      </c>
      <c r="C37" s="9"/>
      <c r="D37" s="9"/>
      <c r="E37" s="41" t="s">
        <v>256</v>
      </c>
    </row>
    <row r="38" spans="1:5" ht="36" customHeight="1">
      <c r="A38" s="40" t="s">
        <v>284</v>
      </c>
      <c r="B38" s="9" t="s">
        <v>288</v>
      </c>
      <c r="C38" s="9"/>
      <c r="D38" s="9"/>
      <c r="E38" s="42" t="s">
        <v>269</v>
      </c>
    </row>
    <row r="40" spans="1:5" ht="15" customHeight="1">
      <c r="A40" s="4" t="s">
        <v>289</v>
      </c>
      <c r="B40" s="4"/>
      <c r="C40" s="4"/>
      <c r="D40" s="4"/>
      <c r="E40" s="4"/>
    </row>
    <row r="41" spans="1:5" ht="24" customHeight="1">
      <c r="A41" s="43"/>
      <c r="B41" s="3" t="s">
        <v>290</v>
      </c>
      <c r="C41" s="3"/>
      <c r="D41" s="44" t="str">
        <f ca="1">"KYN-AC-"&amp;TEXT(TODAY(),"YYYYMMDD")&amp;"-"&amp;TEXT(RANDBETWEEN(1000,9999),"0000")</f>
        <v>KYN-AC-20260609-7465</v>
      </c>
      <c r="E41" s="45" t="s">
        <v>91</v>
      </c>
    </row>
    <row r="42" spans="1:5" ht="24" customHeight="1">
      <c r="A42" s="43"/>
      <c r="B42" s="3" t="s">
        <v>291</v>
      </c>
      <c r="C42" s="3"/>
      <c r="D42" s="46">
        <f ca="1">NOW()</f>
        <v>46182.775330671298</v>
      </c>
      <c r="E42" s="45" t="s">
        <v>91</v>
      </c>
    </row>
    <row r="43" spans="1:5" ht="24" customHeight="1">
      <c r="A43" s="43"/>
      <c r="B43" s="3" t="s">
        <v>292</v>
      </c>
      <c r="C43" s="3"/>
      <c r="D43" s="34"/>
      <c r="E43" s="45" t="s">
        <v>91</v>
      </c>
    </row>
    <row r="44" spans="1:5" ht="24" customHeight="1">
      <c r="A44" s="43"/>
      <c r="B44" s="3" t="s">
        <v>293</v>
      </c>
      <c r="C44" s="3"/>
      <c r="D44" s="34"/>
      <c r="E44" s="45" t="s">
        <v>91</v>
      </c>
    </row>
    <row r="45" spans="1:5" ht="24" customHeight="1">
      <c r="A45" s="43"/>
      <c r="B45" s="3" t="s">
        <v>294</v>
      </c>
      <c r="C45" s="3"/>
      <c r="D45" s="34"/>
      <c r="E45" s="45" t="s">
        <v>91</v>
      </c>
    </row>
    <row r="46" spans="1:5" ht="24" customHeight="1">
      <c r="A46" s="43"/>
      <c r="B46" s="3" t="s">
        <v>295</v>
      </c>
      <c r="C46" s="3"/>
      <c r="D46" s="34"/>
      <c r="E46" s="45" t="s">
        <v>91</v>
      </c>
    </row>
    <row r="47" spans="1:5" ht="24" customHeight="1">
      <c r="A47" s="43"/>
      <c r="B47" s="3" t="s">
        <v>296</v>
      </c>
      <c r="C47" s="3"/>
      <c r="D47" s="34"/>
      <c r="E47" s="45" t="s">
        <v>91</v>
      </c>
    </row>
    <row r="49" spans="1:5" ht="25.5" customHeight="1">
      <c r="A49" s="2" t="s">
        <v>395</v>
      </c>
      <c r="B49" s="2"/>
      <c r="C49" s="2"/>
      <c r="D49" s="2"/>
      <c r="E49" s="2"/>
    </row>
  </sheetData>
  <mergeCells count="43">
    <mergeCell ref="B46:C46"/>
    <mergeCell ref="B47:C47"/>
    <mergeCell ref="A49:E49"/>
    <mergeCell ref="B41:C41"/>
    <mergeCell ref="B42:C42"/>
    <mergeCell ref="B43:C43"/>
    <mergeCell ref="B44:C44"/>
    <mergeCell ref="B45:C45"/>
    <mergeCell ref="B35:D35"/>
    <mergeCell ref="B36:D36"/>
    <mergeCell ref="B37:D37"/>
    <mergeCell ref="B38:D38"/>
    <mergeCell ref="A40:E40"/>
    <mergeCell ref="B29:C29"/>
    <mergeCell ref="A30:E30"/>
    <mergeCell ref="B31:C31"/>
    <mergeCell ref="B32:C32"/>
    <mergeCell ref="A34:E34"/>
    <mergeCell ref="A24:E24"/>
    <mergeCell ref="B25:C25"/>
    <mergeCell ref="B26:C26"/>
    <mergeCell ref="B27:C27"/>
    <mergeCell ref="B28:C28"/>
    <mergeCell ref="A19:E19"/>
    <mergeCell ref="B20:C20"/>
    <mergeCell ref="B21:C21"/>
    <mergeCell ref="B22:C22"/>
    <mergeCell ref="B23:C23"/>
    <mergeCell ref="B14:C14"/>
    <mergeCell ref="A15:E15"/>
    <mergeCell ref="B16:C16"/>
    <mergeCell ref="B17:C17"/>
    <mergeCell ref="B18:C18"/>
    <mergeCell ref="B9:C9"/>
    <mergeCell ref="B10:C10"/>
    <mergeCell ref="B11:C11"/>
    <mergeCell ref="B12:C12"/>
    <mergeCell ref="B13:C13"/>
    <mergeCell ref="A1:E2"/>
    <mergeCell ref="A3:E3"/>
    <mergeCell ref="A4:E5"/>
    <mergeCell ref="A7:E7"/>
    <mergeCell ref="B8:C8"/>
  </mergeCells>
  <dataValidations count="10">
    <dataValidation type="decimal" operator="greaterThanOrEqual" allowBlank="1" errorTitle="Number" error="Numbers only" sqref="D26" xr:uid="{00000000-0002-0000-0600-000000000000}">
      <formula1>0</formula1>
      <formula2>0</formula2>
    </dataValidation>
    <dataValidation type="list" allowBlank="1" sqref="D9" xr:uid="{00000000-0002-0000-0600-000001000000}">
      <formula1>Genders</formula1>
      <formula2>0</formula2>
    </dataValidation>
    <dataValidation type="list" allowBlank="1" sqref="D10" xr:uid="{00000000-0002-0000-0600-000002000000}">
      <formula1>AgeBands</formula1>
      <formula2>0</formula2>
    </dataValidation>
    <dataValidation type="custom" allowBlank="1" errorTitle="Email" error="Enter a valid email" sqref="D11" xr:uid="{00000000-0002-0000-0600-000003000000}">
      <formula1>ISNUMBER(SEARCH("@",D11))</formula1>
      <formula2>0</formula2>
    </dataValidation>
    <dataValidation type="list" allowBlank="1" sqref="D13" xr:uid="{00000000-0002-0000-0600-000004000000}">
      <formula1>Countries</formula1>
      <formula2>0</formula2>
    </dataValidation>
    <dataValidation type="list" allowBlank="1" sqref="D18" xr:uid="{00000000-0002-0000-0600-000005000000}">
      <formula1>Languages</formula1>
      <formula2>0</formula2>
    </dataValidation>
    <dataValidation type="list" allowBlank="1" sqref="D20" xr:uid="{00000000-0002-0000-0600-000006000000}">
      <formula1>Domains</formula1>
      <formula2>0</formula2>
    </dataValidation>
    <dataValidation type="list" allowBlank="1" sqref="D28:D29" xr:uid="{00000000-0002-0000-0600-000007000000}">
      <formula1>YesNo</formula1>
      <formula2>0</formula2>
    </dataValidation>
    <dataValidation type="list" allowBlank="1" sqref="D31 D43" xr:uid="{00000000-0002-0000-0600-000009000000}">
      <formula1>Channels</formula1>
      <formula2>0</formula2>
    </dataValidation>
    <dataValidation type="list" allowBlank="1" sqref="D45" xr:uid="{00000000-0002-0000-0600-00000B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51"/>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396</v>
      </c>
      <c r="B1" s="8"/>
      <c r="C1" s="8"/>
      <c r="D1" s="8"/>
      <c r="E1" s="8"/>
    </row>
    <row r="2" spans="1:5">
      <c r="A2" s="8"/>
      <c r="B2" s="8"/>
      <c r="C2" s="8"/>
      <c r="D2" s="8"/>
      <c r="E2" s="8"/>
    </row>
    <row r="3" spans="1:5" ht="15" customHeight="1">
      <c r="A3" s="11" t="s">
        <v>397</v>
      </c>
      <c r="B3" s="11"/>
      <c r="C3" s="11"/>
      <c r="D3" s="11"/>
      <c r="E3" s="11"/>
    </row>
    <row r="4" spans="1:5" ht="27.75" customHeight="1">
      <c r="A4" s="6" t="s">
        <v>398</v>
      </c>
      <c r="B4" s="6"/>
      <c r="C4" s="6"/>
      <c r="D4" s="6"/>
      <c r="E4" s="6"/>
    </row>
    <row r="5" spans="1:5" ht="27.75" customHeight="1">
      <c r="A5" s="6"/>
      <c r="B5" s="6"/>
      <c r="C5" s="6"/>
      <c r="D5" s="6"/>
      <c r="E5" s="6"/>
    </row>
    <row r="7" spans="1:5" ht="15" customHeight="1">
      <c r="A7" s="10" t="s">
        <v>254</v>
      </c>
      <c r="B7" s="10"/>
      <c r="C7" s="10"/>
      <c r="D7" s="10"/>
      <c r="E7" s="10"/>
    </row>
    <row r="8" spans="1:5" ht="21.75" customHeight="1">
      <c r="A8" s="33">
        <v>1</v>
      </c>
      <c r="B8" s="5" t="s">
        <v>255</v>
      </c>
      <c r="C8" s="5"/>
      <c r="D8" s="34"/>
      <c r="E8" s="35" t="s">
        <v>256</v>
      </c>
    </row>
    <row r="9" spans="1:5" ht="21.75" customHeight="1">
      <c r="A9" s="33">
        <v>2</v>
      </c>
      <c r="B9" s="5" t="s">
        <v>304</v>
      </c>
      <c r="C9" s="5"/>
      <c r="D9" s="34"/>
      <c r="E9" s="35" t="s">
        <v>256</v>
      </c>
    </row>
    <row r="10" spans="1:5" ht="21.75" customHeight="1">
      <c r="A10" s="33">
        <v>3</v>
      </c>
      <c r="B10" s="5" t="s">
        <v>260</v>
      </c>
      <c r="C10" s="5"/>
      <c r="D10" s="36"/>
      <c r="E10" s="35" t="s">
        <v>256</v>
      </c>
    </row>
    <row r="11" spans="1:5" ht="21.75" customHeight="1">
      <c r="A11" s="33">
        <v>4</v>
      </c>
      <c r="B11" s="5" t="s">
        <v>399</v>
      </c>
      <c r="C11" s="5"/>
      <c r="D11" s="34"/>
      <c r="E11" s="35" t="s">
        <v>256</v>
      </c>
    </row>
    <row r="12" spans="1:5" ht="21.75" customHeight="1">
      <c r="A12" s="33">
        <v>5</v>
      </c>
      <c r="B12" s="5" t="s">
        <v>400</v>
      </c>
      <c r="C12" s="5"/>
      <c r="D12" s="34"/>
      <c r="E12" s="37" t="s">
        <v>269</v>
      </c>
    </row>
    <row r="13" spans="1:5" ht="15" customHeight="1">
      <c r="A13" s="10" t="s">
        <v>401</v>
      </c>
      <c r="B13" s="10"/>
      <c r="C13" s="10"/>
      <c r="D13" s="10"/>
      <c r="E13" s="10"/>
    </row>
    <row r="14" spans="1:5" ht="48" customHeight="1">
      <c r="A14" s="33">
        <v>6</v>
      </c>
      <c r="B14" s="5" t="s">
        <v>402</v>
      </c>
      <c r="C14" s="5"/>
      <c r="D14" s="38"/>
      <c r="E14" s="35" t="s">
        <v>256</v>
      </c>
    </row>
    <row r="15" spans="1:5" ht="21.75" customHeight="1">
      <c r="A15" s="33">
        <v>7</v>
      </c>
      <c r="B15" s="5" t="s">
        <v>403</v>
      </c>
      <c r="C15" s="5"/>
      <c r="D15" s="34"/>
      <c r="E15" s="35" t="s">
        <v>256</v>
      </c>
    </row>
    <row r="16" spans="1:5" ht="21.75" customHeight="1">
      <c r="A16" s="33">
        <v>8</v>
      </c>
      <c r="B16" s="5" t="s">
        <v>404</v>
      </c>
      <c r="C16" s="5"/>
      <c r="D16" s="34"/>
      <c r="E16" s="35" t="s">
        <v>256</v>
      </c>
    </row>
    <row r="17" spans="1:5" ht="21.75" customHeight="1">
      <c r="A17" s="33">
        <v>9</v>
      </c>
      <c r="B17" s="5" t="s">
        <v>405</v>
      </c>
      <c r="C17" s="5"/>
      <c r="D17" s="34"/>
      <c r="E17" s="35" t="s">
        <v>256</v>
      </c>
    </row>
    <row r="18" spans="1:5" ht="21.75" customHeight="1">
      <c r="A18" s="33">
        <v>10</v>
      </c>
      <c r="B18" s="5" t="s">
        <v>406</v>
      </c>
      <c r="C18" s="5"/>
      <c r="D18" s="34"/>
      <c r="E18" s="35" t="s">
        <v>256</v>
      </c>
    </row>
    <row r="19" spans="1:5" ht="21.75" customHeight="1">
      <c r="A19" s="33">
        <v>11</v>
      </c>
      <c r="B19" s="5" t="s">
        <v>407</v>
      </c>
      <c r="C19" s="5"/>
      <c r="D19" s="34"/>
      <c r="E19" s="35" t="s">
        <v>256</v>
      </c>
    </row>
    <row r="20" spans="1:5" ht="21.75" customHeight="1">
      <c r="A20" s="33">
        <v>12</v>
      </c>
      <c r="B20" s="5" t="s">
        <v>408</v>
      </c>
      <c r="C20" s="5"/>
      <c r="D20" s="34"/>
      <c r="E20" s="35" t="s">
        <v>256</v>
      </c>
    </row>
    <row r="21" spans="1:5" ht="21.75" customHeight="1">
      <c r="A21" s="33">
        <v>13</v>
      </c>
      <c r="B21" s="5" t="s">
        <v>409</v>
      </c>
      <c r="C21" s="5"/>
      <c r="D21" s="34"/>
      <c r="E21" s="35" t="s">
        <v>256</v>
      </c>
    </row>
    <row r="22" spans="1:5" ht="15" customHeight="1">
      <c r="A22" s="10" t="s">
        <v>410</v>
      </c>
      <c r="B22" s="10"/>
      <c r="C22" s="10"/>
      <c r="D22" s="10"/>
      <c r="E22" s="10"/>
    </row>
    <row r="23" spans="1:5" ht="21.75" customHeight="1">
      <c r="A23" s="33">
        <v>14</v>
      </c>
      <c r="B23" s="5" t="s">
        <v>411</v>
      </c>
      <c r="C23" s="5"/>
      <c r="D23" s="39"/>
      <c r="E23" s="35" t="s">
        <v>256</v>
      </c>
    </row>
    <row r="24" spans="1:5" ht="21.75" customHeight="1">
      <c r="A24" s="33">
        <v>15</v>
      </c>
      <c r="B24" s="5" t="s">
        <v>412</v>
      </c>
      <c r="C24" s="5"/>
      <c r="D24" s="34"/>
      <c r="E24" s="35" t="s">
        <v>256</v>
      </c>
    </row>
    <row r="25" spans="1:5" ht="21.75" customHeight="1">
      <c r="A25" s="33">
        <v>16</v>
      </c>
      <c r="B25" s="5" t="s">
        <v>413</v>
      </c>
      <c r="C25" s="5"/>
      <c r="D25" s="34"/>
      <c r="E25" s="35" t="s">
        <v>256</v>
      </c>
    </row>
    <row r="26" spans="1:5" ht="21.75" customHeight="1">
      <c r="A26" s="33">
        <v>17</v>
      </c>
      <c r="B26" s="5" t="s">
        <v>414</v>
      </c>
      <c r="C26" s="5"/>
      <c r="D26" s="34"/>
      <c r="E26" s="35" t="s">
        <v>256</v>
      </c>
    </row>
    <row r="27" spans="1:5" ht="15" customHeight="1">
      <c r="A27" s="10" t="s">
        <v>415</v>
      </c>
      <c r="B27" s="10"/>
      <c r="C27" s="10"/>
      <c r="D27" s="10"/>
      <c r="E27" s="10"/>
    </row>
    <row r="28" spans="1:5" ht="21.75" customHeight="1">
      <c r="A28" s="33">
        <v>18</v>
      </c>
      <c r="B28" s="5" t="s">
        <v>416</v>
      </c>
      <c r="C28" s="5"/>
      <c r="D28" s="34"/>
      <c r="E28" s="35" t="s">
        <v>256</v>
      </c>
    </row>
    <row r="29" spans="1:5" ht="21.75" customHeight="1">
      <c r="A29" s="33">
        <v>19</v>
      </c>
      <c r="B29" s="5" t="s">
        <v>417</v>
      </c>
      <c r="C29" s="5"/>
      <c r="D29" s="34"/>
      <c r="E29" s="37" t="s">
        <v>269</v>
      </c>
    </row>
    <row r="30" spans="1:5" ht="21.75" customHeight="1">
      <c r="A30" s="33">
        <v>20</v>
      </c>
      <c r="B30" s="5" t="s">
        <v>418</v>
      </c>
      <c r="C30" s="5"/>
      <c r="D30" s="34"/>
      <c r="E30" s="37" t="s">
        <v>269</v>
      </c>
    </row>
    <row r="31" spans="1:5" ht="21.75" customHeight="1">
      <c r="A31" s="33">
        <v>21</v>
      </c>
      <c r="B31" s="5" t="s">
        <v>419</v>
      </c>
      <c r="C31" s="5"/>
      <c r="D31" s="34"/>
      <c r="E31" s="37" t="s">
        <v>269</v>
      </c>
    </row>
    <row r="32" spans="1:5" ht="15" customHeight="1">
      <c r="A32" s="10" t="s">
        <v>420</v>
      </c>
      <c r="B32" s="10"/>
      <c r="C32" s="10"/>
      <c r="D32" s="10"/>
      <c r="E32" s="10"/>
    </row>
    <row r="33" spans="1:5" ht="21.75" customHeight="1">
      <c r="A33" s="33">
        <v>22</v>
      </c>
      <c r="B33" s="5" t="s">
        <v>281</v>
      </c>
      <c r="C33" s="5"/>
      <c r="D33" s="34"/>
      <c r="E33" s="35" t="s">
        <v>256</v>
      </c>
    </row>
    <row r="34" spans="1:5" ht="21.75" customHeight="1">
      <c r="A34" s="33">
        <v>23</v>
      </c>
      <c r="B34" s="5" t="s">
        <v>326</v>
      </c>
      <c r="C34" s="5"/>
      <c r="D34" s="34"/>
      <c r="E34" s="37" t="s">
        <v>269</v>
      </c>
    </row>
    <row r="36" spans="1:5" ht="15" customHeight="1">
      <c r="A36" s="10" t="s">
        <v>283</v>
      </c>
      <c r="B36" s="10"/>
      <c r="C36" s="10"/>
      <c r="D36" s="10"/>
      <c r="E36" s="10"/>
    </row>
    <row r="37" spans="1:5" ht="36" customHeight="1">
      <c r="A37" s="40" t="s">
        <v>284</v>
      </c>
      <c r="B37" s="9" t="s">
        <v>285</v>
      </c>
      <c r="C37" s="9"/>
      <c r="D37" s="9"/>
      <c r="E37" s="41" t="s">
        <v>256</v>
      </c>
    </row>
    <row r="38" spans="1:5" ht="36" customHeight="1">
      <c r="A38" s="40" t="s">
        <v>284</v>
      </c>
      <c r="B38" s="9" t="s">
        <v>286</v>
      </c>
      <c r="C38" s="9"/>
      <c r="D38" s="9"/>
      <c r="E38" s="41" t="s">
        <v>256</v>
      </c>
    </row>
    <row r="39" spans="1:5" ht="36" customHeight="1">
      <c r="A39" s="40" t="s">
        <v>284</v>
      </c>
      <c r="B39" s="9" t="s">
        <v>287</v>
      </c>
      <c r="C39" s="9"/>
      <c r="D39" s="9"/>
      <c r="E39" s="41" t="s">
        <v>256</v>
      </c>
    </row>
    <row r="40" spans="1:5" ht="36" customHeight="1">
      <c r="A40" s="40" t="s">
        <v>284</v>
      </c>
      <c r="B40" s="9" t="s">
        <v>288</v>
      </c>
      <c r="C40" s="9"/>
      <c r="D40" s="9"/>
      <c r="E40" s="42" t="s">
        <v>269</v>
      </c>
    </row>
    <row r="42" spans="1:5" ht="15" customHeight="1">
      <c r="A42" s="4" t="s">
        <v>289</v>
      </c>
      <c r="B42" s="4"/>
      <c r="C42" s="4"/>
      <c r="D42" s="4"/>
      <c r="E42" s="4"/>
    </row>
    <row r="43" spans="1:5" ht="24" customHeight="1">
      <c r="A43" s="43"/>
      <c r="B43" s="3" t="s">
        <v>290</v>
      </c>
      <c r="C43" s="3"/>
      <c r="D43" s="44" t="str">
        <f ca="1">"KYN-HB-"&amp;TEXT(TODAY(),"YYYYMMDD")&amp;"-"&amp;TEXT(RANDBETWEEN(1000,9999),"0000")</f>
        <v>KYN-HB-20260609-3345</v>
      </c>
      <c r="E43" s="45" t="s">
        <v>91</v>
      </c>
    </row>
    <row r="44" spans="1:5" ht="24" customHeight="1">
      <c r="A44" s="43"/>
      <c r="B44" s="3" t="s">
        <v>291</v>
      </c>
      <c r="C44" s="3"/>
      <c r="D44" s="46">
        <f ca="1">NOW()</f>
        <v>46182.775330671298</v>
      </c>
      <c r="E44" s="45" t="s">
        <v>91</v>
      </c>
    </row>
    <row r="45" spans="1:5" ht="24" customHeight="1">
      <c r="A45" s="43"/>
      <c r="B45" s="3" t="s">
        <v>292</v>
      </c>
      <c r="C45" s="3"/>
      <c r="D45" s="34"/>
      <c r="E45" s="45" t="s">
        <v>91</v>
      </c>
    </row>
    <row r="46" spans="1:5" ht="24" customHeight="1">
      <c r="A46" s="43"/>
      <c r="B46" s="3" t="s">
        <v>293</v>
      </c>
      <c r="C46" s="3"/>
      <c r="D46" s="34"/>
      <c r="E46" s="45" t="s">
        <v>91</v>
      </c>
    </row>
    <row r="47" spans="1:5" ht="24" customHeight="1">
      <c r="A47" s="43"/>
      <c r="B47" s="3" t="s">
        <v>294</v>
      </c>
      <c r="C47" s="3"/>
      <c r="D47" s="34"/>
      <c r="E47" s="45" t="s">
        <v>91</v>
      </c>
    </row>
    <row r="48" spans="1:5" ht="24" customHeight="1">
      <c r="A48" s="43"/>
      <c r="B48" s="3" t="s">
        <v>295</v>
      </c>
      <c r="C48" s="3"/>
      <c r="D48" s="34"/>
      <c r="E48" s="45" t="s">
        <v>91</v>
      </c>
    </row>
    <row r="49" spans="1:5" ht="24" customHeight="1">
      <c r="A49" s="43"/>
      <c r="B49" s="3" t="s">
        <v>296</v>
      </c>
      <c r="C49" s="3"/>
      <c r="D49" s="34"/>
      <c r="E49" s="45" t="s">
        <v>91</v>
      </c>
    </row>
    <row r="51" spans="1:5" ht="25.5" customHeight="1">
      <c r="A51" s="2" t="s">
        <v>421</v>
      </c>
      <c r="B51" s="2"/>
      <c r="C51" s="2"/>
      <c r="D51" s="2"/>
      <c r="E51" s="2"/>
    </row>
  </sheetData>
  <mergeCells count="45">
    <mergeCell ref="B46:C46"/>
    <mergeCell ref="B47:C47"/>
    <mergeCell ref="B48:C48"/>
    <mergeCell ref="B49:C49"/>
    <mergeCell ref="A51:E51"/>
    <mergeCell ref="B40:D40"/>
    <mergeCell ref="A42:E42"/>
    <mergeCell ref="B43:C43"/>
    <mergeCell ref="B44:C44"/>
    <mergeCell ref="B45:C45"/>
    <mergeCell ref="B34:C34"/>
    <mergeCell ref="A36:E36"/>
    <mergeCell ref="B37:D37"/>
    <mergeCell ref="B38:D38"/>
    <mergeCell ref="B39:D39"/>
    <mergeCell ref="B29:C29"/>
    <mergeCell ref="B30:C30"/>
    <mergeCell ref="B31:C31"/>
    <mergeCell ref="A32:E32"/>
    <mergeCell ref="B33:C33"/>
    <mergeCell ref="B24:C24"/>
    <mergeCell ref="B25:C25"/>
    <mergeCell ref="B26:C26"/>
    <mergeCell ref="A27:E27"/>
    <mergeCell ref="B28:C28"/>
    <mergeCell ref="B19:C19"/>
    <mergeCell ref="B20:C20"/>
    <mergeCell ref="B21:C21"/>
    <mergeCell ref="A22:E22"/>
    <mergeCell ref="B23:C23"/>
    <mergeCell ref="B14:C14"/>
    <mergeCell ref="B15:C15"/>
    <mergeCell ref="B16:C16"/>
    <mergeCell ref="B17:C17"/>
    <mergeCell ref="B18:C18"/>
    <mergeCell ref="B9:C9"/>
    <mergeCell ref="B10:C10"/>
    <mergeCell ref="B11:C11"/>
    <mergeCell ref="B12:C12"/>
    <mergeCell ref="A13:E13"/>
    <mergeCell ref="A1:E2"/>
    <mergeCell ref="A3:E3"/>
    <mergeCell ref="A4:E5"/>
    <mergeCell ref="A7:E7"/>
    <mergeCell ref="B8:C8"/>
  </mergeCells>
  <dataValidations count="7">
    <dataValidation type="decimal" operator="greaterThanOrEqual" allowBlank="1" errorTitle="Number" error="Numbers only" sqref="D21" xr:uid="{00000000-0002-0000-0700-000000000000}">
      <formula1>0</formula1>
      <formula2>0</formula2>
    </dataValidation>
    <dataValidation type="custom" allowBlank="1" errorTitle="Email" error="Enter a valid email" sqref="D9" xr:uid="{00000000-0002-0000-0700-000001000000}">
      <formula1>ISNUMBER(SEARCH("@",D9))</formula1>
      <formula2>0</formula2>
    </dataValidation>
    <dataValidation type="list" allowBlank="1" sqref="D29:D31 D15:D20" xr:uid="{00000000-0002-0000-0700-000002000000}">
      <formula1>YesNo</formula1>
      <formula2>0</formula2>
    </dataValidation>
    <dataValidation type="date" allowBlank="1" errorTitle="Date" error="Enter a valid date" sqref="D23" xr:uid="{00000000-0002-0000-0700-000008000000}">
      <formula1>DATE(2020,1,1)</formula1>
      <formula2>DATE(2035,12,31)</formula2>
    </dataValidation>
    <dataValidation type="list" allowBlank="1" sqref="D28" xr:uid="{00000000-0002-0000-0700-000009000000}">
      <formula1>BudgetBands</formula1>
      <formula2>0</formula2>
    </dataValidation>
    <dataValidation type="list" allowBlank="1" sqref="D33 D45" xr:uid="{00000000-0002-0000-0700-00000D000000}">
      <formula1>Channels</formula1>
      <formula2>0</formula2>
    </dataValidation>
    <dataValidation type="list" allowBlank="1" sqref="D47" xr:uid="{00000000-0002-0000-0700-00000F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E65"/>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422</v>
      </c>
      <c r="B1" s="8"/>
      <c r="C1" s="8"/>
      <c r="D1" s="8"/>
      <c r="E1" s="8"/>
    </row>
    <row r="2" spans="1:5">
      <c r="A2" s="8"/>
      <c r="B2" s="8"/>
      <c r="C2" s="8"/>
      <c r="D2" s="8"/>
      <c r="E2" s="8"/>
    </row>
    <row r="3" spans="1:5" ht="15" customHeight="1">
      <c r="A3" s="11" t="s">
        <v>423</v>
      </c>
      <c r="B3" s="11"/>
      <c r="C3" s="11"/>
      <c r="D3" s="11"/>
      <c r="E3" s="11"/>
    </row>
    <row r="4" spans="1:5" ht="27.75" customHeight="1">
      <c r="A4" s="6" t="s">
        <v>424</v>
      </c>
      <c r="B4" s="6"/>
      <c r="C4" s="6"/>
      <c r="D4" s="6"/>
      <c r="E4" s="6"/>
    </row>
    <row r="5" spans="1:5" ht="27.75" customHeight="1">
      <c r="A5" s="6"/>
      <c r="B5" s="6"/>
      <c r="C5" s="6"/>
      <c r="D5" s="6"/>
      <c r="E5" s="6"/>
    </row>
    <row r="7" spans="1:5" ht="15" customHeight="1">
      <c r="A7" s="10" t="s">
        <v>425</v>
      </c>
      <c r="B7" s="10"/>
      <c r="C7" s="10"/>
      <c r="D7" s="10"/>
      <c r="E7" s="10"/>
    </row>
    <row r="8" spans="1:5" ht="21.75" customHeight="1">
      <c r="A8" s="33">
        <v>1</v>
      </c>
      <c r="B8" s="5" t="s">
        <v>426</v>
      </c>
      <c r="C8" s="5"/>
      <c r="D8" s="34"/>
      <c r="E8" s="35" t="s">
        <v>256</v>
      </c>
    </row>
    <row r="9" spans="1:5" ht="21.75" customHeight="1">
      <c r="A9" s="33">
        <v>2</v>
      </c>
      <c r="B9" s="5" t="s">
        <v>427</v>
      </c>
      <c r="C9" s="5"/>
      <c r="D9" s="34"/>
      <c r="E9" s="37" t="s">
        <v>269</v>
      </c>
    </row>
    <row r="10" spans="1:5" ht="21.75" customHeight="1">
      <c r="A10" s="33">
        <v>3</v>
      </c>
      <c r="B10" s="5" t="s">
        <v>428</v>
      </c>
      <c r="C10" s="5"/>
      <c r="D10" s="34"/>
      <c r="E10" s="35" t="s">
        <v>256</v>
      </c>
    </row>
    <row r="11" spans="1:5" ht="21.75" customHeight="1">
      <c r="A11" s="33">
        <v>4</v>
      </c>
      <c r="B11" s="5" t="s">
        <v>429</v>
      </c>
      <c r="C11" s="5"/>
      <c r="D11" s="34"/>
      <c r="E11" s="35" t="s">
        <v>256</v>
      </c>
    </row>
    <row r="12" spans="1:5" ht="48" customHeight="1">
      <c r="A12" s="33">
        <v>5</v>
      </c>
      <c r="B12" s="5" t="s">
        <v>430</v>
      </c>
      <c r="C12" s="5"/>
      <c r="D12" s="38"/>
      <c r="E12" s="35" t="s">
        <v>256</v>
      </c>
    </row>
    <row r="13" spans="1:5" ht="21.75" customHeight="1">
      <c r="A13" s="33">
        <v>6</v>
      </c>
      <c r="B13" s="5" t="s">
        <v>431</v>
      </c>
      <c r="C13" s="5"/>
      <c r="D13" s="34"/>
      <c r="E13" s="37" t="s">
        <v>269</v>
      </c>
    </row>
    <row r="14" spans="1:5" ht="21.75" customHeight="1">
      <c r="A14" s="33">
        <v>7</v>
      </c>
      <c r="B14" s="5" t="s">
        <v>335</v>
      </c>
      <c r="C14" s="5"/>
      <c r="D14" s="34"/>
      <c r="E14" s="35" t="s">
        <v>256</v>
      </c>
    </row>
    <row r="15" spans="1:5" ht="21.75" customHeight="1">
      <c r="A15" s="33">
        <v>8</v>
      </c>
      <c r="B15" s="5" t="s">
        <v>266</v>
      </c>
      <c r="C15" s="5"/>
      <c r="D15" s="34"/>
      <c r="E15" s="35" t="s">
        <v>256</v>
      </c>
    </row>
    <row r="16" spans="1:5" ht="21.75" customHeight="1">
      <c r="A16" s="33">
        <v>9</v>
      </c>
      <c r="B16" s="5" t="s">
        <v>267</v>
      </c>
      <c r="C16" s="5"/>
      <c r="D16" s="34"/>
      <c r="E16" s="35" t="s">
        <v>256</v>
      </c>
    </row>
    <row r="17" spans="1:5" ht="21.75" customHeight="1">
      <c r="A17" s="33">
        <v>10</v>
      </c>
      <c r="B17" s="5" t="s">
        <v>336</v>
      </c>
      <c r="C17" s="5"/>
      <c r="D17" s="34"/>
      <c r="E17" s="37" t="s">
        <v>269</v>
      </c>
    </row>
    <row r="18" spans="1:5" ht="15" customHeight="1">
      <c r="A18" s="10" t="s">
        <v>432</v>
      </c>
      <c r="B18" s="10"/>
      <c r="C18" s="10"/>
      <c r="D18" s="10"/>
      <c r="E18" s="10"/>
    </row>
    <row r="19" spans="1:5" ht="21.75" customHeight="1">
      <c r="A19" s="33">
        <v>11</v>
      </c>
      <c r="B19" s="5" t="s">
        <v>433</v>
      </c>
      <c r="C19" s="5"/>
      <c r="D19" s="34"/>
      <c r="E19" s="35" t="s">
        <v>256</v>
      </c>
    </row>
    <row r="20" spans="1:5" ht="21.75" customHeight="1">
      <c r="A20" s="33">
        <v>12</v>
      </c>
      <c r="B20" s="5" t="s">
        <v>434</v>
      </c>
      <c r="C20" s="5"/>
      <c r="D20" s="34"/>
      <c r="E20" s="35" t="s">
        <v>256</v>
      </c>
    </row>
    <row r="21" spans="1:5" ht="21.75" customHeight="1">
      <c r="A21" s="33">
        <v>13</v>
      </c>
      <c r="B21" s="5" t="s">
        <v>435</v>
      </c>
      <c r="C21" s="5"/>
      <c r="D21" s="34"/>
      <c r="E21" s="35" t="s">
        <v>256</v>
      </c>
    </row>
    <row r="22" spans="1:5" ht="21.75" customHeight="1">
      <c r="A22" s="33">
        <v>14</v>
      </c>
      <c r="B22" s="5" t="s">
        <v>436</v>
      </c>
      <c r="C22" s="5"/>
      <c r="D22" s="34"/>
      <c r="E22" s="37" t="s">
        <v>269</v>
      </c>
    </row>
    <row r="23" spans="1:5" ht="21.75" customHeight="1">
      <c r="A23" s="33">
        <v>15</v>
      </c>
      <c r="B23" s="5" t="s">
        <v>437</v>
      </c>
      <c r="C23" s="5"/>
      <c r="D23" s="34"/>
      <c r="E23" s="37" t="s">
        <v>269</v>
      </c>
    </row>
    <row r="24" spans="1:5" ht="21.75" customHeight="1">
      <c r="A24" s="33">
        <v>16</v>
      </c>
      <c r="B24" s="5" t="s">
        <v>438</v>
      </c>
      <c r="C24" s="5"/>
      <c r="D24" s="34"/>
      <c r="E24" s="37" t="s">
        <v>269</v>
      </c>
    </row>
    <row r="25" spans="1:5" ht="21.75" customHeight="1">
      <c r="A25" s="33">
        <v>17</v>
      </c>
      <c r="B25" s="5" t="s">
        <v>439</v>
      </c>
      <c r="C25" s="5"/>
      <c r="D25" s="34"/>
      <c r="E25" s="35" t="s">
        <v>256</v>
      </c>
    </row>
    <row r="26" spans="1:5" ht="15" customHeight="1">
      <c r="A26" s="10" t="s">
        <v>440</v>
      </c>
      <c r="B26" s="10"/>
      <c r="C26" s="10"/>
      <c r="D26" s="10"/>
      <c r="E26" s="10"/>
    </row>
    <row r="27" spans="1:5" ht="21.75" customHeight="1">
      <c r="A27" s="33">
        <v>18</v>
      </c>
      <c r="B27" s="5" t="s">
        <v>255</v>
      </c>
      <c r="C27" s="5"/>
      <c r="D27" s="34"/>
      <c r="E27" s="35" t="s">
        <v>256</v>
      </c>
    </row>
    <row r="28" spans="1:5" ht="21.75" customHeight="1">
      <c r="A28" s="33">
        <v>19</v>
      </c>
      <c r="B28" s="5" t="s">
        <v>333</v>
      </c>
      <c r="C28" s="5"/>
      <c r="D28" s="34"/>
      <c r="E28" s="35" t="s">
        <v>256</v>
      </c>
    </row>
    <row r="29" spans="1:5" ht="21.75" customHeight="1">
      <c r="A29" s="33">
        <v>20</v>
      </c>
      <c r="B29" s="5" t="s">
        <v>259</v>
      </c>
      <c r="C29" s="5"/>
      <c r="D29" s="34"/>
      <c r="E29" s="35" t="s">
        <v>256</v>
      </c>
    </row>
    <row r="30" spans="1:5" ht="21.75" customHeight="1">
      <c r="A30" s="33">
        <v>21</v>
      </c>
      <c r="B30" s="5" t="s">
        <v>260</v>
      </c>
      <c r="C30" s="5"/>
      <c r="D30" s="36"/>
      <c r="E30" s="35" t="s">
        <v>256</v>
      </c>
    </row>
    <row r="31" spans="1:5" ht="21.75" customHeight="1">
      <c r="A31" s="33">
        <v>22</v>
      </c>
      <c r="B31" s="5" t="s">
        <v>441</v>
      </c>
      <c r="C31" s="5"/>
      <c r="D31" s="34"/>
      <c r="E31" s="35" t="s">
        <v>256</v>
      </c>
    </row>
    <row r="32" spans="1:5" ht="15" customHeight="1">
      <c r="A32" s="10" t="s">
        <v>442</v>
      </c>
      <c r="B32" s="10"/>
      <c r="C32" s="10"/>
      <c r="D32" s="10"/>
      <c r="E32" s="10"/>
    </row>
    <row r="33" spans="1:5" ht="21.75" customHeight="1">
      <c r="A33" s="33">
        <v>23</v>
      </c>
      <c r="B33" s="5" t="s">
        <v>443</v>
      </c>
      <c r="C33" s="5"/>
      <c r="D33" s="34"/>
      <c r="E33" s="35" t="s">
        <v>256</v>
      </c>
    </row>
    <row r="34" spans="1:5" ht="21.75" customHeight="1">
      <c r="A34" s="33">
        <v>24</v>
      </c>
      <c r="B34" s="5" t="s">
        <v>444</v>
      </c>
      <c r="C34" s="5"/>
      <c r="D34" s="34"/>
      <c r="E34" s="35" t="s">
        <v>256</v>
      </c>
    </row>
    <row r="35" spans="1:5" ht="21.75" customHeight="1">
      <c r="A35" s="33">
        <v>25</v>
      </c>
      <c r="B35" s="5" t="s">
        <v>445</v>
      </c>
      <c r="C35" s="5"/>
      <c r="D35" s="34"/>
      <c r="E35" s="35" t="s">
        <v>256</v>
      </c>
    </row>
    <row r="36" spans="1:5" ht="21.75" customHeight="1">
      <c r="A36" s="33">
        <v>26</v>
      </c>
      <c r="B36" s="5" t="s">
        <v>446</v>
      </c>
      <c r="C36" s="5"/>
      <c r="D36" s="34"/>
      <c r="E36" s="35" t="s">
        <v>256</v>
      </c>
    </row>
    <row r="37" spans="1:5" ht="21.75" customHeight="1">
      <c r="A37" s="33">
        <v>27</v>
      </c>
      <c r="B37" s="5" t="s">
        <v>447</v>
      </c>
      <c r="C37" s="5"/>
      <c r="D37" s="34"/>
      <c r="E37" s="35" t="s">
        <v>256</v>
      </c>
    </row>
    <row r="38" spans="1:5" ht="21.75" customHeight="1">
      <c r="A38" s="33">
        <v>28</v>
      </c>
      <c r="B38" s="5" t="s">
        <v>448</v>
      </c>
      <c r="C38" s="5"/>
      <c r="D38" s="34"/>
      <c r="E38" s="35" t="s">
        <v>256</v>
      </c>
    </row>
    <row r="39" spans="1:5" ht="15" customHeight="1">
      <c r="A39" s="10" t="s">
        <v>449</v>
      </c>
      <c r="B39" s="10"/>
      <c r="C39" s="10"/>
      <c r="D39" s="10"/>
      <c r="E39" s="10"/>
    </row>
    <row r="40" spans="1:5" ht="21.75" customHeight="1">
      <c r="A40" s="33">
        <v>29</v>
      </c>
      <c r="B40" s="5" t="s">
        <v>450</v>
      </c>
      <c r="C40" s="5"/>
      <c r="D40" s="34"/>
      <c r="E40" s="35" t="s">
        <v>256</v>
      </c>
    </row>
    <row r="41" spans="1:5" ht="21.75" customHeight="1">
      <c r="A41" s="33">
        <v>30</v>
      </c>
      <c r="B41" s="5" t="s">
        <v>451</v>
      </c>
      <c r="C41" s="5"/>
      <c r="D41" s="34"/>
      <c r="E41" s="35" t="s">
        <v>256</v>
      </c>
    </row>
    <row r="42" spans="1:5" ht="21.75" customHeight="1">
      <c r="A42" s="33">
        <v>31</v>
      </c>
      <c r="B42" s="5" t="s">
        <v>452</v>
      </c>
      <c r="C42" s="5"/>
      <c r="D42" s="34"/>
      <c r="E42" s="35" t="s">
        <v>256</v>
      </c>
    </row>
    <row r="43" spans="1:5" ht="21.75" customHeight="1">
      <c r="A43" s="33">
        <v>32</v>
      </c>
      <c r="B43" s="5" t="s">
        <v>453</v>
      </c>
      <c r="C43" s="5"/>
      <c r="D43" s="34"/>
      <c r="E43" s="35" t="s">
        <v>256</v>
      </c>
    </row>
    <row r="44" spans="1:5" ht="15" customHeight="1">
      <c r="A44" s="10" t="s">
        <v>454</v>
      </c>
      <c r="B44" s="10"/>
      <c r="C44" s="10"/>
      <c r="D44" s="10"/>
      <c r="E44" s="10"/>
    </row>
    <row r="45" spans="1:5" ht="21.75" customHeight="1">
      <c r="A45" s="33">
        <v>33</v>
      </c>
      <c r="B45" s="5" t="s">
        <v>455</v>
      </c>
      <c r="C45" s="5"/>
      <c r="D45" s="34"/>
      <c r="E45" s="35" t="s">
        <v>256</v>
      </c>
    </row>
    <row r="46" spans="1:5" ht="21.75" customHeight="1">
      <c r="A46" s="33">
        <v>34</v>
      </c>
      <c r="B46" s="5" t="s">
        <v>456</v>
      </c>
      <c r="C46" s="5"/>
      <c r="D46" s="34"/>
      <c r="E46" s="35" t="s">
        <v>256</v>
      </c>
    </row>
    <row r="47" spans="1:5" ht="21.75" customHeight="1">
      <c r="A47" s="33">
        <v>35</v>
      </c>
      <c r="B47" s="5" t="s">
        <v>457</v>
      </c>
      <c r="C47" s="5"/>
      <c r="D47" s="34"/>
      <c r="E47" s="35" t="s">
        <v>256</v>
      </c>
    </row>
    <row r="48" spans="1:5" ht="21.75" customHeight="1">
      <c r="A48" s="33">
        <v>36</v>
      </c>
      <c r="B48" s="5" t="s">
        <v>458</v>
      </c>
      <c r="C48" s="5"/>
      <c r="D48" s="34"/>
      <c r="E48" s="37" t="s">
        <v>269</v>
      </c>
    </row>
    <row r="50" spans="1:5" ht="15" customHeight="1">
      <c r="A50" s="10" t="s">
        <v>283</v>
      </c>
      <c r="B50" s="10"/>
      <c r="C50" s="10"/>
      <c r="D50" s="10"/>
      <c r="E50" s="10"/>
    </row>
    <row r="51" spans="1:5" ht="36" customHeight="1">
      <c r="A51" s="40" t="s">
        <v>284</v>
      </c>
      <c r="B51" s="9" t="s">
        <v>285</v>
      </c>
      <c r="C51" s="9"/>
      <c r="D51" s="9"/>
      <c r="E51" s="41" t="s">
        <v>256</v>
      </c>
    </row>
    <row r="52" spans="1:5" ht="36" customHeight="1">
      <c r="A52" s="40" t="s">
        <v>284</v>
      </c>
      <c r="B52" s="9" t="s">
        <v>286</v>
      </c>
      <c r="C52" s="9"/>
      <c r="D52" s="9"/>
      <c r="E52" s="41" t="s">
        <v>256</v>
      </c>
    </row>
    <row r="53" spans="1:5" ht="36" customHeight="1">
      <c r="A53" s="40" t="s">
        <v>284</v>
      </c>
      <c r="B53" s="9" t="s">
        <v>287</v>
      </c>
      <c r="C53" s="9"/>
      <c r="D53" s="9"/>
      <c r="E53" s="41" t="s">
        <v>256</v>
      </c>
    </row>
    <row r="54" spans="1:5" ht="36" customHeight="1">
      <c r="A54" s="40" t="s">
        <v>284</v>
      </c>
      <c r="B54" s="9" t="s">
        <v>288</v>
      </c>
      <c r="C54" s="9"/>
      <c r="D54" s="9"/>
      <c r="E54" s="42" t="s">
        <v>269</v>
      </c>
    </row>
    <row r="56" spans="1:5" ht="15" customHeight="1">
      <c r="A56" s="4" t="s">
        <v>289</v>
      </c>
      <c r="B56" s="4"/>
      <c r="C56" s="4"/>
      <c r="D56" s="4"/>
      <c r="E56" s="4"/>
    </row>
    <row r="57" spans="1:5" ht="24" customHeight="1">
      <c r="A57" s="43"/>
      <c r="B57" s="3" t="s">
        <v>290</v>
      </c>
      <c r="C57" s="3"/>
      <c r="D57" s="44" t="str">
        <f ca="1">"KYN-CLF-"&amp;TEXT(TODAY(),"YYYYMMDD")&amp;"-"&amp;TEXT(RANDBETWEEN(1000,9999),"0000")</f>
        <v>KYN-CLF-20260609-5697</v>
      </c>
      <c r="E57" s="45" t="s">
        <v>91</v>
      </c>
    </row>
    <row r="58" spans="1:5" ht="24" customHeight="1">
      <c r="A58" s="43"/>
      <c r="B58" s="3" t="s">
        <v>291</v>
      </c>
      <c r="C58" s="3"/>
      <c r="D58" s="46">
        <f ca="1">NOW()</f>
        <v>46182.775330671298</v>
      </c>
      <c r="E58" s="45" t="s">
        <v>91</v>
      </c>
    </row>
    <row r="59" spans="1:5" ht="24" customHeight="1">
      <c r="A59" s="43"/>
      <c r="B59" s="3" t="s">
        <v>292</v>
      </c>
      <c r="C59" s="3"/>
      <c r="D59" s="34"/>
      <c r="E59" s="45" t="s">
        <v>91</v>
      </c>
    </row>
    <row r="60" spans="1:5" ht="24" customHeight="1">
      <c r="A60" s="43"/>
      <c r="B60" s="3" t="s">
        <v>293</v>
      </c>
      <c r="C60" s="3"/>
      <c r="D60" s="34"/>
      <c r="E60" s="45" t="s">
        <v>91</v>
      </c>
    </row>
    <row r="61" spans="1:5" ht="24" customHeight="1">
      <c r="A61" s="43"/>
      <c r="B61" s="3" t="s">
        <v>294</v>
      </c>
      <c r="C61" s="3"/>
      <c r="D61" s="34"/>
      <c r="E61" s="45" t="s">
        <v>91</v>
      </c>
    </row>
    <row r="62" spans="1:5" ht="24" customHeight="1">
      <c r="A62" s="43"/>
      <c r="B62" s="3" t="s">
        <v>295</v>
      </c>
      <c r="C62" s="3"/>
      <c r="D62" s="34"/>
      <c r="E62" s="45" t="s">
        <v>91</v>
      </c>
    </row>
    <row r="63" spans="1:5" ht="24" customHeight="1">
      <c r="A63" s="43"/>
      <c r="B63" s="3" t="s">
        <v>296</v>
      </c>
      <c r="C63" s="3"/>
      <c r="D63" s="34"/>
      <c r="E63" s="45" t="s">
        <v>91</v>
      </c>
    </row>
    <row r="65" spans="1:5" ht="25.5" customHeight="1">
      <c r="A65" s="2" t="s">
        <v>459</v>
      </c>
      <c r="B65" s="2"/>
      <c r="C65" s="2"/>
      <c r="D65" s="2"/>
      <c r="E65" s="2"/>
    </row>
  </sheetData>
  <mergeCells count="59">
    <mergeCell ref="B61:C61"/>
    <mergeCell ref="B62:C62"/>
    <mergeCell ref="B63:C63"/>
    <mergeCell ref="A65:E65"/>
    <mergeCell ref="A56:E56"/>
    <mergeCell ref="B57:C57"/>
    <mergeCell ref="B58:C58"/>
    <mergeCell ref="B59:C59"/>
    <mergeCell ref="B60:C60"/>
    <mergeCell ref="A50:E50"/>
    <mergeCell ref="B51:D51"/>
    <mergeCell ref="B52:D52"/>
    <mergeCell ref="B53:D53"/>
    <mergeCell ref="B54:D54"/>
    <mergeCell ref="A44:E44"/>
    <mergeCell ref="B45:C45"/>
    <mergeCell ref="B46:C46"/>
    <mergeCell ref="B47:C47"/>
    <mergeCell ref="B48:C48"/>
    <mergeCell ref="A39:E39"/>
    <mergeCell ref="B40:C40"/>
    <mergeCell ref="B41:C41"/>
    <mergeCell ref="B42:C42"/>
    <mergeCell ref="B43:C43"/>
    <mergeCell ref="B34:C34"/>
    <mergeCell ref="B35:C35"/>
    <mergeCell ref="B36:C36"/>
    <mergeCell ref="B37:C37"/>
    <mergeCell ref="B38:C38"/>
    <mergeCell ref="B29:C29"/>
    <mergeCell ref="B30:C30"/>
    <mergeCell ref="B31:C31"/>
    <mergeCell ref="A32:E32"/>
    <mergeCell ref="B33:C33"/>
    <mergeCell ref="B24:C24"/>
    <mergeCell ref="B25:C25"/>
    <mergeCell ref="A26:E26"/>
    <mergeCell ref="B27:C27"/>
    <mergeCell ref="B28:C28"/>
    <mergeCell ref="B19:C19"/>
    <mergeCell ref="B20:C20"/>
    <mergeCell ref="B21:C21"/>
    <mergeCell ref="B22:C22"/>
    <mergeCell ref="B23:C23"/>
    <mergeCell ref="B14:C14"/>
    <mergeCell ref="B15:C15"/>
    <mergeCell ref="B16:C16"/>
    <mergeCell ref="B17:C17"/>
    <mergeCell ref="A18:E18"/>
    <mergeCell ref="B9:C9"/>
    <mergeCell ref="B10:C10"/>
    <mergeCell ref="B11:C11"/>
    <mergeCell ref="B12:C12"/>
    <mergeCell ref="B13:C13"/>
    <mergeCell ref="A1:E2"/>
    <mergeCell ref="A3:E3"/>
    <mergeCell ref="A4:E5"/>
    <mergeCell ref="A7:E7"/>
    <mergeCell ref="B8:C8"/>
  </mergeCells>
  <dataValidations count="9">
    <dataValidation type="decimal" operator="greaterThanOrEqual" allowBlank="1" errorTitle="Number" error="Numbers only" sqref="D14 D21 D24" xr:uid="{00000000-0002-0000-0800-000000000000}">
      <formula1>0</formula1>
      <formula2>0</formula2>
    </dataValidation>
    <dataValidation type="list" allowBlank="1" sqref="D11 D38" xr:uid="{00000000-0002-0000-0800-000001000000}">
      <formula1>Countries</formula1>
      <formula2>0</formula2>
    </dataValidation>
    <dataValidation type="list" allowBlank="1" sqref="D15" xr:uid="{00000000-0002-0000-0800-000002000000}">
      <formula1>Industries</formula1>
      <formula2>0</formula2>
    </dataValidation>
    <dataValidation type="list" allowBlank="1" sqref="D16" xr:uid="{00000000-0002-0000-0800-000003000000}">
      <formula1>OrgSizes</formula1>
      <formula2>0</formula2>
    </dataValidation>
    <dataValidation type="list" allowBlank="1" sqref="D25 D40:D43 D31" xr:uid="{00000000-0002-0000-0800-000004000000}">
      <formula1>YesNo</formula1>
      <formula2>0</formula2>
    </dataValidation>
    <dataValidation type="custom" allowBlank="1" errorTitle="Email" error="Enter a valid email" sqref="D29 D34" xr:uid="{00000000-0002-0000-0800-000005000000}">
      <formula1>ISNUMBER(SEARCH("@",D29))</formula1>
      <formula2>0</formula2>
    </dataValidation>
    <dataValidation type="list" allowBlank="1" sqref="D35" xr:uid="{00000000-0002-0000-0800-000008000000}">
      <formula1>Currencies</formula1>
      <formula2>0</formula2>
    </dataValidation>
    <dataValidation type="list" allowBlank="1" sqref="D59" xr:uid="{00000000-0002-0000-0800-00000E000000}">
      <formula1>Channels</formula1>
      <formula2>0</formula2>
    </dataValidation>
    <dataValidation type="list" allowBlank="1" sqref="D61" xr:uid="{00000000-0002-0000-0800-00000F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60"/>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460</v>
      </c>
      <c r="B1" s="8"/>
      <c r="C1" s="8"/>
      <c r="D1" s="8"/>
      <c r="E1" s="8"/>
    </row>
    <row r="2" spans="1:5">
      <c r="A2" s="8"/>
      <c r="B2" s="8"/>
      <c r="C2" s="8"/>
      <c r="D2" s="8"/>
      <c r="E2" s="8"/>
    </row>
    <row r="3" spans="1:5" ht="15" customHeight="1">
      <c r="A3" s="11" t="s">
        <v>461</v>
      </c>
      <c r="B3" s="11"/>
      <c r="C3" s="11"/>
      <c r="D3" s="11"/>
      <c r="E3" s="11"/>
    </row>
    <row r="4" spans="1:5" ht="27.75" customHeight="1">
      <c r="A4" s="6" t="s">
        <v>462</v>
      </c>
      <c r="B4" s="6"/>
      <c r="C4" s="6"/>
      <c r="D4" s="6"/>
      <c r="E4" s="6"/>
    </row>
    <row r="5" spans="1:5" ht="27.75" customHeight="1">
      <c r="A5" s="6"/>
      <c r="B5" s="6"/>
      <c r="C5" s="6"/>
      <c r="D5" s="6"/>
      <c r="E5" s="6"/>
    </row>
    <row r="7" spans="1:5" ht="15" customHeight="1">
      <c r="A7" s="10" t="s">
        <v>463</v>
      </c>
      <c r="B7" s="10"/>
      <c r="C7" s="10"/>
      <c r="D7" s="10"/>
      <c r="E7" s="10"/>
    </row>
    <row r="8" spans="1:5" ht="21.75" customHeight="1">
      <c r="A8" s="33">
        <v>1</v>
      </c>
      <c r="B8" s="5" t="s">
        <v>464</v>
      </c>
      <c r="C8" s="5"/>
      <c r="D8" s="34"/>
      <c r="E8" s="35" t="s">
        <v>256</v>
      </c>
    </row>
    <row r="9" spans="1:5" ht="21.75" customHeight="1">
      <c r="A9" s="33">
        <v>2</v>
      </c>
      <c r="B9" s="5" t="s">
        <v>465</v>
      </c>
      <c r="C9" s="5"/>
      <c r="D9" s="39"/>
      <c r="E9" s="35" t="s">
        <v>256</v>
      </c>
    </row>
    <row r="10" spans="1:5" ht="21.75" customHeight="1">
      <c r="A10" s="33">
        <v>3</v>
      </c>
      <c r="B10" s="5" t="s">
        <v>466</v>
      </c>
      <c r="C10" s="5"/>
      <c r="D10" s="34"/>
      <c r="E10" s="35" t="s">
        <v>256</v>
      </c>
    </row>
    <row r="11" spans="1:5" ht="21.75" customHeight="1">
      <c r="A11" s="33">
        <v>4</v>
      </c>
      <c r="B11" s="5" t="s">
        <v>467</v>
      </c>
      <c r="C11" s="5"/>
      <c r="D11" s="34"/>
      <c r="E11" s="35" t="s">
        <v>256</v>
      </c>
    </row>
    <row r="12" spans="1:5" ht="21.75" customHeight="1">
      <c r="A12" s="33">
        <v>5</v>
      </c>
      <c r="B12" s="5" t="s">
        <v>468</v>
      </c>
      <c r="C12" s="5"/>
      <c r="D12" s="34"/>
      <c r="E12" s="35" t="s">
        <v>256</v>
      </c>
    </row>
    <row r="13" spans="1:5" ht="21.75" customHeight="1">
      <c r="A13" s="33">
        <v>6</v>
      </c>
      <c r="B13" s="5" t="s">
        <v>305</v>
      </c>
      <c r="C13" s="5"/>
      <c r="D13" s="34"/>
      <c r="E13" s="35" t="s">
        <v>256</v>
      </c>
    </row>
    <row r="14" spans="1:5" ht="48" customHeight="1">
      <c r="A14" s="33">
        <v>7</v>
      </c>
      <c r="B14" s="5" t="s">
        <v>469</v>
      </c>
      <c r="C14" s="5"/>
      <c r="D14" s="38"/>
      <c r="E14" s="35" t="s">
        <v>256</v>
      </c>
    </row>
    <row r="15" spans="1:5" ht="15" customHeight="1">
      <c r="A15" s="10" t="s">
        <v>470</v>
      </c>
      <c r="B15" s="10"/>
      <c r="C15" s="10"/>
      <c r="D15" s="10"/>
      <c r="E15" s="10"/>
    </row>
    <row r="16" spans="1:5" ht="21.75" customHeight="1">
      <c r="A16" s="33">
        <v>8</v>
      </c>
      <c r="B16" s="5" t="s">
        <v>308</v>
      </c>
      <c r="C16" s="5"/>
      <c r="D16" s="34"/>
      <c r="E16" s="35" t="s">
        <v>256</v>
      </c>
    </row>
    <row r="17" spans="1:5" ht="21.75" customHeight="1">
      <c r="A17" s="33">
        <v>9</v>
      </c>
      <c r="B17" s="5" t="s">
        <v>471</v>
      </c>
      <c r="C17" s="5"/>
      <c r="D17" s="34"/>
      <c r="E17" s="35" t="s">
        <v>256</v>
      </c>
    </row>
    <row r="18" spans="1:5" ht="21.75" customHeight="1">
      <c r="A18" s="33">
        <v>10</v>
      </c>
      <c r="B18" s="5" t="s">
        <v>472</v>
      </c>
      <c r="C18" s="5"/>
      <c r="D18" s="34"/>
      <c r="E18" s="35" t="s">
        <v>256</v>
      </c>
    </row>
    <row r="19" spans="1:5" ht="21.75" customHeight="1">
      <c r="A19" s="33">
        <v>11</v>
      </c>
      <c r="B19" s="5" t="s">
        <v>473</v>
      </c>
      <c r="C19" s="5"/>
      <c r="D19" s="34"/>
      <c r="E19" s="35" t="s">
        <v>256</v>
      </c>
    </row>
    <row r="20" spans="1:5" ht="48" customHeight="1">
      <c r="A20" s="33">
        <v>12</v>
      </c>
      <c r="B20" s="5" t="s">
        <v>474</v>
      </c>
      <c r="C20" s="5"/>
      <c r="D20" s="38"/>
      <c r="E20" s="35" t="s">
        <v>256</v>
      </c>
    </row>
    <row r="21" spans="1:5" ht="48" customHeight="1">
      <c r="A21" s="33">
        <v>13</v>
      </c>
      <c r="B21" s="5" t="s">
        <v>475</v>
      </c>
      <c r="C21" s="5"/>
      <c r="D21" s="38"/>
      <c r="E21" s="37" t="s">
        <v>269</v>
      </c>
    </row>
    <row r="22" spans="1:5" ht="21.75" customHeight="1">
      <c r="A22" s="33">
        <v>14</v>
      </c>
      <c r="B22" s="5" t="s">
        <v>476</v>
      </c>
      <c r="C22" s="5"/>
      <c r="D22" s="34"/>
      <c r="E22" s="35" t="s">
        <v>256</v>
      </c>
    </row>
    <row r="23" spans="1:5" ht="21.75" customHeight="1">
      <c r="A23" s="33">
        <v>15</v>
      </c>
      <c r="B23" s="5" t="s">
        <v>477</v>
      </c>
      <c r="C23" s="5"/>
      <c r="D23" s="34"/>
      <c r="E23" s="37" t="s">
        <v>269</v>
      </c>
    </row>
    <row r="24" spans="1:5" ht="21.75" customHeight="1">
      <c r="A24" s="33">
        <v>16</v>
      </c>
      <c r="B24" s="5" t="s">
        <v>478</v>
      </c>
      <c r="C24" s="5"/>
      <c r="D24" s="34"/>
      <c r="E24" s="37" t="s">
        <v>269</v>
      </c>
    </row>
    <row r="25" spans="1:5" ht="15" customHeight="1">
      <c r="A25" s="10" t="s">
        <v>479</v>
      </c>
      <c r="B25" s="10"/>
      <c r="C25" s="10"/>
      <c r="D25" s="10"/>
      <c r="E25" s="10"/>
    </row>
    <row r="26" spans="1:5" ht="21.75" customHeight="1">
      <c r="A26" s="33">
        <v>17</v>
      </c>
      <c r="B26" s="5" t="s">
        <v>480</v>
      </c>
      <c r="C26" s="5"/>
      <c r="D26" s="34"/>
      <c r="E26" s="35" t="s">
        <v>256</v>
      </c>
    </row>
    <row r="27" spans="1:5" ht="21.75" customHeight="1">
      <c r="A27" s="33">
        <v>18</v>
      </c>
      <c r="B27" s="5" t="s">
        <v>481</v>
      </c>
      <c r="C27" s="5"/>
      <c r="D27" s="34"/>
      <c r="E27" s="35" t="s">
        <v>256</v>
      </c>
    </row>
    <row r="28" spans="1:5" ht="21.75" customHeight="1">
      <c r="A28" s="33">
        <v>19</v>
      </c>
      <c r="B28" s="5" t="s">
        <v>482</v>
      </c>
      <c r="C28" s="5"/>
      <c r="D28" s="34"/>
      <c r="E28" s="35" t="s">
        <v>256</v>
      </c>
    </row>
    <row r="29" spans="1:5" ht="21.75" customHeight="1">
      <c r="A29" s="33">
        <v>20</v>
      </c>
      <c r="B29" s="5" t="s">
        <v>483</v>
      </c>
      <c r="C29" s="5"/>
      <c r="D29" s="34"/>
      <c r="E29" s="37" t="s">
        <v>269</v>
      </c>
    </row>
    <row r="30" spans="1:5" ht="21.75" customHeight="1">
      <c r="A30" s="33">
        <v>21</v>
      </c>
      <c r="B30" s="5" t="s">
        <v>484</v>
      </c>
      <c r="C30" s="5"/>
      <c r="D30" s="34"/>
      <c r="E30" s="37" t="s">
        <v>269</v>
      </c>
    </row>
    <row r="31" spans="1:5" ht="15" customHeight="1">
      <c r="A31" s="10" t="s">
        <v>442</v>
      </c>
      <c r="B31" s="10"/>
      <c r="C31" s="10"/>
      <c r="D31" s="10"/>
      <c r="E31" s="10"/>
    </row>
    <row r="32" spans="1:5" ht="21.75" customHeight="1">
      <c r="A32" s="33">
        <v>22</v>
      </c>
      <c r="B32" s="5" t="s">
        <v>485</v>
      </c>
      <c r="C32" s="5"/>
      <c r="D32" s="34"/>
      <c r="E32" s="35" t="s">
        <v>256</v>
      </c>
    </row>
    <row r="33" spans="1:5" ht="21.75" customHeight="1">
      <c r="A33" s="33">
        <v>23</v>
      </c>
      <c r="B33" s="5" t="s">
        <v>486</v>
      </c>
      <c r="C33" s="5"/>
      <c r="D33" s="34"/>
      <c r="E33" s="35" t="s">
        <v>256</v>
      </c>
    </row>
    <row r="34" spans="1:5" ht="21.75" customHeight="1">
      <c r="A34" s="33">
        <v>24</v>
      </c>
      <c r="B34" s="5" t="s">
        <v>487</v>
      </c>
      <c r="C34" s="5"/>
      <c r="D34" s="34"/>
      <c r="E34" s="35" t="s">
        <v>256</v>
      </c>
    </row>
    <row r="35" spans="1:5" ht="21.75" customHeight="1">
      <c r="A35" s="33">
        <v>25</v>
      </c>
      <c r="B35" s="5" t="s">
        <v>488</v>
      </c>
      <c r="C35" s="5"/>
      <c r="D35" s="34"/>
      <c r="E35" s="35" t="s">
        <v>256</v>
      </c>
    </row>
    <row r="36" spans="1:5" ht="21.75" customHeight="1">
      <c r="A36" s="33">
        <v>26</v>
      </c>
      <c r="B36" s="5" t="s">
        <v>489</v>
      </c>
      <c r="C36" s="5"/>
      <c r="D36" s="34"/>
      <c r="E36" s="35" t="s">
        <v>256</v>
      </c>
    </row>
    <row r="37" spans="1:5" ht="21.75" customHeight="1">
      <c r="A37" s="33">
        <v>27</v>
      </c>
      <c r="B37" s="5" t="s">
        <v>490</v>
      </c>
      <c r="C37" s="5"/>
      <c r="D37" s="34"/>
      <c r="E37" s="35" t="s">
        <v>256</v>
      </c>
    </row>
    <row r="38" spans="1:5" ht="15" customHeight="1">
      <c r="A38" s="10" t="s">
        <v>491</v>
      </c>
      <c r="B38" s="10"/>
      <c r="C38" s="10"/>
      <c r="D38" s="10"/>
      <c r="E38" s="10"/>
    </row>
    <row r="39" spans="1:5" ht="21.75" customHeight="1">
      <c r="A39" s="33">
        <v>28</v>
      </c>
      <c r="B39" s="5" t="s">
        <v>492</v>
      </c>
      <c r="C39" s="5"/>
      <c r="D39" s="34"/>
      <c r="E39" s="35" t="s">
        <v>256</v>
      </c>
    </row>
    <row r="40" spans="1:5" ht="21.75" customHeight="1">
      <c r="A40" s="33">
        <v>29</v>
      </c>
      <c r="B40" s="5" t="s">
        <v>493</v>
      </c>
      <c r="C40" s="5"/>
      <c r="D40" s="34"/>
      <c r="E40" s="35" t="s">
        <v>256</v>
      </c>
    </row>
    <row r="41" spans="1:5" ht="21.75" customHeight="1">
      <c r="A41" s="33">
        <v>30</v>
      </c>
      <c r="B41" s="5" t="s">
        <v>494</v>
      </c>
      <c r="C41" s="5"/>
      <c r="D41" s="34"/>
      <c r="E41" s="35" t="s">
        <v>256</v>
      </c>
    </row>
    <row r="42" spans="1:5" ht="21.75" customHeight="1">
      <c r="A42" s="33">
        <v>31</v>
      </c>
      <c r="B42" s="5" t="s">
        <v>495</v>
      </c>
      <c r="C42" s="5"/>
      <c r="D42" s="34"/>
      <c r="E42" s="35" t="s">
        <v>256</v>
      </c>
    </row>
    <row r="43" spans="1:5" ht="21.75" customHeight="1">
      <c r="A43" s="33">
        <v>32</v>
      </c>
      <c r="B43" s="5" t="s">
        <v>496</v>
      </c>
      <c r="C43" s="5"/>
      <c r="D43" s="34"/>
      <c r="E43" s="35" t="s">
        <v>256</v>
      </c>
    </row>
    <row r="45" spans="1:5" ht="15" customHeight="1">
      <c r="A45" s="10" t="s">
        <v>283</v>
      </c>
      <c r="B45" s="10"/>
      <c r="C45" s="10"/>
      <c r="D45" s="10"/>
      <c r="E45" s="10"/>
    </row>
    <row r="46" spans="1:5" ht="36" customHeight="1">
      <c r="A46" s="40" t="s">
        <v>284</v>
      </c>
      <c r="B46" s="9" t="s">
        <v>285</v>
      </c>
      <c r="C46" s="9"/>
      <c r="D46" s="9"/>
      <c r="E46" s="41" t="s">
        <v>256</v>
      </c>
    </row>
    <row r="47" spans="1:5" ht="36" customHeight="1">
      <c r="A47" s="40" t="s">
        <v>284</v>
      </c>
      <c r="B47" s="9" t="s">
        <v>286</v>
      </c>
      <c r="C47" s="9"/>
      <c r="D47" s="9"/>
      <c r="E47" s="41" t="s">
        <v>256</v>
      </c>
    </row>
    <row r="48" spans="1:5" ht="36" customHeight="1">
      <c r="A48" s="40" t="s">
        <v>284</v>
      </c>
      <c r="B48" s="9" t="s">
        <v>287</v>
      </c>
      <c r="C48" s="9"/>
      <c r="D48" s="9"/>
      <c r="E48" s="41" t="s">
        <v>256</v>
      </c>
    </row>
    <row r="49" spans="1:5" ht="36" customHeight="1">
      <c r="A49" s="40" t="s">
        <v>284</v>
      </c>
      <c r="B49" s="9" t="s">
        <v>288</v>
      </c>
      <c r="C49" s="9"/>
      <c r="D49" s="9"/>
      <c r="E49" s="42" t="s">
        <v>269</v>
      </c>
    </row>
    <row r="51" spans="1:5" ht="15" customHeight="1">
      <c r="A51" s="4" t="s">
        <v>289</v>
      </c>
      <c r="B51" s="4"/>
      <c r="C51" s="4"/>
      <c r="D51" s="4"/>
      <c r="E51" s="4"/>
    </row>
    <row r="52" spans="1:5" ht="24" customHeight="1">
      <c r="A52" s="43"/>
      <c r="B52" s="3" t="s">
        <v>290</v>
      </c>
      <c r="C52" s="3"/>
      <c r="D52" s="44" t="str">
        <f ca="1">"KYN-TLF-"&amp;TEXT(TODAY(),"YYYYMMDD")&amp;"-"&amp;TEXT(RANDBETWEEN(1000,9999),"0000")</f>
        <v>KYN-TLF-20260609-8041</v>
      </c>
      <c r="E52" s="45" t="s">
        <v>91</v>
      </c>
    </row>
    <row r="53" spans="1:5" ht="24" customHeight="1">
      <c r="A53" s="43"/>
      <c r="B53" s="3" t="s">
        <v>291</v>
      </c>
      <c r="C53" s="3"/>
      <c r="D53" s="46">
        <f ca="1">NOW()</f>
        <v>46182.775330671298</v>
      </c>
      <c r="E53" s="45" t="s">
        <v>91</v>
      </c>
    </row>
    <row r="54" spans="1:5" ht="24" customHeight="1">
      <c r="A54" s="43"/>
      <c r="B54" s="3" t="s">
        <v>292</v>
      </c>
      <c r="C54" s="3"/>
      <c r="D54" s="34"/>
      <c r="E54" s="45" t="s">
        <v>91</v>
      </c>
    </row>
    <row r="55" spans="1:5" ht="24" customHeight="1">
      <c r="A55" s="43"/>
      <c r="B55" s="3" t="s">
        <v>293</v>
      </c>
      <c r="C55" s="3"/>
      <c r="D55" s="34"/>
      <c r="E55" s="45" t="s">
        <v>91</v>
      </c>
    </row>
    <row r="56" spans="1:5" ht="24" customHeight="1">
      <c r="A56" s="43"/>
      <c r="B56" s="3" t="s">
        <v>294</v>
      </c>
      <c r="C56" s="3"/>
      <c r="D56" s="34"/>
      <c r="E56" s="45" t="s">
        <v>91</v>
      </c>
    </row>
    <row r="57" spans="1:5" ht="24" customHeight="1">
      <c r="A57" s="43"/>
      <c r="B57" s="3" t="s">
        <v>295</v>
      </c>
      <c r="C57" s="3"/>
      <c r="D57" s="34"/>
      <c r="E57" s="45" t="s">
        <v>91</v>
      </c>
    </row>
    <row r="58" spans="1:5" ht="24" customHeight="1">
      <c r="A58" s="43"/>
      <c r="B58" s="3" t="s">
        <v>296</v>
      </c>
      <c r="C58" s="3"/>
      <c r="D58" s="34"/>
      <c r="E58" s="45" t="s">
        <v>91</v>
      </c>
    </row>
    <row r="60" spans="1:5" ht="25.5" customHeight="1">
      <c r="A60" s="2" t="s">
        <v>497</v>
      </c>
      <c r="B60" s="2"/>
      <c r="C60" s="2"/>
      <c r="D60" s="2"/>
      <c r="E60" s="2"/>
    </row>
  </sheetData>
  <mergeCells count="54">
    <mergeCell ref="B56:C56"/>
    <mergeCell ref="B57:C57"/>
    <mergeCell ref="B58:C58"/>
    <mergeCell ref="A60:E60"/>
    <mergeCell ref="A51:E51"/>
    <mergeCell ref="B52:C52"/>
    <mergeCell ref="B53:C53"/>
    <mergeCell ref="B54:C54"/>
    <mergeCell ref="B55:C55"/>
    <mergeCell ref="A45:E45"/>
    <mergeCell ref="B46:D46"/>
    <mergeCell ref="B47:D47"/>
    <mergeCell ref="B48:D48"/>
    <mergeCell ref="B49:D49"/>
    <mergeCell ref="B39:C39"/>
    <mergeCell ref="B40:C40"/>
    <mergeCell ref="B41:C41"/>
    <mergeCell ref="B42:C42"/>
    <mergeCell ref="B43:C43"/>
    <mergeCell ref="B34:C34"/>
    <mergeCell ref="B35:C35"/>
    <mergeCell ref="B36:C36"/>
    <mergeCell ref="B37:C37"/>
    <mergeCell ref="A38:E38"/>
    <mergeCell ref="B29:C29"/>
    <mergeCell ref="B30:C30"/>
    <mergeCell ref="A31:E31"/>
    <mergeCell ref="B32:C32"/>
    <mergeCell ref="B33:C33"/>
    <mergeCell ref="B24:C24"/>
    <mergeCell ref="A25:E25"/>
    <mergeCell ref="B26:C26"/>
    <mergeCell ref="B27:C27"/>
    <mergeCell ref="B28:C28"/>
    <mergeCell ref="B19:C19"/>
    <mergeCell ref="B20:C20"/>
    <mergeCell ref="B21:C21"/>
    <mergeCell ref="B22:C22"/>
    <mergeCell ref="B23:C23"/>
    <mergeCell ref="B14:C14"/>
    <mergeCell ref="A15:E15"/>
    <mergeCell ref="B16:C16"/>
    <mergeCell ref="B17:C17"/>
    <mergeCell ref="B18:C18"/>
    <mergeCell ref="B9:C9"/>
    <mergeCell ref="B10:C10"/>
    <mergeCell ref="B11:C11"/>
    <mergeCell ref="B12:C12"/>
    <mergeCell ref="B13:C13"/>
    <mergeCell ref="A1:E2"/>
    <mergeCell ref="A3:E3"/>
    <mergeCell ref="A4:E5"/>
    <mergeCell ref="A7:E7"/>
    <mergeCell ref="B8:C8"/>
  </mergeCells>
  <dataValidations count="8">
    <dataValidation type="decimal" operator="greaterThanOrEqual" allowBlank="1" errorTitle="Number" error="Numbers only" sqref="D18" xr:uid="{00000000-0002-0000-0900-000000000000}">
      <formula1>0</formula1>
      <formula2>0</formula2>
    </dataValidation>
    <dataValidation type="date" allowBlank="1" errorTitle="Date" error="Enter a valid date" sqref="D9" xr:uid="{00000000-0002-0000-0900-000001000000}">
      <formula1>DATE(2020,1,1)</formula1>
      <formula2>DATE(2035,12,31)</formula2>
    </dataValidation>
    <dataValidation type="list" allowBlank="1" sqref="D13 D37" xr:uid="{00000000-0002-0000-0900-000002000000}">
      <formula1>Countries</formula1>
      <formula2>0</formula2>
    </dataValidation>
    <dataValidation type="list" allowBlank="1" sqref="D16" xr:uid="{00000000-0002-0000-0900-000003000000}">
      <formula1>Domains</formula1>
      <formula2>0</formula2>
    </dataValidation>
    <dataValidation type="list" allowBlank="1" sqref="D33" xr:uid="{00000000-0002-0000-0900-000004000000}">
      <formula1>Currencies</formula1>
      <formula2>0</formula2>
    </dataValidation>
    <dataValidation type="list" allowBlank="1" sqref="D39:D43" xr:uid="{00000000-0002-0000-0900-000006000000}">
      <formula1>YesNo</formula1>
      <formula2>0</formula2>
    </dataValidation>
    <dataValidation type="list" allowBlank="1" sqref="D54" xr:uid="{00000000-0002-0000-0900-00000B000000}">
      <formula1>Channels</formula1>
      <formula2>0</formula2>
    </dataValidation>
    <dataValidation type="list" allowBlank="1" sqref="D56" xr:uid="{00000000-0002-0000-0900-00000C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51"/>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498</v>
      </c>
      <c r="B1" s="8"/>
      <c r="C1" s="8"/>
      <c r="D1" s="8"/>
      <c r="E1" s="8"/>
    </row>
    <row r="2" spans="1:5">
      <c r="A2" s="8"/>
      <c r="B2" s="8"/>
      <c r="C2" s="8"/>
      <c r="D2" s="8"/>
      <c r="E2" s="8"/>
    </row>
    <row r="3" spans="1:5" ht="15" customHeight="1">
      <c r="A3" s="11" t="s">
        <v>499</v>
      </c>
      <c r="B3" s="11"/>
      <c r="C3" s="11"/>
      <c r="D3" s="11"/>
      <c r="E3" s="11"/>
    </row>
    <row r="4" spans="1:5" ht="27.75" customHeight="1">
      <c r="A4" s="6" t="s">
        <v>500</v>
      </c>
      <c r="B4" s="6"/>
      <c r="C4" s="6"/>
      <c r="D4" s="6"/>
      <c r="E4" s="6"/>
    </row>
    <row r="5" spans="1:5" ht="27.75" customHeight="1">
      <c r="A5" s="6"/>
      <c r="B5" s="6"/>
      <c r="C5" s="6"/>
      <c r="D5" s="6"/>
      <c r="E5" s="6"/>
    </row>
    <row r="7" spans="1:5" ht="15" customHeight="1">
      <c r="A7" s="10" t="s">
        <v>463</v>
      </c>
      <c r="B7" s="10"/>
      <c r="C7" s="10"/>
      <c r="D7" s="10"/>
      <c r="E7" s="10"/>
    </row>
    <row r="8" spans="1:5" ht="21.75" customHeight="1">
      <c r="A8" s="33">
        <v>1</v>
      </c>
      <c r="B8" s="5" t="s">
        <v>464</v>
      </c>
      <c r="C8" s="5"/>
      <c r="D8" s="34"/>
      <c r="E8" s="35" t="s">
        <v>256</v>
      </c>
    </row>
    <row r="9" spans="1:5" ht="21.75" customHeight="1">
      <c r="A9" s="33">
        <v>2</v>
      </c>
      <c r="B9" s="5" t="s">
        <v>465</v>
      </c>
      <c r="C9" s="5"/>
      <c r="D9" s="39"/>
      <c r="E9" s="35" t="s">
        <v>256</v>
      </c>
    </row>
    <row r="10" spans="1:5" ht="21.75" customHeight="1">
      <c r="A10" s="33">
        <v>3</v>
      </c>
      <c r="B10" s="5" t="s">
        <v>466</v>
      </c>
      <c r="C10" s="5"/>
      <c r="D10" s="34"/>
      <c r="E10" s="35" t="s">
        <v>256</v>
      </c>
    </row>
    <row r="11" spans="1:5" ht="21.75" customHeight="1">
      <c r="A11" s="33">
        <v>4</v>
      </c>
      <c r="B11" s="5" t="s">
        <v>467</v>
      </c>
      <c r="C11" s="5"/>
      <c r="D11" s="34"/>
      <c r="E11" s="35" t="s">
        <v>256</v>
      </c>
    </row>
    <row r="12" spans="1:5" ht="21.75" customHeight="1">
      <c r="A12" s="33">
        <v>5</v>
      </c>
      <c r="B12" s="5" t="s">
        <v>468</v>
      </c>
      <c r="C12" s="5"/>
      <c r="D12" s="34"/>
      <c r="E12" s="35" t="s">
        <v>256</v>
      </c>
    </row>
    <row r="13" spans="1:5" ht="48" customHeight="1">
      <c r="A13" s="33">
        <v>6</v>
      </c>
      <c r="B13" s="5" t="s">
        <v>501</v>
      </c>
      <c r="C13" s="5"/>
      <c r="D13" s="38"/>
      <c r="E13" s="35" t="s">
        <v>256</v>
      </c>
    </row>
    <row r="14" spans="1:5" ht="15" customHeight="1">
      <c r="A14" s="10" t="s">
        <v>502</v>
      </c>
      <c r="B14" s="10"/>
      <c r="C14" s="10"/>
      <c r="D14" s="10"/>
      <c r="E14" s="10"/>
    </row>
    <row r="15" spans="1:5" ht="21.75" customHeight="1">
      <c r="A15" s="33">
        <v>7</v>
      </c>
      <c r="B15" s="5" t="s">
        <v>503</v>
      </c>
      <c r="C15" s="5"/>
      <c r="D15" s="34"/>
      <c r="E15" s="35" t="s">
        <v>256</v>
      </c>
    </row>
    <row r="16" spans="1:5" ht="21.75" customHeight="1">
      <c r="A16" s="33">
        <v>8</v>
      </c>
      <c r="B16" s="5" t="s">
        <v>363</v>
      </c>
      <c r="C16" s="5"/>
      <c r="D16" s="34"/>
      <c r="E16" s="35" t="s">
        <v>256</v>
      </c>
    </row>
    <row r="17" spans="1:5" ht="48" customHeight="1">
      <c r="A17" s="33">
        <v>9</v>
      </c>
      <c r="B17" s="5" t="s">
        <v>504</v>
      </c>
      <c r="C17" s="5"/>
      <c r="D17" s="38"/>
      <c r="E17" s="35" t="s">
        <v>256</v>
      </c>
    </row>
    <row r="18" spans="1:5" ht="15" customHeight="1">
      <c r="A18" s="10" t="s">
        <v>505</v>
      </c>
      <c r="B18" s="10"/>
      <c r="C18" s="10"/>
      <c r="D18" s="10"/>
      <c r="E18" s="10"/>
    </row>
    <row r="19" spans="1:5" ht="21.75" customHeight="1">
      <c r="A19" s="33">
        <v>10</v>
      </c>
      <c r="B19" s="5" t="s">
        <v>506</v>
      </c>
      <c r="C19" s="5"/>
      <c r="D19" s="34"/>
      <c r="E19" s="35" t="s">
        <v>256</v>
      </c>
    </row>
    <row r="20" spans="1:5" ht="21.75" customHeight="1">
      <c r="A20" s="33">
        <v>11</v>
      </c>
      <c r="B20" s="5" t="s">
        <v>507</v>
      </c>
      <c r="C20" s="5"/>
      <c r="D20" s="39"/>
      <c r="E20" s="35" t="s">
        <v>256</v>
      </c>
    </row>
    <row r="21" spans="1:5" ht="21.75" customHeight="1">
      <c r="A21" s="33">
        <v>12</v>
      </c>
      <c r="B21" s="5" t="s">
        <v>508</v>
      </c>
      <c r="C21" s="5"/>
      <c r="D21" s="39"/>
      <c r="E21" s="37" t="s">
        <v>269</v>
      </c>
    </row>
    <row r="22" spans="1:5" ht="21.75" customHeight="1">
      <c r="A22" s="33">
        <v>13</v>
      </c>
      <c r="B22" s="5" t="s">
        <v>509</v>
      </c>
      <c r="C22" s="5"/>
      <c r="D22" s="34"/>
      <c r="E22" s="35" t="s">
        <v>256</v>
      </c>
    </row>
    <row r="23" spans="1:5" ht="15" customHeight="1">
      <c r="A23" s="10" t="s">
        <v>510</v>
      </c>
      <c r="B23" s="10"/>
      <c r="C23" s="10"/>
      <c r="D23" s="10"/>
      <c r="E23" s="10"/>
    </row>
    <row r="24" spans="1:5" ht="21.75" customHeight="1">
      <c r="A24" s="33">
        <v>14</v>
      </c>
      <c r="B24" s="5" t="s">
        <v>511</v>
      </c>
      <c r="C24" s="5"/>
      <c r="D24" s="34"/>
      <c r="E24" s="35" t="s">
        <v>256</v>
      </c>
    </row>
    <row r="25" spans="1:5" ht="21.75" customHeight="1">
      <c r="A25" s="33">
        <v>15</v>
      </c>
      <c r="B25" s="5" t="s">
        <v>512</v>
      </c>
      <c r="C25" s="5"/>
      <c r="D25" s="34"/>
      <c r="E25" s="35" t="s">
        <v>256</v>
      </c>
    </row>
    <row r="26" spans="1:5" ht="48" customHeight="1">
      <c r="A26" s="33">
        <v>16</v>
      </c>
      <c r="B26" s="5" t="s">
        <v>513</v>
      </c>
      <c r="C26" s="5"/>
      <c r="D26" s="38"/>
      <c r="E26" s="37" t="s">
        <v>269</v>
      </c>
    </row>
    <row r="27" spans="1:5" ht="21.75" customHeight="1">
      <c r="A27" s="33">
        <v>17</v>
      </c>
      <c r="B27" s="5" t="s">
        <v>514</v>
      </c>
      <c r="C27" s="5"/>
      <c r="D27" s="34"/>
      <c r="E27" s="35" t="s">
        <v>256</v>
      </c>
    </row>
    <row r="28" spans="1:5" ht="21.75" customHeight="1">
      <c r="A28" s="33">
        <v>18</v>
      </c>
      <c r="B28" s="5" t="s">
        <v>515</v>
      </c>
      <c r="C28" s="5"/>
      <c r="D28" s="36"/>
      <c r="E28" s="35" t="s">
        <v>256</v>
      </c>
    </row>
    <row r="29" spans="1:5" ht="21.75" customHeight="1">
      <c r="A29" s="33">
        <v>19</v>
      </c>
      <c r="B29" s="5" t="s">
        <v>516</v>
      </c>
      <c r="C29" s="5"/>
      <c r="D29" s="34"/>
      <c r="E29" s="35" t="s">
        <v>256</v>
      </c>
    </row>
    <row r="30" spans="1:5" ht="15" customHeight="1">
      <c r="A30" s="10" t="s">
        <v>517</v>
      </c>
      <c r="B30" s="10"/>
      <c r="C30" s="10"/>
      <c r="D30" s="10"/>
      <c r="E30" s="10"/>
    </row>
    <row r="31" spans="1:5" ht="21.75" customHeight="1">
      <c r="A31" s="33">
        <v>20</v>
      </c>
      <c r="B31" s="5" t="s">
        <v>518</v>
      </c>
      <c r="C31" s="5"/>
      <c r="D31" s="34"/>
      <c r="E31" s="35" t="s">
        <v>256</v>
      </c>
    </row>
    <row r="32" spans="1:5" ht="21.75" customHeight="1">
      <c r="A32" s="33">
        <v>21</v>
      </c>
      <c r="B32" s="5" t="s">
        <v>519</v>
      </c>
      <c r="C32" s="5"/>
      <c r="D32" s="34"/>
      <c r="E32" s="35" t="s">
        <v>256</v>
      </c>
    </row>
    <row r="33" spans="1:5" ht="21.75" customHeight="1">
      <c r="A33" s="33">
        <v>22</v>
      </c>
      <c r="B33" s="5" t="s">
        <v>520</v>
      </c>
      <c r="C33" s="5"/>
      <c r="D33" s="34"/>
      <c r="E33" s="35" t="s">
        <v>256</v>
      </c>
    </row>
    <row r="34" spans="1:5" ht="21.75" customHeight="1">
      <c r="A34" s="33">
        <v>23</v>
      </c>
      <c r="B34" s="5" t="s">
        <v>521</v>
      </c>
      <c r="C34" s="5"/>
      <c r="D34" s="34"/>
      <c r="E34" s="37" t="s">
        <v>269</v>
      </c>
    </row>
    <row r="36" spans="1:5" ht="15" customHeight="1">
      <c r="A36" s="10" t="s">
        <v>283</v>
      </c>
      <c r="B36" s="10"/>
      <c r="C36" s="10"/>
      <c r="D36" s="10"/>
      <c r="E36" s="10"/>
    </row>
    <row r="37" spans="1:5" ht="36" customHeight="1">
      <c r="A37" s="40" t="s">
        <v>284</v>
      </c>
      <c r="B37" s="9" t="s">
        <v>285</v>
      </c>
      <c r="C37" s="9"/>
      <c r="D37" s="9"/>
      <c r="E37" s="41" t="s">
        <v>256</v>
      </c>
    </row>
    <row r="38" spans="1:5" ht="36" customHeight="1">
      <c r="A38" s="40" t="s">
        <v>284</v>
      </c>
      <c r="B38" s="9" t="s">
        <v>286</v>
      </c>
      <c r="C38" s="9"/>
      <c r="D38" s="9"/>
      <c r="E38" s="41" t="s">
        <v>256</v>
      </c>
    </row>
    <row r="39" spans="1:5" ht="36" customHeight="1">
      <c r="A39" s="40" t="s">
        <v>284</v>
      </c>
      <c r="B39" s="9" t="s">
        <v>287</v>
      </c>
      <c r="C39" s="9"/>
      <c r="D39" s="9"/>
      <c r="E39" s="41" t="s">
        <v>256</v>
      </c>
    </row>
    <row r="40" spans="1:5" ht="36" customHeight="1">
      <c r="A40" s="40" t="s">
        <v>284</v>
      </c>
      <c r="B40" s="9" t="s">
        <v>288</v>
      </c>
      <c r="C40" s="9"/>
      <c r="D40" s="9"/>
      <c r="E40" s="42" t="s">
        <v>269</v>
      </c>
    </row>
    <row r="42" spans="1:5" ht="15" customHeight="1">
      <c r="A42" s="4" t="s">
        <v>289</v>
      </c>
      <c r="B42" s="4"/>
      <c r="C42" s="4"/>
      <c r="D42" s="4"/>
      <c r="E42" s="4"/>
    </row>
    <row r="43" spans="1:5" ht="24" customHeight="1">
      <c r="A43" s="43"/>
      <c r="B43" s="3" t="s">
        <v>290</v>
      </c>
      <c r="C43" s="3"/>
      <c r="D43" s="44" t="str">
        <f ca="1">"KYN-VLF-"&amp;TEXT(TODAY(),"YYYYMMDD")&amp;"-"&amp;TEXT(RANDBETWEEN(1000,9999),"0000")</f>
        <v>KYN-VLF-20260609-9301</v>
      </c>
      <c r="E43" s="45" t="s">
        <v>91</v>
      </c>
    </row>
    <row r="44" spans="1:5" ht="24" customHeight="1">
      <c r="A44" s="43"/>
      <c r="B44" s="3" t="s">
        <v>291</v>
      </c>
      <c r="C44" s="3"/>
      <c r="D44" s="46">
        <f ca="1">NOW()</f>
        <v>46182.775330671298</v>
      </c>
      <c r="E44" s="45" t="s">
        <v>91</v>
      </c>
    </row>
    <row r="45" spans="1:5" ht="24" customHeight="1">
      <c r="A45" s="43"/>
      <c r="B45" s="3" t="s">
        <v>292</v>
      </c>
      <c r="C45" s="3"/>
      <c r="D45" s="34"/>
      <c r="E45" s="45" t="s">
        <v>91</v>
      </c>
    </row>
    <row r="46" spans="1:5" ht="24" customHeight="1">
      <c r="A46" s="43"/>
      <c r="B46" s="3" t="s">
        <v>293</v>
      </c>
      <c r="C46" s="3"/>
      <c r="D46" s="34"/>
      <c r="E46" s="45" t="s">
        <v>91</v>
      </c>
    </row>
    <row r="47" spans="1:5" ht="24" customHeight="1">
      <c r="A47" s="43"/>
      <c r="B47" s="3" t="s">
        <v>294</v>
      </c>
      <c r="C47" s="3"/>
      <c r="D47" s="34"/>
      <c r="E47" s="45" t="s">
        <v>91</v>
      </c>
    </row>
    <row r="48" spans="1:5" ht="24" customHeight="1">
      <c r="A48" s="43"/>
      <c r="B48" s="3" t="s">
        <v>295</v>
      </c>
      <c r="C48" s="3"/>
      <c r="D48" s="34"/>
      <c r="E48" s="45" t="s">
        <v>91</v>
      </c>
    </row>
    <row r="49" spans="1:5" ht="24" customHeight="1">
      <c r="A49" s="43"/>
      <c r="B49" s="3" t="s">
        <v>296</v>
      </c>
      <c r="C49" s="3"/>
      <c r="D49" s="34"/>
      <c r="E49" s="45" t="s">
        <v>91</v>
      </c>
    </row>
    <row r="51" spans="1:5" ht="25.5" customHeight="1">
      <c r="A51" s="2" t="s">
        <v>522</v>
      </c>
      <c r="B51" s="2"/>
      <c r="C51" s="2"/>
      <c r="D51" s="2"/>
      <c r="E51" s="2"/>
    </row>
  </sheetData>
  <mergeCells count="45">
    <mergeCell ref="B46:C46"/>
    <mergeCell ref="B47:C47"/>
    <mergeCell ref="B48:C48"/>
    <mergeCell ref="B49:C49"/>
    <mergeCell ref="A51:E51"/>
    <mergeCell ref="B40:D40"/>
    <mergeCell ref="A42:E42"/>
    <mergeCell ref="B43:C43"/>
    <mergeCell ref="B44:C44"/>
    <mergeCell ref="B45:C45"/>
    <mergeCell ref="B34:C34"/>
    <mergeCell ref="A36:E36"/>
    <mergeCell ref="B37:D37"/>
    <mergeCell ref="B38:D38"/>
    <mergeCell ref="B39:D39"/>
    <mergeCell ref="B29:C29"/>
    <mergeCell ref="A30:E30"/>
    <mergeCell ref="B31:C31"/>
    <mergeCell ref="B32:C32"/>
    <mergeCell ref="B33:C33"/>
    <mergeCell ref="B24:C24"/>
    <mergeCell ref="B25:C25"/>
    <mergeCell ref="B26:C26"/>
    <mergeCell ref="B27:C27"/>
    <mergeCell ref="B28:C28"/>
    <mergeCell ref="B19:C19"/>
    <mergeCell ref="B20:C20"/>
    <mergeCell ref="B21:C21"/>
    <mergeCell ref="B22:C22"/>
    <mergeCell ref="A23:E23"/>
    <mergeCell ref="A14:E14"/>
    <mergeCell ref="B15:C15"/>
    <mergeCell ref="B16:C16"/>
    <mergeCell ref="B17:C17"/>
    <mergeCell ref="A18:E18"/>
    <mergeCell ref="B9:C9"/>
    <mergeCell ref="B10:C10"/>
    <mergeCell ref="B11:C11"/>
    <mergeCell ref="B12:C12"/>
    <mergeCell ref="B13:C13"/>
    <mergeCell ref="A1:E2"/>
    <mergeCell ref="A3:E3"/>
    <mergeCell ref="A4:E5"/>
    <mergeCell ref="A7:E7"/>
    <mergeCell ref="B8:C8"/>
  </mergeCells>
  <dataValidations count="6">
    <dataValidation type="decimal" operator="greaterThanOrEqual" allowBlank="1" errorTitle="Number" error="Numbers only" sqref="D19" xr:uid="{00000000-0002-0000-0A00-000000000000}">
      <formula1>0</formula1>
      <formula2>0</formula2>
    </dataValidation>
    <dataValidation type="date" allowBlank="1" errorTitle="Date" error="Enter a valid date" sqref="D9 D20:D21" xr:uid="{00000000-0002-0000-0A00-000001000000}">
      <formula1>DATE(2020,1,1)</formula1>
      <formula2>DATE(2035,12,31)</formula2>
    </dataValidation>
    <dataValidation type="list" allowBlank="1" sqref="D16" xr:uid="{00000000-0002-0000-0A00-000002000000}">
      <formula1>Domains</formula1>
      <formula2>0</formula2>
    </dataValidation>
    <dataValidation type="list" allowBlank="1" sqref="D31:D34 D24:D25" xr:uid="{00000000-0002-0000-0A00-000005000000}">
      <formula1>YesNo</formula1>
      <formula2>0</formula2>
    </dataValidation>
    <dataValidation type="list" allowBlank="1" sqref="D45" xr:uid="{00000000-0002-0000-0A00-00000B000000}">
      <formula1>Channels</formula1>
      <formula2>0</formula2>
    </dataValidation>
    <dataValidation type="list" allowBlank="1" sqref="D47" xr:uid="{00000000-0002-0000-0A00-00000C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53"/>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523</v>
      </c>
      <c r="B1" s="8"/>
      <c r="C1" s="8"/>
      <c r="D1" s="8"/>
      <c r="E1" s="8"/>
    </row>
    <row r="2" spans="1:5">
      <c r="A2" s="8"/>
      <c r="B2" s="8"/>
      <c r="C2" s="8"/>
      <c r="D2" s="8"/>
      <c r="E2" s="8"/>
    </row>
    <row r="3" spans="1:5" ht="15" customHeight="1">
      <c r="A3" s="11" t="s">
        <v>524</v>
      </c>
      <c r="B3" s="11"/>
      <c r="C3" s="11"/>
      <c r="D3" s="11"/>
      <c r="E3" s="11"/>
    </row>
    <row r="4" spans="1:5" ht="27.75" customHeight="1">
      <c r="A4" s="6" t="s">
        <v>525</v>
      </c>
      <c r="B4" s="6"/>
      <c r="C4" s="6"/>
      <c r="D4" s="6"/>
      <c r="E4" s="6"/>
    </row>
    <row r="5" spans="1:5" ht="27.75" customHeight="1">
      <c r="A5" s="6"/>
      <c r="B5" s="6"/>
      <c r="C5" s="6"/>
      <c r="D5" s="6"/>
      <c r="E5" s="6"/>
    </row>
    <row r="7" spans="1:5" ht="15" customHeight="1">
      <c r="A7" s="10" t="s">
        <v>526</v>
      </c>
      <c r="B7" s="10"/>
      <c r="C7" s="10"/>
      <c r="D7" s="10"/>
      <c r="E7" s="10"/>
    </row>
    <row r="8" spans="1:5" ht="21.75" customHeight="1">
      <c r="A8" s="33">
        <v>1</v>
      </c>
      <c r="B8" s="5" t="s">
        <v>527</v>
      </c>
      <c r="C8" s="5"/>
      <c r="D8" s="34"/>
      <c r="E8" s="35" t="s">
        <v>256</v>
      </c>
    </row>
    <row r="9" spans="1:5" ht="21.75" customHeight="1">
      <c r="A9" s="33">
        <v>2</v>
      </c>
      <c r="B9" s="5" t="s">
        <v>304</v>
      </c>
      <c r="C9" s="5"/>
      <c r="D9" s="34"/>
      <c r="E9" s="35" t="s">
        <v>256</v>
      </c>
    </row>
    <row r="10" spans="1:5" ht="21.75" customHeight="1">
      <c r="A10" s="33">
        <v>3</v>
      </c>
      <c r="B10" s="5" t="s">
        <v>260</v>
      </c>
      <c r="C10" s="5"/>
      <c r="D10" s="36"/>
      <c r="E10" s="35" t="s">
        <v>256</v>
      </c>
    </row>
    <row r="11" spans="1:5" ht="21.75" customHeight="1">
      <c r="A11" s="33">
        <v>4</v>
      </c>
      <c r="B11" s="5" t="s">
        <v>528</v>
      </c>
      <c r="C11" s="5"/>
      <c r="D11" s="34"/>
      <c r="E11" s="37" t="s">
        <v>269</v>
      </c>
    </row>
    <row r="12" spans="1:5" ht="21.75" customHeight="1">
      <c r="A12" s="33">
        <v>5</v>
      </c>
      <c r="B12" s="5" t="s">
        <v>529</v>
      </c>
      <c r="C12" s="5"/>
      <c r="D12" s="34"/>
      <c r="E12" s="35" t="s">
        <v>256</v>
      </c>
    </row>
    <row r="13" spans="1:5" ht="21.75" customHeight="1">
      <c r="A13" s="33">
        <v>6</v>
      </c>
      <c r="B13" s="5" t="s">
        <v>530</v>
      </c>
      <c r="C13" s="5"/>
      <c r="D13" s="34"/>
      <c r="E13" s="37" t="s">
        <v>269</v>
      </c>
    </row>
    <row r="14" spans="1:5" ht="15" customHeight="1">
      <c r="A14" s="10" t="s">
        <v>531</v>
      </c>
      <c r="B14" s="10"/>
      <c r="C14" s="10"/>
      <c r="D14" s="10"/>
      <c r="E14" s="10"/>
    </row>
    <row r="15" spans="1:5" ht="21.75" customHeight="1">
      <c r="A15" s="33">
        <v>7</v>
      </c>
      <c r="B15" s="5" t="s">
        <v>532</v>
      </c>
      <c r="C15" s="5"/>
      <c r="D15" s="34"/>
      <c r="E15" s="35" t="s">
        <v>256</v>
      </c>
    </row>
    <row r="16" spans="1:5" ht="21.75" customHeight="1">
      <c r="A16" s="33">
        <v>8</v>
      </c>
      <c r="B16" s="5" t="s">
        <v>533</v>
      </c>
      <c r="C16" s="5"/>
      <c r="D16" s="34"/>
      <c r="E16" s="35" t="s">
        <v>256</v>
      </c>
    </row>
    <row r="17" spans="1:5" ht="21.75" customHeight="1">
      <c r="A17" s="33">
        <v>9</v>
      </c>
      <c r="B17" s="5" t="s">
        <v>534</v>
      </c>
      <c r="C17" s="5"/>
      <c r="D17" s="39"/>
      <c r="E17" s="35" t="s">
        <v>256</v>
      </c>
    </row>
    <row r="18" spans="1:5" ht="21.75" customHeight="1">
      <c r="A18" s="33">
        <v>10</v>
      </c>
      <c r="B18" s="5" t="s">
        <v>535</v>
      </c>
      <c r="C18" s="5"/>
      <c r="D18" s="34"/>
      <c r="E18" s="35" t="s">
        <v>256</v>
      </c>
    </row>
    <row r="19" spans="1:5" ht="21.75" customHeight="1">
      <c r="A19" s="33">
        <v>11</v>
      </c>
      <c r="B19" s="5" t="s">
        <v>536</v>
      </c>
      <c r="C19" s="5"/>
      <c r="D19" s="34"/>
      <c r="E19" s="35" t="s">
        <v>256</v>
      </c>
    </row>
    <row r="20" spans="1:5" ht="21.75" customHeight="1">
      <c r="A20" s="33">
        <v>12</v>
      </c>
      <c r="B20" s="5" t="s">
        <v>537</v>
      </c>
      <c r="C20" s="5"/>
      <c r="D20" s="34"/>
      <c r="E20" s="37" t="s">
        <v>269</v>
      </c>
    </row>
    <row r="21" spans="1:5" ht="15" customHeight="1">
      <c r="A21" s="10" t="s">
        <v>538</v>
      </c>
      <c r="B21" s="10"/>
      <c r="C21" s="10"/>
      <c r="D21" s="10"/>
      <c r="E21" s="10"/>
    </row>
    <row r="22" spans="1:5" ht="21.75" customHeight="1">
      <c r="A22" s="33">
        <v>13</v>
      </c>
      <c r="B22" s="5" t="s">
        <v>539</v>
      </c>
      <c r="C22" s="5"/>
      <c r="D22" s="34"/>
      <c r="E22" s="35" t="s">
        <v>256</v>
      </c>
    </row>
    <row r="23" spans="1:5" ht="21.75" customHeight="1">
      <c r="A23" s="33">
        <v>14</v>
      </c>
      <c r="B23" s="5" t="s">
        <v>540</v>
      </c>
      <c r="C23" s="5"/>
      <c r="D23" s="34"/>
      <c r="E23" s="35" t="s">
        <v>256</v>
      </c>
    </row>
    <row r="24" spans="1:5" ht="21.75" customHeight="1">
      <c r="A24" s="33">
        <v>15</v>
      </c>
      <c r="B24" s="5" t="s">
        <v>541</v>
      </c>
      <c r="C24" s="5"/>
      <c r="D24" s="34"/>
      <c r="E24" s="37" t="s">
        <v>269</v>
      </c>
    </row>
    <row r="25" spans="1:5" ht="15" customHeight="1">
      <c r="A25" s="10" t="s">
        <v>542</v>
      </c>
      <c r="B25" s="10"/>
      <c r="C25" s="10"/>
      <c r="D25" s="10"/>
      <c r="E25" s="10"/>
    </row>
    <row r="26" spans="1:5" ht="21.75" customHeight="1">
      <c r="A26" s="33">
        <v>16</v>
      </c>
      <c r="B26" s="5" t="s">
        <v>543</v>
      </c>
      <c r="C26" s="5"/>
      <c r="D26" s="34"/>
      <c r="E26" s="37" t="s">
        <v>269</v>
      </c>
    </row>
    <row r="27" spans="1:5" ht="21.75" customHeight="1">
      <c r="A27" s="33">
        <v>17</v>
      </c>
      <c r="B27" s="5" t="s">
        <v>544</v>
      </c>
      <c r="C27" s="5"/>
      <c r="D27" s="34"/>
      <c r="E27" s="37" t="s">
        <v>269</v>
      </c>
    </row>
    <row r="28" spans="1:5" ht="21.75" customHeight="1">
      <c r="A28" s="33">
        <v>18</v>
      </c>
      <c r="B28" s="5" t="s">
        <v>545</v>
      </c>
      <c r="C28" s="5"/>
      <c r="D28" s="34"/>
      <c r="E28" s="37" t="s">
        <v>269</v>
      </c>
    </row>
    <row r="29" spans="1:5" ht="21.75" customHeight="1">
      <c r="A29" s="33">
        <v>19</v>
      </c>
      <c r="B29" s="5" t="s">
        <v>546</v>
      </c>
      <c r="C29" s="5"/>
      <c r="D29" s="34"/>
      <c r="E29" s="37" t="s">
        <v>269</v>
      </c>
    </row>
    <row r="30" spans="1:5" ht="15" customHeight="1">
      <c r="A30" s="10" t="s">
        <v>547</v>
      </c>
      <c r="B30" s="10"/>
      <c r="C30" s="10"/>
      <c r="D30" s="10"/>
      <c r="E30" s="10"/>
    </row>
    <row r="31" spans="1:5" ht="21.75" customHeight="1">
      <c r="A31" s="33">
        <v>20</v>
      </c>
      <c r="B31" s="5" t="s">
        <v>485</v>
      </c>
      <c r="C31" s="5"/>
      <c r="D31" s="34"/>
      <c r="E31" s="35" t="s">
        <v>256</v>
      </c>
    </row>
    <row r="32" spans="1:5" ht="21.75" customHeight="1">
      <c r="A32" s="33">
        <v>21</v>
      </c>
      <c r="B32" s="5" t="s">
        <v>548</v>
      </c>
      <c r="C32" s="5"/>
      <c r="D32" s="34"/>
      <c r="E32" s="35" t="s">
        <v>256</v>
      </c>
    </row>
    <row r="33" spans="1:5" ht="21.75" customHeight="1">
      <c r="A33" s="33">
        <v>22</v>
      </c>
      <c r="B33" s="5" t="s">
        <v>549</v>
      </c>
      <c r="C33" s="5"/>
      <c r="D33" s="34"/>
      <c r="E33" s="35" t="s">
        <v>256</v>
      </c>
    </row>
    <row r="34" spans="1:5" ht="15" customHeight="1">
      <c r="A34" s="10" t="s">
        <v>550</v>
      </c>
      <c r="B34" s="10"/>
      <c r="C34" s="10"/>
      <c r="D34" s="10"/>
      <c r="E34" s="10"/>
    </row>
    <row r="35" spans="1:5" ht="21.75" customHeight="1">
      <c r="A35" s="33">
        <v>23</v>
      </c>
      <c r="B35" s="5" t="s">
        <v>551</v>
      </c>
      <c r="C35" s="5"/>
      <c r="D35" s="34"/>
      <c r="E35" s="35" t="s">
        <v>256</v>
      </c>
    </row>
    <row r="36" spans="1:5" ht="21.75" customHeight="1">
      <c r="A36" s="33">
        <v>24</v>
      </c>
      <c r="B36" s="5" t="s">
        <v>552</v>
      </c>
      <c r="C36" s="5"/>
      <c r="D36" s="34"/>
      <c r="E36" s="35" t="s">
        <v>256</v>
      </c>
    </row>
    <row r="38" spans="1:5" ht="15" customHeight="1">
      <c r="A38" s="10" t="s">
        <v>283</v>
      </c>
      <c r="B38" s="10"/>
      <c r="C38" s="10"/>
      <c r="D38" s="10"/>
      <c r="E38" s="10"/>
    </row>
    <row r="39" spans="1:5" ht="36" customHeight="1">
      <c r="A39" s="40" t="s">
        <v>284</v>
      </c>
      <c r="B39" s="9" t="s">
        <v>285</v>
      </c>
      <c r="C39" s="9"/>
      <c r="D39" s="9"/>
      <c r="E39" s="41" t="s">
        <v>256</v>
      </c>
    </row>
    <row r="40" spans="1:5" ht="36" customHeight="1">
      <c r="A40" s="40" t="s">
        <v>284</v>
      </c>
      <c r="B40" s="9" t="s">
        <v>286</v>
      </c>
      <c r="C40" s="9"/>
      <c r="D40" s="9"/>
      <c r="E40" s="41" t="s">
        <v>256</v>
      </c>
    </row>
    <row r="41" spans="1:5" ht="36" customHeight="1">
      <c r="A41" s="40" t="s">
        <v>284</v>
      </c>
      <c r="B41" s="9" t="s">
        <v>287</v>
      </c>
      <c r="C41" s="9"/>
      <c r="D41" s="9"/>
      <c r="E41" s="41" t="s">
        <v>256</v>
      </c>
    </row>
    <row r="42" spans="1:5" ht="36" customHeight="1">
      <c r="A42" s="40" t="s">
        <v>284</v>
      </c>
      <c r="B42" s="9" t="s">
        <v>288</v>
      </c>
      <c r="C42" s="9"/>
      <c r="D42" s="9"/>
      <c r="E42" s="42" t="s">
        <v>269</v>
      </c>
    </row>
    <row r="44" spans="1:5" ht="15" customHeight="1">
      <c r="A44" s="4" t="s">
        <v>289</v>
      </c>
      <c r="B44" s="4"/>
      <c r="C44" s="4"/>
      <c r="D44" s="4"/>
      <c r="E44" s="4"/>
    </row>
    <row r="45" spans="1:5" ht="24" customHeight="1">
      <c r="A45" s="43"/>
      <c r="B45" s="3" t="s">
        <v>290</v>
      </c>
      <c r="C45" s="3"/>
      <c r="D45" s="44" t="str">
        <f ca="1">"KYN-HBK-"&amp;TEXT(TODAY(),"YYYYMMDD")&amp;"-"&amp;TEXT(RANDBETWEEN(1000,9999),"0000")</f>
        <v>KYN-HBK-20260609-8613</v>
      </c>
      <c r="E45" s="45" t="s">
        <v>91</v>
      </c>
    </row>
    <row r="46" spans="1:5" ht="24" customHeight="1">
      <c r="A46" s="43"/>
      <c r="B46" s="3" t="s">
        <v>291</v>
      </c>
      <c r="C46" s="3"/>
      <c r="D46" s="46">
        <f ca="1">NOW()</f>
        <v>46182.775330671298</v>
      </c>
      <c r="E46" s="45" t="s">
        <v>91</v>
      </c>
    </row>
    <row r="47" spans="1:5" ht="24" customHeight="1">
      <c r="A47" s="43"/>
      <c r="B47" s="3" t="s">
        <v>292</v>
      </c>
      <c r="C47" s="3"/>
      <c r="D47" s="34"/>
      <c r="E47" s="45" t="s">
        <v>91</v>
      </c>
    </row>
    <row r="48" spans="1:5" ht="24" customHeight="1">
      <c r="A48" s="43"/>
      <c r="B48" s="3" t="s">
        <v>293</v>
      </c>
      <c r="C48" s="3"/>
      <c r="D48" s="34"/>
      <c r="E48" s="45" t="s">
        <v>91</v>
      </c>
    </row>
    <row r="49" spans="1:5" ht="24" customHeight="1">
      <c r="A49" s="43"/>
      <c r="B49" s="3" t="s">
        <v>294</v>
      </c>
      <c r="C49" s="3"/>
      <c r="D49" s="34"/>
      <c r="E49" s="45" t="s">
        <v>91</v>
      </c>
    </row>
    <row r="50" spans="1:5" ht="24" customHeight="1">
      <c r="A50" s="43"/>
      <c r="B50" s="3" t="s">
        <v>295</v>
      </c>
      <c r="C50" s="3"/>
      <c r="D50" s="34"/>
      <c r="E50" s="45" t="s">
        <v>91</v>
      </c>
    </row>
    <row r="51" spans="1:5" ht="24" customHeight="1">
      <c r="A51" s="43"/>
      <c r="B51" s="3" t="s">
        <v>296</v>
      </c>
      <c r="C51" s="3"/>
      <c r="D51" s="34"/>
      <c r="E51" s="45" t="s">
        <v>91</v>
      </c>
    </row>
    <row r="53" spans="1:5" ht="25.5" customHeight="1">
      <c r="A53" s="2" t="s">
        <v>553</v>
      </c>
      <c r="B53" s="2"/>
      <c r="C53" s="2"/>
      <c r="D53" s="2"/>
      <c r="E53" s="2"/>
    </row>
  </sheetData>
  <mergeCells count="47">
    <mergeCell ref="B51:C51"/>
    <mergeCell ref="A53:E53"/>
    <mergeCell ref="B46:C46"/>
    <mergeCell ref="B47:C47"/>
    <mergeCell ref="B48:C48"/>
    <mergeCell ref="B49:C49"/>
    <mergeCell ref="B50:C50"/>
    <mergeCell ref="B40:D40"/>
    <mergeCell ref="B41:D41"/>
    <mergeCell ref="B42:D42"/>
    <mergeCell ref="A44:E44"/>
    <mergeCell ref="B45:C45"/>
    <mergeCell ref="A34:E34"/>
    <mergeCell ref="B35:C35"/>
    <mergeCell ref="B36:C36"/>
    <mergeCell ref="A38:E38"/>
    <mergeCell ref="B39:D39"/>
    <mergeCell ref="B29:C29"/>
    <mergeCell ref="A30:E30"/>
    <mergeCell ref="B31:C31"/>
    <mergeCell ref="B32:C32"/>
    <mergeCell ref="B33:C33"/>
    <mergeCell ref="B24:C24"/>
    <mergeCell ref="A25:E25"/>
    <mergeCell ref="B26:C26"/>
    <mergeCell ref="B27:C27"/>
    <mergeCell ref="B28:C28"/>
    <mergeCell ref="B19:C19"/>
    <mergeCell ref="B20:C20"/>
    <mergeCell ref="A21:E21"/>
    <mergeCell ref="B22:C22"/>
    <mergeCell ref="B23:C23"/>
    <mergeCell ref="A14:E14"/>
    <mergeCell ref="B15:C15"/>
    <mergeCell ref="B16:C16"/>
    <mergeCell ref="B17:C17"/>
    <mergeCell ref="B18:C18"/>
    <mergeCell ref="B9:C9"/>
    <mergeCell ref="B10:C10"/>
    <mergeCell ref="B11:C11"/>
    <mergeCell ref="B12:C12"/>
    <mergeCell ref="B13:C13"/>
    <mergeCell ref="A1:E2"/>
    <mergeCell ref="A3:E3"/>
    <mergeCell ref="A4:E5"/>
    <mergeCell ref="A7:E7"/>
    <mergeCell ref="B8:C8"/>
  </mergeCells>
  <dataValidations count="7">
    <dataValidation type="decimal" operator="greaterThanOrEqual" allowBlank="1" errorTitle="Number" error="Numbers only" sqref="D16 D22:D24" xr:uid="{00000000-0002-0000-0B00-000000000000}">
      <formula1>0</formula1>
      <formula2>0</formula2>
    </dataValidation>
    <dataValidation type="custom" allowBlank="1" errorTitle="Email" error="Enter a valid email" sqref="D9" xr:uid="{00000000-0002-0000-0B00-000001000000}">
      <formula1>ISNUMBER(SEARCH("@",D9))</formula1>
      <formula2>0</formula2>
    </dataValidation>
    <dataValidation type="list" allowBlank="1" sqref="D12 D35:D36 D33 D26:D29" xr:uid="{00000000-0002-0000-0B00-000002000000}">
      <formula1>YesNo</formula1>
      <formula2>0</formula2>
    </dataValidation>
    <dataValidation type="date" allowBlank="1" errorTitle="Date" error="Enter a valid date" sqref="D17" xr:uid="{00000000-0002-0000-0B00-000003000000}">
      <formula1>DATE(2020,1,1)</formula1>
      <formula2>DATE(2035,12,31)</formula2>
    </dataValidation>
    <dataValidation type="list" allowBlank="1" sqref="D32" xr:uid="{00000000-0002-0000-0B00-000008000000}">
      <formula1>Currencies</formula1>
      <formula2>0</formula2>
    </dataValidation>
    <dataValidation type="list" allowBlank="1" sqref="D47" xr:uid="{00000000-0002-0000-0B00-00000C000000}">
      <formula1>Channels</formula1>
      <formula2>0</formula2>
    </dataValidation>
    <dataValidation type="list" allowBlank="1" sqref="D49" xr:uid="{00000000-0002-0000-0B00-00000D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E48"/>
  <sheetViews>
    <sheetView zoomScaleNormal="100" workbookViewId="0">
      <pane ySplit="6" topLeftCell="A7" activePane="bottomLeft" state="frozen"/>
      <selection pane="bottomLeft"/>
    </sheetView>
  </sheetViews>
  <sheetFormatPr defaultColWidth="8.7421875" defaultRowHeight="15"/>
  <cols>
    <col min="1" max="1" width="4.03515625" customWidth="1"/>
    <col min="2" max="2" width="29.99609375" customWidth="1"/>
    <col min="3" max="3" width="37.93359375" customWidth="1"/>
    <col min="4" max="4" width="29.99609375" customWidth="1"/>
    <col min="5" max="5" width="13.98828125" customWidth="1"/>
  </cols>
  <sheetData>
    <row r="1" spans="1:5" ht="15" customHeight="1">
      <c r="A1" s="8" t="s">
        <v>554</v>
      </c>
      <c r="B1" s="8"/>
      <c r="C1" s="8"/>
      <c r="D1" s="8"/>
      <c r="E1" s="8"/>
    </row>
    <row r="2" spans="1:5">
      <c r="A2" s="8"/>
      <c r="B2" s="8"/>
      <c r="C2" s="8"/>
      <c r="D2" s="8"/>
      <c r="E2" s="8"/>
    </row>
    <row r="3" spans="1:5" ht="15" customHeight="1">
      <c r="A3" s="11" t="s">
        <v>555</v>
      </c>
      <c r="B3" s="11"/>
      <c r="C3" s="11"/>
      <c r="D3" s="11"/>
      <c r="E3" s="11"/>
    </row>
    <row r="4" spans="1:5" ht="27.75" customHeight="1">
      <c r="A4" s="6" t="s">
        <v>556</v>
      </c>
      <c r="B4" s="6"/>
      <c r="C4" s="6"/>
      <c r="D4" s="6"/>
      <c r="E4" s="6"/>
    </row>
    <row r="5" spans="1:5" ht="27.75" customHeight="1">
      <c r="A5" s="6"/>
      <c r="B5" s="6"/>
      <c r="C5" s="6"/>
      <c r="D5" s="6"/>
      <c r="E5" s="6"/>
    </row>
    <row r="7" spans="1:5" ht="15" customHeight="1">
      <c r="A7" s="10" t="s">
        <v>557</v>
      </c>
      <c r="B7" s="10"/>
      <c r="C7" s="10"/>
      <c r="D7" s="10"/>
      <c r="E7" s="10"/>
    </row>
    <row r="8" spans="1:5" ht="21.75" customHeight="1">
      <c r="A8" s="33">
        <v>1</v>
      </c>
      <c r="B8" s="5" t="s">
        <v>255</v>
      </c>
      <c r="C8" s="5"/>
      <c r="D8" s="34"/>
      <c r="E8" s="35" t="s">
        <v>256</v>
      </c>
    </row>
    <row r="9" spans="1:5" ht="21.75" customHeight="1">
      <c r="A9" s="33">
        <v>2</v>
      </c>
      <c r="B9" s="5" t="s">
        <v>303</v>
      </c>
      <c r="C9" s="5"/>
      <c r="D9" s="34"/>
      <c r="E9" s="35" t="s">
        <v>256</v>
      </c>
    </row>
    <row r="10" spans="1:5" ht="21.75" customHeight="1">
      <c r="A10" s="33">
        <v>3</v>
      </c>
      <c r="B10" s="5" t="s">
        <v>304</v>
      </c>
      <c r="C10" s="5"/>
      <c r="D10" s="34"/>
      <c r="E10" s="35" t="s">
        <v>256</v>
      </c>
    </row>
    <row r="11" spans="1:5" ht="21.75" customHeight="1">
      <c r="A11" s="33">
        <v>4</v>
      </c>
      <c r="B11" s="5" t="s">
        <v>260</v>
      </c>
      <c r="C11" s="5"/>
      <c r="D11" s="36"/>
      <c r="E11" s="35" t="s">
        <v>256</v>
      </c>
    </row>
    <row r="12" spans="1:5" ht="21.75" customHeight="1">
      <c r="A12" s="33">
        <v>5</v>
      </c>
      <c r="B12" s="5" t="s">
        <v>261</v>
      </c>
      <c r="C12" s="5"/>
      <c r="D12" s="34"/>
      <c r="E12" s="35" t="s">
        <v>256</v>
      </c>
    </row>
    <row r="13" spans="1:5" ht="21.75" customHeight="1">
      <c r="A13" s="33">
        <v>6</v>
      </c>
      <c r="B13" s="5" t="s">
        <v>262</v>
      </c>
      <c r="C13" s="5"/>
      <c r="D13" s="34"/>
      <c r="E13" s="35" t="s">
        <v>256</v>
      </c>
    </row>
    <row r="14" spans="1:5" ht="15" customHeight="1">
      <c r="A14" s="10" t="s">
        <v>558</v>
      </c>
      <c r="B14" s="10"/>
      <c r="C14" s="10"/>
      <c r="D14" s="10"/>
      <c r="E14" s="10"/>
    </row>
    <row r="15" spans="1:5" ht="21.75" customHeight="1">
      <c r="A15" s="33">
        <v>7</v>
      </c>
      <c r="B15" s="5" t="s">
        <v>559</v>
      </c>
      <c r="C15" s="5"/>
      <c r="D15" s="34"/>
      <c r="E15" s="35" t="s">
        <v>256</v>
      </c>
    </row>
    <row r="16" spans="1:5" ht="21.75" customHeight="1">
      <c r="A16" s="33">
        <v>8</v>
      </c>
      <c r="B16" s="5" t="s">
        <v>560</v>
      </c>
      <c r="C16" s="5"/>
      <c r="D16" s="34"/>
      <c r="E16" s="35" t="s">
        <v>256</v>
      </c>
    </row>
    <row r="17" spans="1:5" ht="21.75" customHeight="1">
      <c r="A17" s="33">
        <v>9</v>
      </c>
      <c r="B17" s="5" t="s">
        <v>561</v>
      </c>
      <c r="C17" s="5"/>
      <c r="D17" s="34"/>
      <c r="E17" s="35" t="s">
        <v>256</v>
      </c>
    </row>
    <row r="18" spans="1:5" ht="21.75" customHeight="1">
      <c r="A18" s="33">
        <v>10</v>
      </c>
      <c r="B18" s="5" t="s">
        <v>562</v>
      </c>
      <c r="C18" s="5"/>
      <c r="D18" s="34"/>
      <c r="E18" s="35" t="s">
        <v>256</v>
      </c>
    </row>
    <row r="19" spans="1:5" ht="21.75" customHeight="1">
      <c r="A19" s="33">
        <v>11</v>
      </c>
      <c r="B19" s="5" t="s">
        <v>563</v>
      </c>
      <c r="C19" s="5"/>
      <c r="D19" s="34"/>
      <c r="E19" s="35" t="s">
        <v>256</v>
      </c>
    </row>
    <row r="20" spans="1:5" ht="15" customHeight="1">
      <c r="A20" s="10" t="s">
        <v>564</v>
      </c>
      <c r="B20" s="10"/>
      <c r="C20" s="10"/>
      <c r="D20" s="10"/>
      <c r="E20" s="10"/>
    </row>
    <row r="21" spans="1:5" ht="21.75" customHeight="1">
      <c r="A21" s="33">
        <v>12</v>
      </c>
      <c r="B21" s="5" t="s">
        <v>565</v>
      </c>
      <c r="C21" s="5"/>
      <c r="D21" s="34"/>
      <c r="E21" s="35" t="s">
        <v>256</v>
      </c>
    </row>
    <row r="22" spans="1:5" ht="21.75" customHeight="1">
      <c r="A22" s="33">
        <v>13</v>
      </c>
      <c r="B22" s="5" t="s">
        <v>566</v>
      </c>
      <c r="C22" s="5"/>
      <c r="D22" s="34"/>
      <c r="E22" s="37" t="s">
        <v>269</v>
      </c>
    </row>
    <row r="23" spans="1:5" ht="21.75" customHeight="1">
      <c r="A23" s="33">
        <v>14</v>
      </c>
      <c r="B23" s="5" t="s">
        <v>567</v>
      </c>
      <c r="C23" s="5"/>
      <c r="D23" s="34"/>
      <c r="E23" s="35" t="s">
        <v>256</v>
      </c>
    </row>
    <row r="24" spans="1:5" ht="21.75" customHeight="1">
      <c r="A24" s="33">
        <v>15</v>
      </c>
      <c r="B24" s="5" t="s">
        <v>568</v>
      </c>
      <c r="C24" s="5"/>
      <c r="D24" s="34"/>
      <c r="E24" s="35" t="s">
        <v>256</v>
      </c>
    </row>
    <row r="25" spans="1:5" ht="21.75" customHeight="1">
      <c r="A25" s="33">
        <v>16</v>
      </c>
      <c r="B25" s="5" t="s">
        <v>548</v>
      </c>
      <c r="C25" s="5"/>
      <c r="D25" s="34"/>
      <c r="E25" s="35" t="s">
        <v>256</v>
      </c>
    </row>
    <row r="26" spans="1:5" ht="21.75" customHeight="1">
      <c r="A26" s="33">
        <v>17</v>
      </c>
      <c r="B26" s="5" t="s">
        <v>569</v>
      </c>
      <c r="C26" s="5"/>
      <c r="D26" s="34"/>
      <c r="E26" s="35" t="s">
        <v>256</v>
      </c>
    </row>
    <row r="27" spans="1:5" ht="15" customHeight="1">
      <c r="A27" s="10" t="s">
        <v>570</v>
      </c>
      <c r="B27" s="10"/>
      <c r="C27" s="10"/>
      <c r="D27" s="10"/>
      <c r="E27" s="10"/>
    </row>
    <row r="28" spans="1:5" ht="21.75" customHeight="1">
      <c r="A28" s="33">
        <v>18</v>
      </c>
      <c r="B28" s="5" t="s">
        <v>571</v>
      </c>
      <c r="C28" s="5"/>
      <c r="D28" s="34"/>
      <c r="E28" s="35" t="s">
        <v>256</v>
      </c>
    </row>
    <row r="29" spans="1:5" ht="21.75" customHeight="1">
      <c r="A29" s="33">
        <v>19</v>
      </c>
      <c r="B29" s="5" t="s">
        <v>572</v>
      </c>
      <c r="C29" s="5"/>
      <c r="D29" s="34"/>
      <c r="E29" s="35" t="s">
        <v>256</v>
      </c>
    </row>
    <row r="30" spans="1:5" ht="21.75" customHeight="1">
      <c r="A30" s="33">
        <v>20</v>
      </c>
      <c r="B30" s="5" t="s">
        <v>519</v>
      </c>
      <c r="C30" s="5"/>
      <c r="D30" s="34"/>
      <c r="E30" s="35" t="s">
        <v>256</v>
      </c>
    </row>
    <row r="31" spans="1:5" ht="21.75" customHeight="1">
      <c r="A31" s="33">
        <v>21</v>
      </c>
      <c r="B31" s="5" t="s">
        <v>573</v>
      </c>
      <c r="C31" s="5"/>
      <c r="D31" s="34"/>
      <c r="E31" s="37" t="s">
        <v>269</v>
      </c>
    </row>
    <row r="33" spans="1:5" ht="15" customHeight="1">
      <c r="A33" s="10" t="s">
        <v>283</v>
      </c>
      <c r="B33" s="10"/>
      <c r="C33" s="10"/>
      <c r="D33" s="10"/>
      <c r="E33" s="10"/>
    </row>
    <row r="34" spans="1:5" ht="36" customHeight="1">
      <c r="A34" s="40" t="s">
        <v>284</v>
      </c>
      <c r="B34" s="9" t="s">
        <v>285</v>
      </c>
      <c r="C34" s="9"/>
      <c r="D34" s="9"/>
      <c r="E34" s="41" t="s">
        <v>256</v>
      </c>
    </row>
    <row r="35" spans="1:5" ht="36" customHeight="1">
      <c r="A35" s="40" t="s">
        <v>284</v>
      </c>
      <c r="B35" s="9" t="s">
        <v>286</v>
      </c>
      <c r="C35" s="9"/>
      <c r="D35" s="9"/>
      <c r="E35" s="41" t="s">
        <v>256</v>
      </c>
    </row>
    <row r="36" spans="1:5" ht="36" customHeight="1">
      <c r="A36" s="40" t="s">
        <v>284</v>
      </c>
      <c r="B36" s="9" t="s">
        <v>287</v>
      </c>
      <c r="C36" s="9"/>
      <c r="D36" s="9"/>
      <c r="E36" s="41" t="s">
        <v>256</v>
      </c>
    </row>
    <row r="37" spans="1:5" ht="36" customHeight="1">
      <c r="A37" s="40" t="s">
        <v>284</v>
      </c>
      <c r="B37" s="9" t="s">
        <v>288</v>
      </c>
      <c r="C37" s="9"/>
      <c r="D37" s="9"/>
      <c r="E37" s="42" t="s">
        <v>269</v>
      </c>
    </row>
    <row r="39" spans="1:5" ht="15" customHeight="1">
      <c r="A39" s="4" t="s">
        <v>289</v>
      </c>
      <c r="B39" s="4"/>
      <c r="C39" s="4"/>
      <c r="D39" s="4"/>
      <c r="E39" s="4"/>
    </row>
    <row r="40" spans="1:5" ht="24" customHeight="1">
      <c r="A40" s="43"/>
      <c r="B40" s="3" t="s">
        <v>290</v>
      </c>
      <c r="C40" s="3"/>
      <c r="D40" s="44" t="str">
        <f ca="1">"KYN-ACE-"&amp;TEXT(TODAY(),"YYYYMMDD")&amp;"-"&amp;TEXT(RANDBETWEEN(1000,9999),"0000")</f>
        <v>KYN-ACE-20260609-5824</v>
      </c>
      <c r="E40" s="45" t="s">
        <v>91</v>
      </c>
    </row>
    <row r="41" spans="1:5" ht="24" customHeight="1">
      <c r="A41" s="43"/>
      <c r="B41" s="3" t="s">
        <v>291</v>
      </c>
      <c r="C41" s="3"/>
      <c r="D41" s="46">
        <f ca="1">NOW()</f>
        <v>46182.775330671298</v>
      </c>
      <c r="E41" s="45" t="s">
        <v>91</v>
      </c>
    </row>
    <row r="42" spans="1:5" ht="24" customHeight="1">
      <c r="A42" s="43"/>
      <c r="B42" s="3" t="s">
        <v>292</v>
      </c>
      <c r="C42" s="3"/>
      <c r="D42" s="34"/>
      <c r="E42" s="45" t="s">
        <v>91</v>
      </c>
    </row>
    <row r="43" spans="1:5" ht="24" customHeight="1">
      <c r="A43" s="43"/>
      <c r="B43" s="3" t="s">
        <v>293</v>
      </c>
      <c r="C43" s="3"/>
      <c r="D43" s="34"/>
      <c r="E43" s="45" t="s">
        <v>91</v>
      </c>
    </row>
    <row r="44" spans="1:5" ht="24" customHeight="1">
      <c r="A44" s="43"/>
      <c r="B44" s="3" t="s">
        <v>294</v>
      </c>
      <c r="C44" s="3"/>
      <c r="D44" s="34"/>
      <c r="E44" s="45" t="s">
        <v>91</v>
      </c>
    </row>
    <row r="45" spans="1:5" ht="24" customHeight="1">
      <c r="A45" s="43"/>
      <c r="B45" s="3" t="s">
        <v>295</v>
      </c>
      <c r="C45" s="3"/>
      <c r="D45" s="34"/>
      <c r="E45" s="45" t="s">
        <v>91</v>
      </c>
    </row>
    <row r="46" spans="1:5" ht="24" customHeight="1">
      <c r="A46" s="43"/>
      <c r="B46" s="3" t="s">
        <v>296</v>
      </c>
      <c r="C46" s="3"/>
      <c r="D46" s="34"/>
      <c r="E46" s="45" t="s">
        <v>91</v>
      </c>
    </row>
    <row r="48" spans="1:5" ht="25.5" customHeight="1">
      <c r="A48" s="2" t="s">
        <v>574</v>
      </c>
      <c r="B48" s="2"/>
      <c r="C48" s="2"/>
      <c r="D48" s="2"/>
      <c r="E48" s="2"/>
    </row>
  </sheetData>
  <mergeCells count="42">
    <mergeCell ref="B46:C46"/>
    <mergeCell ref="A48:E48"/>
    <mergeCell ref="B41:C41"/>
    <mergeCell ref="B42:C42"/>
    <mergeCell ref="B43:C43"/>
    <mergeCell ref="B44:C44"/>
    <mergeCell ref="B45:C45"/>
    <mergeCell ref="B35:D35"/>
    <mergeCell ref="B36:D36"/>
    <mergeCell ref="B37:D37"/>
    <mergeCell ref="A39:E39"/>
    <mergeCell ref="B40:C40"/>
    <mergeCell ref="B29:C29"/>
    <mergeCell ref="B30:C30"/>
    <mergeCell ref="B31:C31"/>
    <mergeCell ref="A33:E33"/>
    <mergeCell ref="B34:D34"/>
    <mergeCell ref="B24:C24"/>
    <mergeCell ref="B25:C25"/>
    <mergeCell ref="B26:C26"/>
    <mergeCell ref="A27:E27"/>
    <mergeCell ref="B28:C28"/>
    <mergeCell ref="B19:C19"/>
    <mergeCell ref="A20:E20"/>
    <mergeCell ref="B21:C21"/>
    <mergeCell ref="B22:C22"/>
    <mergeCell ref="B23:C23"/>
    <mergeCell ref="A14:E14"/>
    <mergeCell ref="B15:C15"/>
    <mergeCell ref="B16:C16"/>
    <mergeCell ref="B17:C17"/>
    <mergeCell ref="B18:C18"/>
    <mergeCell ref="B9:C9"/>
    <mergeCell ref="B10:C10"/>
    <mergeCell ref="B11:C11"/>
    <mergeCell ref="B12:C12"/>
    <mergeCell ref="B13:C13"/>
    <mergeCell ref="A1:E2"/>
    <mergeCell ref="A3:E3"/>
    <mergeCell ref="A4:E5"/>
    <mergeCell ref="A7:E7"/>
    <mergeCell ref="B8:C8"/>
  </mergeCells>
  <dataValidations count="8">
    <dataValidation type="decimal" operator="greaterThanOrEqual" allowBlank="1" errorTitle="Number" error="Numbers only" sqref="D18:D19 D21:D23" xr:uid="{00000000-0002-0000-0C00-000000000000}">
      <formula1>0</formula1>
      <formula2>0</formula2>
    </dataValidation>
    <dataValidation type="list" allowBlank="1" sqref="D9" xr:uid="{00000000-0002-0000-0C00-000001000000}">
      <formula1>AgeBands</formula1>
      <formula2>0</formula2>
    </dataValidation>
    <dataValidation type="custom" allowBlank="1" errorTitle="Email" error="Enter a valid email" sqref="D10" xr:uid="{00000000-0002-0000-0C00-000002000000}">
      <formula1>ISNUMBER(SEARCH("@",D10))</formula1>
      <formula2>0</formula2>
    </dataValidation>
    <dataValidation type="list" allowBlank="1" sqref="D12" xr:uid="{00000000-0002-0000-0C00-000003000000}">
      <formula1>Countries</formula1>
      <formula2>0</formula2>
    </dataValidation>
    <dataValidation type="list" allowBlank="1" sqref="D25" xr:uid="{00000000-0002-0000-0C00-000004000000}">
      <formula1>Currencies</formula1>
      <formula2>0</formula2>
    </dataValidation>
    <dataValidation type="list" allowBlank="1" sqref="D26 D28:D31" xr:uid="{00000000-0002-0000-0C00-000005000000}">
      <formula1>YesNo</formula1>
      <formula2>0</formula2>
    </dataValidation>
    <dataValidation type="list" allowBlank="1" sqref="D42" xr:uid="{00000000-0002-0000-0C00-00000A000000}">
      <formula1>Channels</formula1>
      <formula2>0</formula2>
    </dataValidation>
    <dataValidation type="list" allowBlank="1" sqref="D44" xr:uid="{00000000-0002-0000-0C00-00000B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F65"/>
  <sheetViews>
    <sheetView zoomScaleNormal="100" workbookViewId="0">
      <pane ySplit="5" topLeftCell="A6" activePane="bottomLeft" state="frozen"/>
      <selection pane="bottomLeft"/>
    </sheetView>
  </sheetViews>
  <sheetFormatPr defaultColWidth="8.7421875" defaultRowHeight="15"/>
  <cols>
    <col min="1" max="1" width="4.03515625" customWidth="1"/>
    <col min="2" max="2" width="9.953125" customWidth="1"/>
    <col min="3" max="4" width="34.03125" customWidth="1"/>
    <col min="5" max="6" width="22.05859375" customWidth="1"/>
  </cols>
  <sheetData>
    <row r="1" spans="1:6" ht="15" customHeight="1">
      <c r="A1" s="8" t="s">
        <v>575</v>
      </c>
      <c r="B1" s="8"/>
      <c r="C1" s="8"/>
      <c r="D1" s="8"/>
      <c r="E1" s="8"/>
      <c r="F1" s="8"/>
    </row>
    <row r="2" spans="1:6">
      <c r="A2" s="8"/>
      <c r="B2" s="8"/>
      <c r="C2" s="8"/>
      <c r="D2" s="8"/>
      <c r="E2" s="8"/>
      <c r="F2" s="8"/>
    </row>
    <row r="3" spans="1:6" ht="15" customHeight="1">
      <c r="A3" s="11" t="s">
        <v>576</v>
      </c>
      <c r="B3" s="11"/>
      <c r="C3" s="11"/>
      <c r="D3" s="11"/>
      <c r="E3" s="11"/>
      <c r="F3" s="11"/>
    </row>
    <row r="5" spans="1:6" ht="31.5" customHeight="1">
      <c r="A5" s="13" t="s">
        <v>3</v>
      </c>
      <c r="B5" s="13" t="s">
        <v>577</v>
      </c>
      <c r="C5" s="13" t="s">
        <v>578</v>
      </c>
      <c r="D5" s="13" t="s">
        <v>579</v>
      </c>
      <c r="E5" s="13" t="s">
        <v>580</v>
      </c>
      <c r="F5" s="13" t="s">
        <v>581</v>
      </c>
    </row>
    <row r="6" spans="1:6" ht="22.5">
      <c r="A6" s="47">
        <v>1</v>
      </c>
      <c r="B6" s="48" t="s">
        <v>582</v>
      </c>
      <c r="C6" s="47" t="s">
        <v>583</v>
      </c>
      <c r="D6" s="47" t="s">
        <v>584</v>
      </c>
      <c r="E6" s="49" t="s">
        <v>585</v>
      </c>
      <c r="F6" s="49" t="s">
        <v>586</v>
      </c>
    </row>
    <row r="7" spans="1:6" ht="22.5">
      <c r="A7" s="47">
        <v>2</v>
      </c>
      <c r="B7" s="48" t="s">
        <v>587</v>
      </c>
      <c r="C7" s="47" t="s">
        <v>588</v>
      </c>
      <c r="D7" s="47" t="s">
        <v>589</v>
      </c>
      <c r="E7" s="49" t="s">
        <v>585</v>
      </c>
      <c r="F7" s="49" t="s">
        <v>590</v>
      </c>
    </row>
    <row r="8" spans="1:6">
      <c r="A8" s="47">
        <v>3</v>
      </c>
      <c r="B8" s="48" t="s">
        <v>591</v>
      </c>
      <c r="C8" s="47" t="s">
        <v>592</v>
      </c>
      <c r="D8" s="47" t="s">
        <v>593</v>
      </c>
      <c r="E8" s="49" t="s">
        <v>585</v>
      </c>
      <c r="F8" s="49" t="s">
        <v>594</v>
      </c>
    </row>
    <row r="9" spans="1:6" ht="22.5">
      <c r="A9" s="47">
        <v>4</v>
      </c>
      <c r="B9" s="48" t="s">
        <v>595</v>
      </c>
      <c r="C9" s="47" t="s">
        <v>596</v>
      </c>
      <c r="D9" s="47" t="s">
        <v>597</v>
      </c>
      <c r="E9" s="49" t="s">
        <v>585</v>
      </c>
      <c r="F9" s="49" t="s">
        <v>598</v>
      </c>
    </row>
    <row r="10" spans="1:6" ht="22.5">
      <c r="A10" s="47">
        <v>5</v>
      </c>
      <c r="B10" s="48" t="s">
        <v>599</v>
      </c>
      <c r="C10" s="47" t="s">
        <v>600</v>
      </c>
      <c r="D10" s="47" t="s">
        <v>601</v>
      </c>
      <c r="E10" s="49" t="s">
        <v>585</v>
      </c>
      <c r="F10" s="49" t="s">
        <v>602</v>
      </c>
    </row>
    <row r="11" spans="1:6" ht="22.5">
      <c r="A11" s="47">
        <v>6</v>
      </c>
      <c r="B11" s="48" t="s">
        <v>603</v>
      </c>
      <c r="C11" s="47" t="s">
        <v>604</v>
      </c>
      <c r="D11" s="47" t="s">
        <v>605</v>
      </c>
      <c r="E11" s="49" t="s">
        <v>585</v>
      </c>
      <c r="F11" s="49" t="s">
        <v>606</v>
      </c>
    </row>
    <row r="12" spans="1:6" ht="22.5">
      <c r="A12" s="47">
        <v>7</v>
      </c>
      <c r="B12" s="48" t="s">
        <v>607</v>
      </c>
      <c r="C12" s="47" t="s">
        <v>608</v>
      </c>
      <c r="D12" s="47" t="s">
        <v>609</v>
      </c>
      <c r="E12" s="49" t="s">
        <v>585</v>
      </c>
      <c r="F12" s="49" t="s">
        <v>610</v>
      </c>
    </row>
    <row r="13" spans="1:6">
      <c r="A13" s="47">
        <v>8</v>
      </c>
      <c r="B13" s="48" t="s">
        <v>611</v>
      </c>
      <c r="C13" s="47" t="s">
        <v>612</v>
      </c>
      <c r="D13" s="47" t="s">
        <v>613</v>
      </c>
      <c r="E13" s="49" t="s">
        <v>614</v>
      </c>
      <c r="F13" s="49" t="s">
        <v>615</v>
      </c>
    </row>
    <row r="14" spans="1:6" ht="22.5">
      <c r="A14" s="47">
        <v>9</v>
      </c>
      <c r="B14" s="48" t="s">
        <v>616</v>
      </c>
      <c r="C14" s="47" t="s">
        <v>617</v>
      </c>
      <c r="D14" s="47" t="s">
        <v>618</v>
      </c>
      <c r="E14" s="49" t="s">
        <v>619</v>
      </c>
      <c r="F14" s="49" t="s">
        <v>620</v>
      </c>
    </row>
    <row r="15" spans="1:6">
      <c r="A15" s="47">
        <v>10</v>
      </c>
      <c r="B15" s="48" t="s">
        <v>621</v>
      </c>
      <c r="C15" s="47" t="s">
        <v>622</v>
      </c>
      <c r="D15" s="47" t="s">
        <v>623</v>
      </c>
      <c r="E15" s="49" t="s">
        <v>585</v>
      </c>
      <c r="F15" s="49" t="s">
        <v>624</v>
      </c>
    </row>
    <row r="16" spans="1:6" ht="22.5">
      <c r="A16" s="47">
        <v>11</v>
      </c>
      <c r="B16" s="48" t="s">
        <v>625</v>
      </c>
      <c r="C16" s="47" t="s">
        <v>626</v>
      </c>
      <c r="D16" s="47" t="s">
        <v>627</v>
      </c>
      <c r="E16" s="49" t="s">
        <v>585</v>
      </c>
      <c r="F16" s="49" t="s">
        <v>628</v>
      </c>
    </row>
    <row r="17" spans="1:6">
      <c r="A17" s="47">
        <v>12</v>
      </c>
      <c r="B17" s="48" t="s">
        <v>629</v>
      </c>
      <c r="C17" s="47" t="s">
        <v>630</v>
      </c>
      <c r="D17" s="47" t="s">
        <v>631</v>
      </c>
      <c r="E17" s="49" t="s">
        <v>619</v>
      </c>
      <c r="F17" s="49" t="s">
        <v>632</v>
      </c>
    </row>
    <row r="18" spans="1:6" ht="22.5">
      <c r="A18" s="47">
        <v>13</v>
      </c>
      <c r="B18" s="48" t="s">
        <v>633</v>
      </c>
      <c r="C18" s="47" t="s">
        <v>634</v>
      </c>
      <c r="D18" s="47" t="s">
        <v>635</v>
      </c>
      <c r="E18" s="49" t="s">
        <v>636</v>
      </c>
      <c r="F18" s="49" t="s">
        <v>637</v>
      </c>
    </row>
    <row r="19" spans="1:6">
      <c r="A19" s="47">
        <v>14</v>
      </c>
      <c r="B19" s="48" t="s">
        <v>638</v>
      </c>
      <c r="C19" s="47" t="s">
        <v>639</v>
      </c>
      <c r="D19" s="47" t="s">
        <v>640</v>
      </c>
      <c r="E19" s="49" t="s">
        <v>619</v>
      </c>
      <c r="F19" s="49" t="s">
        <v>641</v>
      </c>
    </row>
    <row r="20" spans="1:6">
      <c r="A20" s="47">
        <v>15</v>
      </c>
      <c r="B20" s="48" t="s">
        <v>642</v>
      </c>
      <c r="C20" s="47" t="s">
        <v>643</v>
      </c>
      <c r="D20" s="47" t="s">
        <v>644</v>
      </c>
      <c r="E20" s="49" t="s">
        <v>636</v>
      </c>
      <c r="F20" s="49" t="s">
        <v>645</v>
      </c>
    </row>
    <row r="21" spans="1:6">
      <c r="A21" s="47">
        <v>16</v>
      </c>
      <c r="B21" s="48" t="s">
        <v>646</v>
      </c>
      <c r="C21" s="47" t="s">
        <v>647</v>
      </c>
      <c r="D21" s="47" t="s">
        <v>648</v>
      </c>
      <c r="E21" s="49" t="s">
        <v>619</v>
      </c>
      <c r="F21" s="49" t="s">
        <v>649</v>
      </c>
    </row>
    <row r="22" spans="1:6">
      <c r="A22" s="47">
        <v>17</v>
      </c>
      <c r="B22" s="48" t="s">
        <v>650</v>
      </c>
      <c r="C22" s="47" t="s">
        <v>651</v>
      </c>
      <c r="D22" s="47" t="s">
        <v>652</v>
      </c>
      <c r="E22" s="49" t="s">
        <v>619</v>
      </c>
      <c r="F22" s="49" t="s">
        <v>649</v>
      </c>
    </row>
    <row r="23" spans="1:6" ht="22.5">
      <c r="A23" s="47">
        <v>18</v>
      </c>
      <c r="B23" s="48" t="s">
        <v>653</v>
      </c>
      <c r="C23" s="47" t="s">
        <v>654</v>
      </c>
      <c r="D23" s="47" t="s">
        <v>655</v>
      </c>
      <c r="E23" s="49" t="s">
        <v>636</v>
      </c>
      <c r="F23" s="49" t="s">
        <v>656</v>
      </c>
    </row>
    <row r="24" spans="1:6">
      <c r="A24" s="47">
        <v>19</v>
      </c>
      <c r="B24" s="48" t="s">
        <v>657</v>
      </c>
      <c r="C24" s="47" t="s">
        <v>658</v>
      </c>
      <c r="D24" s="47" t="s">
        <v>659</v>
      </c>
      <c r="E24" s="49" t="s">
        <v>614</v>
      </c>
      <c r="F24" s="49" t="s">
        <v>660</v>
      </c>
    </row>
    <row r="25" spans="1:6">
      <c r="A25" s="47">
        <v>20</v>
      </c>
      <c r="B25" s="48" t="s">
        <v>661</v>
      </c>
      <c r="C25" s="47" t="s">
        <v>662</v>
      </c>
      <c r="D25" s="47" t="s">
        <v>663</v>
      </c>
      <c r="E25" s="49" t="s">
        <v>619</v>
      </c>
      <c r="F25" s="49" t="s">
        <v>664</v>
      </c>
    </row>
    <row r="26" spans="1:6" ht="22.5">
      <c r="A26" s="47">
        <v>21</v>
      </c>
      <c r="B26" s="48" t="s">
        <v>665</v>
      </c>
      <c r="C26" s="47" t="s">
        <v>666</v>
      </c>
      <c r="D26" s="47" t="s">
        <v>667</v>
      </c>
      <c r="E26" s="49" t="s">
        <v>636</v>
      </c>
      <c r="F26" s="49" t="s">
        <v>668</v>
      </c>
    </row>
    <row r="27" spans="1:6">
      <c r="A27" s="47">
        <v>22</v>
      </c>
      <c r="B27" s="48" t="s">
        <v>669</v>
      </c>
      <c r="C27" s="47" t="s">
        <v>670</v>
      </c>
      <c r="D27" s="47" t="s">
        <v>671</v>
      </c>
      <c r="E27" s="49" t="s">
        <v>636</v>
      </c>
      <c r="F27" s="49" t="s">
        <v>672</v>
      </c>
    </row>
    <row r="28" spans="1:6">
      <c r="A28" s="47">
        <v>23</v>
      </c>
      <c r="B28" s="48" t="s">
        <v>673</v>
      </c>
      <c r="C28" s="47" t="s">
        <v>674</v>
      </c>
      <c r="D28" s="47" t="s">
        <v>675</v>
      </c>
      <c r="E28" s="49" t="s">
        <v>636</v>
      </c>
      <c r="F28" s="49" t="s">
        <v>676</v>
      </c>
    </row>
    <row r="29" spans="1:6">
      <c r="A29" s="47">
        <v>24</v>
      </c>
      <c r="B29" s="48" t="s">
        <v>677</v>
      </c>
      <c r="C29" s="47" t="s">
        <v>678</v>
      </c>
      <c r="D29" s="47" t="s">
        <v>679</v>
      </c>
      <c r="E29" s="49" t="s">
        <v>619</v>
      </c>
      <c r="F29" s="49" t="s">
        <v>680</v>
      </c>
    </row>
    <row r="30" spans="1:6" ht="22.5">
      <c r="A30" s="47">
        <v>25</v>
      </c>
      <c r="B30" s="48" t="s">
        <v>681</v>
      </c>
      <c r="C30" s="47" t="s">
        <v>682</v>
      </c>
      <c r="D30" s="47" t="s">
        <v>683</v>
      </c>
      <c r="E30" s="49" t="s">
        <v>636</v>
      </c>
      <c r="F30" s="49" t="s">
        <v>684</v>
      </c>
    </row>
    <row r="31" spans="1:6">
      <c r="A31" s="47">
        <v>26</v>
      </c>
      <c r="B31" s="48" t="s">
        <v>685</v>
      </c>
      <c r="C31" s="47" t="s">
        <v>686</v>
      </c>
      <c r="D31" s="47" t="s">
        <v>687</v>
      </c>
      <c r="E31" s="49" t="s">
        <v>585</v>
      </c>
      <c r="F31" s="49" t="s">
        <v>688</v>
      </c>
    </row>
    <row r="32" spans="1:6" ht="22.5">
      <c r="A32" s="47">
        <v>27</v>
      </c>
      <c r="B32" s="48" t="s">
        <v>689</v>
      </c>
      <c r="C32" s="47" t="s">
        <v>690</v>
      </c>
      <c r="D32" s="47" t="s">
        <v>691</v>
      </c>
      <c r="E32" s="49" t="s">
        <v>614</v>
      </c>
      <c r="F32" s="49" t="s">
        <v>692</v>
      </c>
    </row>
    <row r="33" spans="1:6">
      <c r="A33" s="47">
        <v>28</v>
      </c>
      <c r="B33" s="48" t="s">
        <v>693</v>
      </c>
      <c r="C33" s="47" t="s">
        <v>694</v>
      </c>
      <c r="D33" s="47" t="s">
        <v>695</v>
      </c>
      <c r="E33" s="49" t="s">
        <v>636</v>
      </c>
      <c r="F33" s="49" t="s">
        <v>696</v>
      </c>
    </row>
    <row r="34" spans="1:6" ht="22.5">
      <c r="A34" s="47">
        <v>29</v>
      </c>
      <c r="B34" s="48" t="s">
        <v>697</v>
      </c>
      <c r="C34" s="47" t="s">
        <v>698</v>
      </c>
      <c r="D34" s="47" t="s">
        <v>699</v>
      </c>
      <c r="E34" s="49" t="s">
        <v>636</v>
      </c>
      <c r="F34" s="49" t="s">
        <v>700</v>
      </c>
    </row>
    <row r="35" spans="1:6">
      <c r="A35" s="47">
        <v>30</v>
      </c>
      <c r="B35" s="48" t="s">
        <v>701</v>
      </c>
      <c r="C35" s="47" t="s">
        <v>702</v>
      </c>
      <c r="D35" s="47" t="s">
        <v>703</v>
      </c>
      <c r="E35" s="49" t="s">
        <v>619</v>
      </c>
      <c r="F35" s="49" t="s">
        <v>704</v>
      </c>
    </row>
    <row r="36" spans="1:6">
      <c r="A36" s="47">
        <v>31</v>
      </c>
      <c r="B36" s="48" t="s">
        <v>705</v>
      </c>
      <c r="C36" s="47" t="s">
        <v>706</v>
      </c>
      <c r="D36" s="47" t="s">
        <v>707</v>
      </c>
      <c r="E36" s="49" t="s">
        <v>636</v>
      </c>
      <c r="F36" s="49" t="s">
        <v>708</v>
      </c>
    </row>
    <row r="37" spans="1:6">
      <c r="A37" s="47">
        <v>32</v>
      </c>
      <c r="B37" s="48" t="s">
        <v>709</v>
      </c>
      <c r="C37" s="47" t="s">
        <v>710</v>
      </c>
      <c r="D37" s="47" t="s">
        <v>711</v>
      </c>
      <c r="E37" s="49" t="s">
        <v>619</v>
      </c>
      <c r="F37" s="49" t="s">
        <v>712</v>
      </c>
    </row>
    <row r="38" spans="1:6">
      <c r="A38" s="47">
        <v>33</v>
      </c>
      <c r="B38" s="48" t="s">
        <v>713</v>
      </c>
      <c r="C38" s="47" t="s">
        <v>714</v>
      </c>
      <c r="D38" s="47" t="s">
        <v>715</v>
      </c>
      <c r="E38" s="49" t="s">
        <v>636</v>
      </c>
      <c r="F38" s="49" t="s">
        <v>716</v>
      </c>
    </row>
    <row r="39" spans="1:6">
      <c r="A39" s="47">
        <v>34</v>
      </c>
      <c r="B39" s="48" t="s">
        <v>717</v>
      </c>
      <c r="C39" s="47" t="s">
        <v>718</v>
      </c>
      <c r="D39" s="47" t="s">
        <v>719</v>
      </c>
      <c r="E39" s="49" t="s">
        <v>636</v>
      </c>
      <c r="F39" s="49" t="s">
        <v>720</v>
      </c>
    </row>
    <row r="40" spans="1:6">
      <c r="A40" s="47">
        <v>35</v>
      </c>
      <c r="B40" s="48" t="s">
        <v>721</v>
      </c>
      <c r="C40" s="47" t="s">
        <v>722</v>
      </c>
      <c r="D40" s="47" t="s">
        <v>723</v>
      </c>
      <c r="E40" s="49" t="s">
        <v>724</v>
      </c>
      <c r="F40" s="49" t="s">
        <v>725</v>
      </c>
    </row>
    <row r="41" spans="1:6">
      <c r="A41" s="47">
        <v>36</v>
      </c>
      <c r="B41" s="48" t="s">
        <v>726</v>
      </c>
      <c r="C41" s="47" t="s">
        <v>727</v>
      </c>
      <c r="D41" s="47" t="s">
        <v>728</v>
      </c>
      <c r="E41" s="49" t="s">
        <v>636</v>
      </c>
      <c r="F41" s="49" t="s">
        <v>729</v>
      </c>
    </row>
    <row r="42" spans="1:6">
      <c r="A42" s="47">
        <v>37</v>
      </c>
      <c r="B42" s="48" t="s">
        <v>730</v>
      </c>
      <c r="C42" s="47" t="s">
        <v>731</v>
      </c>
      <c r="D42" s="47" t="s">
        <v>732</v>
      </c>
      <c r="E42" s="49" t="s">
        <v>619</v>
      </c>
      <c r="F42" s="49" t="s">
        <v>733</v>
      </c>
    </row>
    <row r="43" spans="1:6">
      <c r="A43" s="47">
        <v>38</v>
      </c>
      <c r="B43" s="48" t="s">
        <v>734</v>
      </c>
      <c r="C43" s="47" t="s">
        <v>735</v>
      </c>
      <c r="D43" s="47" t="s">
        <v>736</v>
      </c>
      <c r="E43" s="49" t="s">
        <v>724</v>
      </c>
      <c r="F43" s="49" t="s">
        <v>737</v>
      </c>
    </row>
    <row r="44" spans="1:6">
      <c r="A44" s="47">
        <v>39</v>
      </c>
      <c r="B44" s="48" t="s">
        <v>738</v>
      </c>
      <c r="C44" s="47" t="s">
        <v>739</v>
      </c>
      <c r="D44" s="47" t="s">
        <v>740</v>
      </c>
      <c r="E44" s="49" t="s">
        <v>614</v>
      </c>
      <c r="F44" s="49" t="s">
        <v>741</v>
      </c>
    </row>
    <row r="45" spans="1:6">
      <c r="A45" s="47">
        <v>40</v>
      </c>
      <c r="B45" s="48" t="s">
        <v>742</v>
      </c>
      <c r="C45" s="47" t="s">
        <v>743</v>
      </c>
      <c r="D45" s="47" t="s">
        <v>744</v>
      </c>
      <c r="E45" s="49" t="s">
        <v>614</v>
      </c>
      <c r="F45" s="49" t="s">
        <v>745</v>
      </c>
    </row>
    <row r="46" spans="1:6">
      <c r="A46" s="47">
        <v>41</v>
      </c>
      <c r="B46" s="48" t="s">
        <v>746</v>
      </c>
      <c r="C46" s="47" t="s">
        <v>747</v>
      </c>
      <c r="D46" s="47" t="s">
        <v>748</v>
      </c>
      <c r="E46" s="49" t="s">
        <v>614</v>
      </c>
      <c r="F46" s="49" t="s">
        <v>749</v>
      </c>
    </row>
    <row r="47" spans="1:6" ht="22.5">
      <c r="A47" s="47">
        <v>42</v>
      </c>
      <c r="B47" s="48" t="s">
        <v>750</v>
      </c>
      <c r="C47" s="47" t="s">
        <v>751</v>
      </c>
      <c r="D47" s="47" t="s">
        <v>752</v>
      </c>
      <c r="E47" s="49" t="s">
        <v>724</v>
      </c>
      <c r="F47" s="49" t="s">
        <v>753</v>
      </c>
    </row>
    <row r="48" spans="1:6" ht="22.5">
      <c r="A48" s="47">
        <v>43</v>
      </c>
      <c r="B48" s="48" t="s">
        <v>754</v>
      </c>
      <c r="C48" s="47" t="s">
        <v>755</v>
      </c>
      <c r="D48" s="47" t="s">
        <v>756</v>
      </c>
      <c r="E48" s="49" t="s">
        <v>724</v>
      </c>
      <c r="F48" s="49" t="s">
        <v>757</v>
      </c>
    </row>
    <row r="49" spans="1:6" ht="22.5">
      <c r="A49" s="47">
        <v>44</v>
      </c>
      <c r="B49" s="48" t="s">
        <v>758</v>
      </c>
      <c r="C49" s="47" t="s">
        <v>759</v>
      </c>
      <c r="D49" s="47" t="s">
        <v>760</v>
      </c>
      <c r="E49" s="49" t="s">
        <v>724</v>
      </c>
      <c r="F49" s="49" t="s">
        <v>761</v>
      </c>
    </row>
    <row r="50" spans="1:6">
      <c r="A50" s="47">
        <v>45</v>
      </c>
      <c r="B50" s="48" t="s">
        <v>762</v>
      </c>
      <c r="C50" s="47" t="s">
        <v>763</v>
      </c>
      <c r="D50" s="47" t="s">
        <v>764</v>
      </c>
      <c r="E50" s="49" t="s">
        <v>636</v>
      </c>
      <c r="F50" s="49" t="s">
        <v>765</v>
      </c>
    </row>
    <row r="51" spans="1:6">
      <c r="A51" s="47">
        <v>46</v>
      </c>
      <c r="B51" s="48" t="s">
        <v>766</v>
      </c>
      <c r="C51" s="47" t="s">
        <v>767</v>
      </c>
      <c r="D51" s="47" t="s">
        <v>768</v>
      </c>
      <c r="E51" s="49" t="s">
        <v>619</v>
      </c>
      <c r="F51" s="49" t="s">
        <v>769</v>
      </c>
    </row>
    <row r="52" spans="1:6">
      <c r="A52" s="47">
        <v>47</v>
      </c>
      <c r="B52" s="48" t="s">
        <v>770</v>
      </c>
      <c r="C52" s="47" t="s">
        <v>771</v>
      </c>
      <c r="D52" s="47" t="s">
        <v>772</v>
      </c>
      <c r="E52" s="49" t="s">
        <v>636</v>
      </c>
      <c r="F52" s="49" t="s">
        <v>773</v>
      </c>
    </row>
    <row r="53" spans="1:6">
      <c r="A53" s="47">
        <v>48</v>
      </c>
      <c r="B53" s="48" t="s">
        <v>774</v>
      </c>
      <c r="C53" s="47" t="s">
        <v>775</v>
      </c>
      <c r="D53" s="47" t="s">
        <v>776</v>
      </c>
      <c r="E53" s="49" t="s">
        <v>614</v>
      </c>
      <c r="F53" s="49" t="s">
        <v>777</v>
      </c>
    </row>
    <row r="54" spans="1:6" ht="22.5">
      <c r="A54" s="47">
        <v>49</v>
      </c>
      <c r="B54" s="48" t="s">
        <v>778</v>
      </c>
      <c r="C54" s="47" t="s">
        <v>779</v>
      </c>
      <c r="D54" s="47" t="s">
        <v>780</v>
      </c>
      <c r="E54" s="49" t="s">
        <v>619</v>
      </c>
      <c r="F54" s="49" t="s">
        <v>781</v>
      </c>
    </row>
    <row r="55" spans="1:6" ht="22.5">
      <c r="A55" s="47">
        <v>50</v>
      </c>
      <c r="B55" s="48" t="s">
        <v>782</v>
      </c>
      <c r="C55" s="47" t="s">
        <v>783</v>
      </c>
      <c r="D55" s="47" t="s">
        <v>784</v>
      </c>
      <c r="E55" s="49" t="s">
        <v>619</v>
      </c>
      <c r="F55" s="49" t="s">
        <v>785</v>
      </c>
    </row>
    <row r="56" spans="1:6">
      <c r="A56" s="47">
        <v>51</v>
      </c>
      <c r="B56" s="48" t="s">
        <v>786</v>
      </c>
      <c r="C56" s="47" t="s">
        <v>787</v>
      </c>
      <c r="D56" s="47" t="s">
        <v>788</v>
      </c>
      <c r="E56" s="49" t="s">
        <v>619</v>
      </c>
      <c r="F56" s="49" t="s">
        <v>789</v>
      </c>
    </row>
    <row r="57" spans="1:6">
      <c r="A57" s="47">
        <v>52</v>
      </c>
      <c r="B57" s="48" t="s">
        <v>790</v>
      </c>
      <c r="C57" s="47" t="s">
        <v>791</v>
      </c>
      <c r="D57" s="47" t="s">
        <v>792</v>
      </c>
      <c r="E57" s="49" t="s">
        <v>636</v>
      </c>
      <c r="F57" s="49" t="s">
        <v>793</v>
      </c>
    </row>
    <row r="58" spans="1:6">
      <c r="A58" s="47">
        <v>53</v>
      </c>
      <c r="B58" s="48" t="s">
        <v>794</v>
      </c>
      <c r="C58" s="47" t="s">
        <v>795</v>
      </c>
      <c r="D58" s="47" t="s">
        <v>796</v>
      </c>
      <c r="E58" s="49" t="s">
        <v>724</v>
      </c>
      <c r="F58" s="49" t="s">
        <v>797</v>
      </c>
    </row>
    <row r="59" spans="1:6">
      <c r="A59" s="47">
        <v>54</v>
      </c>
      <c r="B59" s="48" t="s">
        <v>798</v>
      </c>
      <c r="C59" s="47" t="s">
        <v>799</v>
      </c>
      <c r="D59" s="47" t="s">
        <v>800</v>
      </c>
      <c r="E59" s="49" t="s">
        <v>636</v>
      </c>
      <c r="F59" s="49" t="s">
        <v>801</v>
      </c>
    </row>
    <row r="60" spans="1:6">
      <c r="A60" s="47">
        <v>55</v>
      </c>
      <c r="B60" s="48" t="s">
        <v>802</v>
      </c>
      <c r="C60" s="47" t="s">
        <v>803</v>
      </c>
      <c r="D60" s="47" t="s">
        <v>804</v>
      </c>
      <c r="E60" s="49" t="s">
        <v>636</v>
      </c>
      <c r="F60" s="49" t="s">
        <v>805</v>
      </c>
    </row>
    <row r="61" spans="1:6">
      <c r="A61" s="47">
        <v>56</v>
      </c>
      <c r="B61" s="48" t="s">
        <v>806</v>
      </c>
      <c r="C61" s="47" t="s">
        <v>807</v>
      </c>
      <c r="D61" s="47" t="s">
        <v>808</v>
      </c>
      <c r="E61" s="49" t="s">
        <v>636</v>
      </c>
      <c r="F61" s="49" t="s">
        <v>809</v>
      </c>
    </row>
    <row r="62" spans="1:6">
      <c r="A62" s="47">
        <v>57</v>
      </c>
      <c r="B62" s="48" t="s">
        <v>810</v>
      </c>
      <c r="C62" s="47" t="s">
        <v>811</v>
      </c>
      <c r="D62" s="47" t="s">
        <v>812</v>
      </c>
      <c r="E62" s="49" t="s">
        <v>636</v>
      </c>
      <c r="F62" s="49" t="s">
        <v>813</v>
      </c>
    </row>
    <row r="63" spans="1:6">
      <c r="A63" s="47">
        <v>58</v>
      </c>
      <c r="B63" s="48" t="s">
        <v>814</v>
      </c>
      <c r="C63" s="47" t="s">
        <v>815</v>
      </c>
      <c r="D63" s="47" t="s">
        <v>816</v>
      </c>
      <c r="E63" s="49" t="s">
        <v>724</v>
      </c>
      <c r="F63" s="49" t="s">
        <v>817</v>
      </c>
    </row>
    <row r="64" spans="1:6">
      <c r="A64" s="47">
        <v>59</v>
      </c>
      <c r="B64" s="48" t="s">
        <v>818</v>
      </c>
      <c r="C64" s="47" t="s">
        <v>819</v>
      </c>
      <c r="D64" s="47" t="s">
        <v>820</v>
      </c>
      <c r="E64" s="49" t="s">
        <v>724</v>
      </c>
      <c r="F64" s="49" t="s">
        <v>821</v>
      </c>
    </row>
    <row r="65" spans="1:6">
      <c r="A65" s="47">
        <v>60</v>
      </c>
      <c r="B65" s="48" t="s">
        <v>822</v>
      </c>
      <c r="C65" s="47" t="s">
        <v>823</v>
      </c>
      <c r="D65" s="47" t="s">
        <v>824</v>
      </c>
      <c r="E65" s="49" t="s">
        <v>636</v>
      </c>
      <c r="F65" s="49" t="s">
        <v>825</v>
      </c>
    </row>
  </sheetData>
  <mergeCells count="2">
    <mergeCell ref="A1:F2"/>
    <mergeCell ref="A3:F3"/>
  </mergeCells>
  <printOptions horizontalCentered="1"/>
  <pageMargins left="0.5" right="0.5" top="0.6" bottom="0.6" header="0.511811023622047" footer="0.511811023622047"/>
  <pageSetup paperSize="9" fitToHeight="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E63"/>
  <sheetViews>
    <sheetView zoomScaleNormal="100" workbookViewId="0">
      <pane ySplit="5" topLeftCell="A30" activePane="bottomLeft" state="frozen"/>
      <selection pane="bottomLeft"/>
    </sheetView>
  </sheetViews>
  <sheetFormatPr defaultColWidth="8.7421875" defaultRowHeight="15"/>
  <cols>
    <col min="1" max="1" width="4.03515625" customWidth="1"/>
    <col min="2" max="2" width="20.04296875" customWidth="1"/>
    <col min="3" max="4" width="50.04296875" customWidth="1"/>
    <col min="5" max="5" width="13.98828125" customWidth="1"/>
  </cols>
  <sheetData>
    <row r="1" spans="1:5" ht="15" customHeight="1">
      <c r="A1" s="8" t="s">
        <v>826</v>
      </c>
      <c r="B1" s="8"/>
      <c r="C1" s="8"/>
      <c r="D1" s="8"/>
      <c r="E1" s="8"/>
    </row>
    <row r="2" spans="1:5">
      <c r="A2" s="8"/>
      <c r="B2" s="8"/>
      <c r="C2" s="8"/>
      <c r="D2" s="8"/>
      <c r="E2" s="8"/>
    </row>
    <row r="3" spans="1:5" ht="15" customHeight="1">
      <c r="A3" s="11" t="s">
        <v>827</v>
      </c>
      <c r="B3" s="11"/>
      <c r="C3" s="11"/>
      <c r="D3" s="11"/>
      <c r="E3" s="11"/>
    </row>
    <row r="5" spans="1:5" ht="31.5" customHeight="1">
      <c r="A5" s="13" t="s">
        <v>3</v>
      </c>
      <c r="B5" s="13" t="s">
        <v>828</v>
      </c>
      <c r="C5" s="13" t="s">
        <v>829</v>
      </c>
      <c r="D5" s="13" t="s">
        <v>6</v>
      </c>
      <c r="E5" s="13" t="s">
        <v>830</v>
      </c>
    </row>
    <row r="6" spans="1:5" ht="24" customHeight="1">
      <c r="A6" s="50"/>
      <c r="B6" s="1" t="s">
        <v>831</v>
      </c>
      <c r="C6" s="1"/>
      <c r="D6" s="1"/>
      <c r="E6" s="1"/>
    </row>
    <row r="7" spans="1:5" ht="36" customHeight="1">
      <c r="A7" s="51" t="s">
        <v>9</v>
      </c>
      <c r="B7" s="52" t="s">
        <v>832</v>
      </c>
      <c r="C7" s="53" t="s">
        <v>833</v>
      </c>
      <c r="D7" s="53" t="s">
        <v>834</v>
      </c>
      <c r="E7" s="54" t="s">
        <v>835</v>
      </c>
    </row>
    <row r="8" spans="1:5" ht="36" customHeight="1">
      <c r="A8" s="51" t="s">
        <v>15</v>
      </c>
      <c r="B8" s="52" t="s">
        <v>836</v>
      </c>
      <c r="C8" s="53" t="s">
        <v>837</v>
      </c>
      <c r="D8" s="53" t="s">
        <v>838</v>
      </c>
      <c r="E8" s="54" t="s">
        <v>839</v>
      </c>
    </row>
    <row r="9" spans="1:5" ht="36" customHeight="1">
      <c r="A9" s="51" t="s">
        <v>21</v>
      </c>
      <c r="B9" s="52" t="s">
        <v>840</v>
      </c>
      <c r="C9" s="53" t="s">
        <v>841</v>
      </c>
      <c r="D9" s="53" t="s">
        <v>842</v>
      </c>
      <c r="E9" s="54" t="s">
        <v>839</v>
      </c>
    </row>
    <row r="10" spans="1:5" ht="36" customHeight="1">
      <c r="A10" s="51" t="s">
        <v>25</v>
      </c>
      <c r="B10" s="52" t="s">
        <v>843</v>
      </c>
      <c r="C10" s="53" t="s">
        <v>844</v>
      </c>
      <c r="D10" s="53" t="s">
        <v>845</v>
      </c>
      <c r="E10" s="54" t="s">
        <v>839</v>
      </c>
    </row>
    <row r="11" spans="1:5" ht="36" customHeight="1">
      <c r="A11" s="51" t="s">
        <v>30</v>
      </c>
      <c r="B11" s="52" t="s">
        <v>846</v>
      </c>
      <c r="C11" s="53" t="s">
        <v>847</v>
      </c>
      <c r="D11" s="53" t="s">
        <v>848</v>
      </c>
      <c r="E11" s="54" t="s">
        <v>839</v>
      </c>
    </row>
    <row r="12" spans="1:5" ht="36" customHeight="1">
      <c r="A12" s="51" t="s">
        <v>34</v>
      </c>
      <c r="B12" s="52" t="s">
        <v>849</v>
      </c>
      <c r="C12" s="53" t="s">
        <v>850</v>
      </c>
      <c r="D12" s="53" t="s">
        <v>851</v>
      </c>
      <c r="E12" s="54" t="s">
        <v>839</v>
      </c>
    </row>
    <row r="13" spans="1:5" ht="36" customHeight="1">
      <c r="A13" s="51" t="s">
        <v>38</v>
      </c>
      <c r="B13" s="52" t="s">
        <v>852</v>
      </c>
      <c r="C13" s="53" t="s">
        <v>853</v>
      </c>
      <c r="D13" s="53" t="s">
        <v>854</v>
      </c>
      <c r="E13" s="54" t="s">
        <v>839</v>
      </c>
    </row>
    <row r="14" spans="1:5" ht="36" customHeight="1">
      <c r="A14" s="51" t="s">
        <v>42</v>
      </c>
      <c r="B14" s="52" t="s">
        <v>181</v>
      </c>
      <c r="C14" s="53" t="s">
        <v>855</v>
      </c>
      <c r="D14" s="53" t="s">
        <v>856</v>
      </c>
      <c r="E14" s="54" t="s">
        <v>839</v>
      </c>
    </row>
    <row r="15" spans="1:5" ht="36" customHeight="1">
      <c r="A15" s="51" t="s">
        <v>47</v>
      </c>
      <c r="B15" s="52" t="s">
        <v>857</v>
      </c>
      <c r="C15" s="53" t="s">
        <v>858</v>
      </c>
      <c r="D15" s="53" t="s">
        <v>859</v>
      </c>
      <c r="E15" s="54" t="s">
        <v>835</v>
      </c>
    </row>
    <row r="16" spans="1:5" ht="24" customHeight="1">
      <c r="A16" s="50"/>
      <c r="B16" s="1" t="s">
        <v>860</v>
      </c>
      <c r="C16" s="1"/>
      <c r="D16" s="1"/>
      <c r="E16" s="1"/>
    </row>
    <row r="17" spans="1:5" ht="36" customHeight="1">
      <c r="A17" s="51" t="s">
        <v>9</v>
      </c>
      <c r="B17" s="52" t="s">
        <v>832</v>
      </c>
      <c r="C17" s="53" t="s">
        <v>861</v>
      </c>
      <c r="D17" s="53" t="s">
        <v>862</v>
      </c>
      <c r="E17" s="54" t="s">
        <v>835</v>
      </c>
    </row>
    <row r="18" spans="1:5" ht="36" customHeight="1">
      <c r="A18" s="51" t="s">
        <v>15</v>
      </c>
      <c r="B18" s="52" t="s">
        <v>836</v>
      </c>
      <c r="C18" s="53" t="s">
        <v>863</v>
      </c>
      <c r="D18" s="53" t="s">
        <v>864</v>
      </c>
      <c r="E18" s="54" t="s">
        <v>839</v>
      </c>
    </row>
    <row r="19" spans="1:5" ht="36" customHeight="1">
      <c r="A19" s="51" t="s">
        <v>21</v>
      </c>
      <c r="B19" s="52" t="s">
        <v>865</v>
      </c>
      <c r="C19" s="53" t="s">
        <v>866</v>
      </c>
      <c r="D19" s="53" t="s">
        <v>867</v>
      </c>
      <c r="E19" s="54" t="s">
        <v>839</v>
      </c>
    </row>
    <row r="20" spans="1:5" ht="36" customHeight="1">
      <c r="A20" s="51" t="s">
        <v>25</v>
      </c>
      <c r="B20" s="52" t="s">
        <v>868</v>
      </c>
      <c r="C20" s="53" t="s">
        <v>869</v>
      </c>
      <c r="D20" s="53" t="s">
        <v>870</v>
      </c>
      <c r="E20" s="54" t="s">
        <v>839</v>
      </c>
    </row>
    <row r="21" spans="1:5" ht="36" customHeight="1">
      <c r="A21" s="51" t="s">
        <v>30</v>
      </c>
      <c r="B21" s="52" t="s">
        <v>871</v>
      </c>
      <c r="C21" s="53" t="s">
        <v>872</v>
      </c>
      <c r="D21" s="53" t="s">
        <v>873</v>
      </c>
      <c r="E21" s="54" t="s">
        <v>839</v>
      </c>
    </row>
    <row r="22" spans="1:5" ht="36" customHeight="1">
      <c r="A22" s="51" t="s">
        <v>34</v>
      </c>
      <c r="B22" s="52" t="s">
        <v>874</v>
      </c>
      <c r="C22" s="53" t="s">
        <v>875</v>
      </c>
      <c r="D22" s="53" t="s">
        <v>876</v>
      </c>
      <c r="E22" s="54" t="s">
        <v>839</v>
      </c>
    </row>
    <row r="23" spans="1:5" ht="36" customHeight="1">
      <c r="A23" s="51" t="s">
        <v>38</v>
      </c>
      <c r="B23" s="52" t="s">
        <v>877</v>
      </c>
      <c r="C23" s="53" t="s">
        <v>878</v>
      </c>
      <c r="D23" s="53" t="s">
        <v>879</v>
      </c>
      <c r="E23" s="54" t="s">
        <v>839</v>
      </c>
    </row>
    <row r="24" spans="1:5" ht="36" customHeight="1">
      <c r="A24" s="51" t="s">
        <v>42</v>
      </c>
      <c r="B24" s="52" t="s">
        <v>880</v>
      </c>
      <c r="C24" s="53" t="s">
        <v>881</v>
      </c>
      <c r="D24" s="53" t="s">
        <v>882</v>
      </c>
      <c r="E24" s="54" t="s">
        <v>839</v>
      </c>
    </row>
    <row r="25" spans="1:5" ht="36" customHeight="1">
      <c r="A25" s="51" t="s">
        <v>47</v>
      </c>
      <c r="B25" s="52" t="s">
        <v>181</v>
      </c>
      <c r="C25" s="53" t="s">
        <v>883</v>
      </c>
      <c r="D25" s="53" t="s">
        <v>884</v>
      </c>
      <c r="E25" s="54" t="s">
        <v>839</v>
      </c>
    </row>
    <row r="26" spans="1:5" ht="36" customHeight="1">
      <c r="A26" s="51" t="s">
        <v>51</v>
      </c>
      <c r="B26" s="52" t="s">
        <v>857</v>
      </c>
      <c r="C26" s="53" t="s">
        <v>885</v>
      </c>
      <c r="D26" s="53" t="s">
        <v>886</v>
      </c>
      <c r="E26" s="54" t="s">
        <v>835</v>
      </c>
    </row>
    <row r="27" spans="1:5" ht="24" customHeight="1">
      <c r="A27" s="50"/>
      <c r="B27" s="1" t="s">
        <v>887</v>
      </c>
      <c r="C27" s="1"/>
      <c r="D27" s="1"/>
      <c r="E27" s="1"/>
    </row>
    <row r="28" spans="1:5" ht="36" customHeight="1">
      <c r="A28" s="51" t="s">
        <v>9</v>
      </c>
      <c r="B28" s="52" t="s">
        <v>832</v>
      </c>
      <c r="C28" s="53" t="s">
        <v>888</v>
      </c>
      <c r="D28" s="53" t="s">
        <v>889</v>
      </c>
      <c r="E28" s="54" t="s">
        <v>835</v>
      </c>
    </row>
    <row r="29" spans="1:5" ht="36" customHeight="1">
      <c r="A29" s="51" t="s">
        <v>15</v>
      </c>
      <c r="B29" s="52" t="s">
        <v>836</v>
      </c>
      <c r="C29" s="53" t="s">
        <v>863</v>
      </c>
      <c r="D29" s="53" t="s">
        <v>864</v>
      </c>
      <c r="E29" s="54" t="s">
        <v>839</v>
      </c>
    </row>
    <row r="30" spans="1:5" ht="36" customHeight="1">
      <c r="A30" s="51" t="s">
        <v>21</v>
      </c>
      <c r="B30" s="52" t="s">
        <v>880</v>
      </c>
      <c r="C30" s="53" t="s">
        <v>890</v>
      </c>
      <c r="D30" s="53" t="s">
        <v>891</v>
      </c>
      <c r="E30" s="54" t="s">
        <v>839</v>
      </c>
    </row>
    <row r="31" spans="1:5" ht="36" customHeight="1">
      <c r="A31" s="51" t="s">
        <v>25</v>
      </c>
      <c r="B31" s="52" t="s">
        <v>892</v>
      </c>
      <c r="C31" s="53" t="s">
        <v>893</v>
      </c>
      <c r="D31" s="53" t="s">
        <v>894</v>
      </c>
      <c r="E31" s="54" t="s">
        <v>839</v>
      </c>
    </row>
    <row r="32" spans="1:5" ht="36" customHeight="1">
      <c r="A32" s="51" t="s">
        <v>30</v>
      </c>
      <c r="B32" s="52" t="s">
        <v>895</v>
      </c>
      <c r="C32" s="53" t="s">
        <v>896</v>
      </c>
      <c r="D32" s="53" t="s">
        <v>897</v>
      </c>
      <c r="E32" s="54" t="s">
        <v>839</v>
      </c>
    </row>
    <row r="33" spans="1:5" ht="36" customHeight="1">
      <c r="A33" s="51" t="s">
        <v>34</v>
      </c>
      <c r="B33" s="52" t="s">
        <v>898</v>
      </c>
      <c r="C33" s="53" t="s">
        <v>899</v>
      </c>
      <c r="D33" s="53" t="s">
        <v>900</v>
      </c>
      <c r="E33" s="54" t="s">
        <v>839</v>
      </c>
    </row>
    <row r="34" spans="1:5" ht="36" customHeight="1">
      <c r="A34" s="51" t="s">
        <v>38</v>
      </c>
      <c r="B34" s="52" t="s">
        <v>901</v>
      </c>
      <c r="C34" s="53" t="s">
        <v>902</v>
      </c>
      <c r="D34" s="53" t="s">
        <v>903</v>
      </c>
      <c r="E34" s="54" t="s">
        <v>839</v>
      </c>
    </row>
    <row r="35" spans="1:5" ht="36" customHeight="1">
      <c r="A35" s="51" t="s">
        <v>42</v>
      </c>
      <c r="B35" s="52" t="s">
        <v>181</v>
      </c>
      <c r="C35" s="53" t="s">
        <v>904</v>
      </c>
      <c r="D35" s="53" t="s">
        <v>905</v>
      </c>
      <c r="E35" s="54" t="s">
        <v>839</v>
      </c>
    </row>
    <row r="36" spans="1:5" ht="36" customHeight="1">
      <c r="A36" s="51" t="s">
        <v>47</v>
      </c>
      <c r="B36" s="52" t="s">
        <v>857</v>
      </c>
      <c r="C36" s="53" t="s">
        <v>906</v>
      </c>
      <c r="D36" s="53" t="s">
        <v>907</v>
      </c>
      <c r="E36" s="54" t="s">
        <v>835</v>
      </c>
    </row>
    <row r="37" spans="1:5" ht="24" customHeight="1">
      <c r="A37" s="50"/>
      <c r="B37" s="1" t="s">
        <v>908</v>
      </c>
      <c r="C37" s="1"/>
      <c r="D37" s="1"/>
      <c r="E37" s="1"/>
    </row>
    <row r="38" spans="1:5" ht="36" customHeight="1">
      <c r="A38" s="51" t="s">
        <v>9</v>
      </c>
      <c r="B38" s="52" t="s">
        <v>832</v>
      </c>
      <c r="C38" s="53" t="s">
        <v>909</v>
      </c>
      <c r="D38" s="53" t="s">
        <v>910</v>
      </c>
      <c r="E38" s="54" t="s">
        <v>835</v>
      </c>
    </row>
    <row r="39" spans="1:5" ht="36" customHeight="1">
      <c r="A39" s="51" t="s">
        <v>15</v>
      </c>
      <c r="B39" s="52" t="s">
        <v>911</v>
      </c>
      <c r="C39" s="53" t="s">
        <v>912</v>
      </c>
      <c r="D39" s="53" t="s">
        <v>913</v>
      </c>
      <c r="E39" s="54" t="s">
        <v>839</v>
      </c>
    </row>
    <row r="40" spans="1:5" ht="36" customHeight="1">
      <c r="A40" s="51" t="s">
        <v>21</v>
      </c>
      <c r="B40" s="52" t="s">
        <v>914</v>
      </c>
      <c r="C40" s="53" t="s">
        <v>915</v>
      </c>
      <c r="D40" s="53" t="s">
        <v>916</v>
      </c>
      <c r="E40" s="54" t="s">
        <v>839</v>
      </c>
    </row>
    <row r="41" spans="1:5" ht="36" customHeight="1">
      <c r="A41" s="51" t="s">
        <v>25</v>
      </c>
      <c r="B41" s="52" t="s">
        <v>917</v>
      </c>
      <c r="C41" s="53" t="s">
        <v>918</v>
      </c>
      <c r="D41" s="53" t="s">
        <v>919</v>
      </c>
      <c r="E41" s="54" t="s">
        <v>839</v>
      </c>
    </row>
    <row r="42" spans="1:5" ht="36" customHeight="1">
      <c r="A42" s="51" t="s">
        <v>30</v>
      </c>
      <c r="B42" s="52" t="s">
        <v>920</v>
      </c>
      <c r="C42" s="53" t="s">
        <v>921</v>
      </c>
      <c r="D42" s="53" t="s">
        <v>922</v>
      </c>
      <c r="E42" s="54" t="s">
        <v>839</v>
      </c>
    </row>
    <row r="43" spans="1:5" ht="36" customHeight="1">
      <c r="A43" s="51" t="s">
        <v>34</v>
      </c>
      <c r="B43" s="52" t="s">
        <v>836</v>
      </c>
      <c r="C43" s="53" t="s">
        <v>923</v>
      </c>
      <c r="D43" s="53" t="s">
        <v>924</v>
      </c>
      <c r="E43" s="54" t="s">
        <v>839</v>
      </c>
    </row>
    <row r="44" spans="1:5" ht="36" customHeight="1">
      <c r="A44" s="51" t="s">
        <v>38</v>
      </c>
      <c r="B44" s="52" t="s">
        <v>925</v>
      </c>
      <c r="C44" s="53" t="s">
        <v>926</v>
      </c>
      <c r="D44" s="53" t="s">
        <v>927</v>
      </c>
      <c r="E44" s="54" t="s">
        <v>839</v>
      </c>
    </row>
    <row r="45" spans="1:5" ht="36" customHeight="1">
      <c r="A45" s="51" t="s">
        <v>42</v>
      </c>
      <c r="B45" s="52" t="s">
        <v>857</v>
      </c>
      <c r="C45" s="53" t="s">
        <v>928</v>
      </c>
      <c r="D45" s="53" t="s">
        <v>929</v>
      </c>
      <c r="E45" s="54" t="s">
        <v>835</v>
      </c>
    </row>
    <row r="46" spans="1:5" ht="24" customHeight="1">
      <c r="A46" s="50"/>
      <c r="B46" s="1" t="s">
        <v>930</v>
      </c>
      <c r="C46" s="1"/>
      <c r="D46" s="1"/>
      <c r="E46" s="1"/>
    </row>
    <row r="47" spans="1:5" ht="36" customHeight="1">
      <c r="A47" s="51" t="s">
        <v>9</v>
      </c>
      <c r="B47" s="52" t="s">
        <v>832</v>
      </c>
      <c r="C47" s="53" t="s">
        <v>931</v>
      </c>
      <c r="D47" s="53" t="s">
        <v>932</v>
      </c>
      <c r="E47" s="54" t="s">
        <v>835</v>
      </c>
    </row>
    <row r="48" spans="1:5" ht="36" customHeight="1">
      <c r="A48" s="51" t="s">
        <v>15</v>
      </c>
      <c r="B48" s="52" t="s">
        <v>836</v>
      </c>
      <c r="C48" s="53" t="s">
        <v>863</v>
      </c>
      <c r="D48" s="53" t="s">
        <v>864</v>
      </c>
      <c r="E48" s="54" t="s">
        <v>839</v>
      </c>
    </row>
    <row r="49" spans="1:5" ht="36" customHeight="1">
      <c r="A49" s="51" t="s">
        <v>21</v>
      </c>
      <c r="B49" s="52" t="s">
        <v>933</v>
      </c>
      <c r="C49" s="53" t="s">
        <v>934</v>
      </c>
      <c r="D49" s="53" t="s">
        <v>935</v>
      </c>
      <c r="E49" s="54" t="s">
        <v>839</v>
      </c>
    </row>
    <row r="50" spans="1:5" ht="36" customHeight="1">
      <c r="A50" s="51" t="s">
        <v>25</v>
      </c>
      <c r="B50" s="52" t="s">
        <v>936</v>
      </c>
      <c r="C50" s="53" t="s">
        <v>937</v>
      </c>
      <c r="D50" s="53" t="s">
        <v>938</v>
      </c>
      <c r="E50" s="54" t="s">
        <v>839</v>
      </c>
    </row>
    <row r="51" spans="1:5" ht="36" customHeight="1">
      <c r="A51" s="51" t="s">
        <v>30</v>
      </c>
      <c r="B51" s="52" t="s">
        <v>939</v>
      </c>
      <c r="C51" s="53" t="s">
        <v>940</v>
      </c>
      <c r="D51" s="53" t="s">
        <v>941</v>
      </c>
      <c r="E51" s="54" t="s">
        <v>839</v>
      </c>
    </row>
    <row r="52" spans="1:5" ht="36" customHeight="1">
      <c r="A52" s="51" t="s">
        <v>34</v>
      </c>
      <c r="B52" s="52" t="s">
        <v>942</v>
      </c>
      <c r="C52" s="53" t="s">
        <v>943</v>
      </c>
      <c r="D52" s="53" t="s">
        <v>944</v>
      </c>
      <c r="E52" s="54" t="s">
        <v>839</v>
      </c>
    </row>
    <row r="53" spans="1:5" ht="36" customHeight="1">
      <c r="A53" s="51" t="s">
        <v>38</v>
      </c>
      <c r="B53" s="52" t="s">
        <v>181</v>
      </c>
      <c r="C53" s="53" t="s">
        <v>926</v>
      </c>
      <c r="D53" s="53" t="s">
        <v>927</v>
      </c>
      <c r="E53" s="54" t="s">
        <v>839</v>
      </c>
    </row>
    <row r="54" spans="1:5" ht="36" customHeight="1">
      <c r="A54" s="51" t="s">
        <v>42</v>
      </c>
      <c r="B54" s="52" t="s">
        <v>857</v>
      </c>
      <c r="C54" s="53" t="s">
        <v>945</v>
      </c>
      <c r="D54" s="53" t="s">
        <v>946</v>
      </c>
      <c r="E54" s="54" t="s">
        <v>835</v>
      </c>
    </row>
    <row r="55" spans="1:5" ht="24" customHeight="1">
      <c r="A55" s="50"/>
      <c r="B55" s="1" t="s">
        <v>947</v>
      </c>
      <c r="C55" s="1"/>
      <c r="D55" s="1"/>
      <c r="E55" s="1"/>
    </row>
    <row r="56" spans="1:5" ht="36" customHeight="1">
      <c r="A56" s="51" t="s">
        <v>9</v>
      </c>
      <c r="B56" s="52" t="s">
        <v>832</v>
      </c>
      <c r="C56" s="53" t="s">
        <v>948</v>
      </c>
      <c r="D56" s="53" t="s">
        <v>949</v>
      </c>
      <c r="E56" s="54" t="s">
        <v>835</v>
      </c>
    </row>
    <row r="57" spans="1:5" ht="36" customHeight="1">
      <c r="A57" s="51" t="s">
        <v>15</v>
      </c>
      <c r="B57" s="52" t="s">
        <v>836</v>
      </c>
      <c r="C57" s="53" t="s">
        <v>950</v>
      </c>
      <c r="D57" s="53" t="s">
        <v>951</v>
      </c>
      <c r="E57" s="54" t="s">
        <v>839</v>
      </c>
    </row>
    <row r="58" spans="1:5" ht="36" customHeight="1">
      <c r="A58" s="51" t="s">
        <v>21</v>
      </c>
      <c r="B58" s="52" t="s">
        <v>840</v>
      </c>
      <c r="C58" s="53" t="s">
        <v>952</v>
      </c>
      <c r="D58" s="53" t="s">
        <v>953</v>
      </c>
      <c r="E58" s="54" t="s">
        <v>839</v>
      </c>
    </row>
    <row r="59" spans="1:5" ht="36" customHeight="1">
      <c r="A59" s="51" t="s">
        <v>25</v>
      </c>
      <c r="B59" s="52" t="s">
        <v>954</v>
      </c>
      <c r="C59" s="53" t="s">
        <v>955</v>
      </c>
      <c r="D59" s="53" t="s">
        <v>956</v>
      </c>
      <c r="E59" s="54" t="s">
        <v>839</v>
      </c>
    </row>
    <row r="60" spans="1:5" ht="36" customHeight="1">
      <c r="A60" s="51" t="s">
        <v>30</v>
      </c>
      <c r="B60" s="52" t="s">
        <v>846</v>
      </c>
      <c r="C60" s="53" t="s">
        <v>957</v>
      </c>
      <c r="D60" s="53" t="s">
        <v>958</v>
      </c>
      <c r="E60" s="54" t="s">
        <v>839</v>
      </c>
    </row>
    <row r="61" spans="1:5" ht="36" customHeight="1">
      <c r="A61" s="51" t="s">
        <v>34</v>
      </c>
      <c r="B61" s="52" t="s">
        <v>849</v>
      </c>
      <c r="C61" s="53" t="s">
        <v>959</v>
      </c>
      <c r="D61" s="53" t="s">
        <v>960</v>
      </c>
      <c r="E61" s="54" t="s">
        <v>839</v>
      </c>
    </row>
    <row r="62" spans="1:5" ht="36" customHeight="1">
      <c r="A62" s="51" t="s">
        <v>38</v>
      </c>
      <c r="B62" s="52" t="s">
        <v>181</v>
      </c>
      <c r="C62" s="53" t="s">
        <v>961</v>
      </c>
      <c r="D62" s="53" t="s">
        <v>962</v>
      </c>
      <c r="E62" s="54" t="s">
        <v>839</v>
      </c>
    </row>
    <row r="63" spans="1:5" ht="36" customHeight="1">
      <c r="A63" s="51" t="s">
        <v>42</v>
      </c>
      <c r="B63" s="52" t="s">
        <v>857</v>
      </c>
      <c r="C63" s="53" t="s">
        <v>963</v>
      </c>
      <c r="D63" s="53" t="s">
        <v>964</v>
      </c>
      <c r="E63" s="54" t="s">
        <v>835</v>
      </c>
    </row>
  </sheetData>
  <mergeCells count="8">
    <mergeCell ref="B37:E37"/>
    <mergeCell ref="B46:E46"/>
    <mergeCell ref="B55:E55"/>
    <mergeCell ref="A1:E2"/>
    <mergeCell ref="A3:E3"/>
    <mergeCell ref="B6:E6"/>
    <mergeCell ref="B16:E16"/>
    <mergeCell ref="B27:E27"/>
  </mergeCells>
  <printOptions horizontalCentered="1"/>
  <pageMargins left="0.5" right="0.5" top="0.6" bottom="0.6" header="0.511811023622047" footer="0.511811023622047"/>
  <pageSetup paperSize="9" fitToHeight="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E17"/>
  <sheetViews>
    <sheetView topLeftCell="C1" zoomScaleNormal="100" workbookViewId="0">
      <pane ySplit="5" topLeftCell="C6" activePane="bottomLeft" state="frozen"/>
      <selection pane="bottomLeft"/>
    </sheetView>
  </sheetViews>
  <sheetFormatPr defaultColWidth="8.7421875" defaultRowHeight="15"/>
  <cols>
    <col min="1" max="1" width="4.03515625" customWidth="1"/>
    <col min="2" max="2" width="22.05859375" customWidth="1"/>
    <col min="3" max="3" width="18.0234375" customWidth="1"/>
    <col min="4" max="5" width="59.99609375" customWidth="1"/>
  </cols>
  <sheetData>
    <row r="1" spans="1:5" ht="15" customHeight="1">
      <c r="A1" s="8" t="s">
        <v>965</v>
      </c>
      <c r="B1" s="8"/>
      <c r="C1" s="8"/>
      <c r="D1" s="8"/>
      <c r="E1" s="8"/>
    </row>
    <row r="2" spans="1:5">
      <c r="A2" s="8"/>
      <c r="B2" s="8"/>
      <c r="C2" s="8"/>
      <c r="D2" s="8"/>
      <c r="E2" s="8"/>
    </row>
    <row r="3" spans="1:5" ht="15" customHeight="1">
      <c r="A3" s="11" t="s">
        <v>966</v>
      </c>
      <c r="B3" s="11"/>
      <c r="C3" s="11"/>
      <c r="D3" s="11"/>
      <c r="E3" s="11"/>
    </row>
    <row r="5" spans="1:5" ht="31.5" customHeight="1">
      <c r="A5" s="13" t="s">
        <v>3</v>
      </c>
      <c r="B5" s="13" t="s">
        <v>967</v>
      </c>
      <c r="C5" s="13" t="s">
        <v>8</v>
      </c>
      <c r="D5" s="13" t="s">
        <v>968</v>
      </c>
      <c r="E5" s="13" t="s">
        <v>6</v>
      </c>
    </row>
    <row r="6" spans="1:5" ht="51.75" customHeight="1">
      <c r="A6" s="53">
        <v>1</v>
      </c>
      <c r="B6" s="52" t="s">
        <v>969</v>
      </c>
      <c r="C6" s="55" t="s">
        <v>79</v>
      </c>
      <c r="D6" s="53" t="s">
        <v>970</v>
      </c>
      <c r="E6" s="53" t="s">
        <v>971</v>
      </c>
    </row>
    <row r="7" spans="1:5" ht="51.75" customHeight="1">
      <c r="A7" s="53">
        <v>2</v>
      </c>
      <c r="B7" s="52" t="s">
        <v>972</v>
      </c>
      <c r="C7" s="55" t="s">
        <v>79</v>
      </c>
      <c r="D7" s="53" t="s">
        <v>973</v>
      </c>
      <c r="E7" s="53" t="s">
        <v>974</v>
      </c>
    </row>
    <row r="8" spans="1:5" ht="51.75" customHeight="1">
      <c r="A8" s="53">
        <v>3</v>
      </c>
      <c r="B8" s="52" t="s">
        <v>975</v>
      </c>
      <c r="C8" s="55" t="s">
        <v>79</v>
      </c>
      <c r="D8" s="53" t="s">
        <v>976</v>
      </c>
      <c r="E8" s="53" t="s">
        <v>977</v>
      </c>
    </row>
    <row r="9" spans="1:5" ht="51.75" customHeight="1">
      <c r="A9" s="53">
        <v>4</v>
      </c>
      <c r="B9" s="52" t="s">
        <v>978</v>
      </c>
      <c r="C9" s="55" t="s">
        <v>79</v>
      </c>
      <c r="D9" s="53" t="s">
        <v>979</v>
      </c>
      <c r="E9" s="53" t="s">
        <v>980</v>
      </c>
    </row>
    <row r="10" spans="1:5" ht="51.75" customHeight="1">
      <c r="A10" s="53">
        <v>5</v>
      </c>
      <c r="B10" s="52" t="s">
        <v>981</v>
      </c>
      <c r="C10" s="55" t="s">
        <v>79</v>
      </c>
      <c r="D10" s="53" t="s">
        <v>982</v>
      </c>
      <c r="E10" s="53" t="s">
        <v>983</v>
      </c>
    </row>
    <row r="11" spans="1:5" ht="51.75" customHeight="1">
      <c r="A11" s="53">
        <v>6</v>
      </c>
      <c r="B11" s="52" t="s">
        <v>984</v>
      </c>
      <c r="C11" s="55" t="s">
        <v>79</v>
      </c>
      <c r="D11" s="53" t="s">
        <v>985</v>
      </c>
      <c r="E11" s="53" t="s">
        <v>986</v>
      </c>
    </row>
    <row r="12" spans="1:5" ht="51.75" customHeight="1">
      <c r="A12" s="53">
        <v>7</v>
      </c>
      <c r="B12" s="52" t="s">
        <v>987</v>
      </c>
      <c r="C12" s="55" t="s">
        <v>181</v>
      </c>
      <c r="D12" s="53" t="s">
        <v>988</v>
      </c>
      <c r="E12" s="53" t="s">
        <v>989</v>
      </c>
    </row>
    <row r="13" spans="1:5" ht="51.75" customHeight="1">
      <c r="A13" s="53">
        <v>8</v>
      </c>
      <c r="B13" s="52" t="s">
        <v>990</v>
      </c>
      <c r="C13" s="55" t="s">
        <v>181</v>
      </c>
      <c r="D13" s="53" t="s">
        <v>991</v>
      </c>
      <c r="E13" s="53" t="s">
        <v>992</v>
      </c>
    </row>
    <row r="14" spans="1:5" ht="51.75" customHeight="1">
      <c r="A14" s="53">
        <v>9</v>
      </c>
      <c r="B14" s="52" t="s">
        <v>993</v>
      </c>
      <c r="C14" s="55" t="s">
        <v>181</v>
      </c>
      <c r="D14" s="53" t="s">
        <v>994</v>
      </c>
      <c r="E14" s="53" t="s">
        <v>995</v>
      </c>
    </row>
    <row r="15" spans="1:5" ht="51.75" customHeight="1">
      <c r="A15" s="53">
        <v>10</v>
      </c>
      <c r="B15" s="52" t="s">
        <v>996</v>
      </c>
      <c r="C15" s="55" t="s">
        <v>181</v>
      </c>
      <c r="D15" s="53" t="s">
        <v>997</v>
      </c>
      <c r="E15" s="53" t="s">
        <v>998</v>
      </c>
    </row>
    <row r="16" spans="1:5" ht="51.75" customHeight="1">
      <c r="A16" s="53">
        <v>11</v>
      </c>
      <c r="B16" s="52" t="s">
        <v>999</v>
      </c>
      <c r="C16" s="55" t="s">
        <v>79</v>
      </c>
      <c r="D16" s="53" t="s">
        <v>1000</v>
      </c>
      <c r="E16" s="53" t="s">
        <v>1001</v>
      </c>
    </row>
    <row r="17" spans="1:5" ht="51.75" customHeight="1">
      <c r="A17" s="53">
        <v>12</v>
      </c>
      <c r="B17" s="52" t="s">
        <v>1002</v>
      </c>
      <c r="C17" s="55" t="s">
        <v>73</v>
      </c>
      <c r="D17" s="53" t="s">
        <v>1003</v>
      </c>
      <c r="E17" s="53" t="s">
        <v>1004</v>
      </c>
    </row>
  </sheetData>
  <mergeCells count="2">
    <mergeCell ref="A1:E2"/>
    <mergeCell ref="A3:E3"/>
  </mergeCells>
  <printOptions horizontalCentered="1"/>
  <pageMargins left="0.5" right="0.5" top="0.6" bottom="0.6" header="0.511811023622047" footer="0.511811023622047"/>
  <pageSetup paperSize="9" fitToHeight="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205"/>
  <sheetViews>
    <sheetView zoomScaleNormal="100" workbookViewId="0">
      <pane ySplit="5" topLeftCell="A6" activePane="bottomLeft" state="frozen"/>
      <selection pane="bottomLeft"/>
    </sheetView>
  </sheetViews>
  <sheetFormatPr defaultColWidth="8.7421875" defaultRowHeight="15"/>
  <cols>
    <col min="1" max="1" width="4.03515625" customWidth="1"/>
    <col min="2" max="2" width="20.04296875" customWidth="1"/>
    <col min="3" max="4" width="13.98828125" customWidth="1"/>
    <col min="5" max="5" width="20.04296875" customWidth="1"/>
    <col min="6" max="7" width="16.0078125" customWidth="1"/>
    <col min="8" max="8" width="27.98046875" customWidth="1"/>
    <col min="9" max="9" width="18.0234375" customWidth="1"/>
    <col min="10" max="10" width="16.0078125" customWidth="1"/>
  </cols>
  <sheetData>
    <row r="1" spans="1:10" ht="15" customHeight="1">
      <c r="A1" s="8" t="s">
        <v>1005</v>
      </c>
      <c r="B1" s="8"/>
      <c r="C1" s="8"/>
      <c r="D1" s="8"/>
      <c r="E1" s="8"/>
      <c r="F1" s="8"/>
      <c r="G1" s="8"/>
      <c r="H1" s="8"/>
      <c r="I1" s="8"/>
      <c r="J1" s="8"/>
    </row>
    <row r="2" spans="1:10">
      <c r="A2" s="8"/>
      <c r="B2" s="8"/>
      <c r="C2" s="8"/>
      <c r="D2" s="8"/>
      <c r="E2" s="8"/>
      <c r="F2" s="8"/>
      <c r="G2" s="8"/>
      <c r="H2" s="8"/>
      <c r="I2" s="8"/>
      <c r="J2" s="8"/>
    </row>
    <row r="3" spans="1:10" ht="15" customHeight="1">
      <c r="A3" s="11" t="s">
        <v>1006</v>
      </c>
      <c r="B3" s="11"/>
      <c r="C3" s="11"/>
      <c r="D3" s="11"/>
      <c r="E3" s="11"/>
      <c r="F3" s="11"/>
      <c r="G3" s="11"/>
      <c r="H3" s="11"/>
      <c r="I3" s="11"/>
      <c r="J3" s="11"/>
    </row>
    <row r="5" spans="1:10" ht="31.5" customHeight="1">
      <c r="A5" s="13" t="s">
        <v>3</v>
      </c>
      <c r="B5" s="13" t="s">
        <v>1007</v>
      </c>
      <c r="C5" s="13" t="s">
        <v>1008</v>
      </c>
      <c r="D5" s="13" t="s">
        <v>8</v>
      </c>
      <c r="E5" s="13" t="s">
        <v>1009</v>
      </c>
      <c r="F5" s="13" t="s">
        <v>836</v>
      </c>
      <c r="G5" s="13" t="s">
        <v>1010</v>
      </c>
      <c r="H5" s="13" t="s">
        <v>1011</v>
      </c>
      <c r="I5" s="13" t="s">
        <v>1012</v>
      </c>
      <c r="J5" s="13" t="s">
        <v>1013</v>
      </c>
    </row>
    <row r="6" spans="1:10" ht="24.75">
      <c r="A6" s="56">
        <v>1</v>
      </c>
      <c r="B6" s="57" t="s">
        <v>1014</v>
      </c>
      <c r="C6" s="57" t="s">
        <v>16</v>
      </c>
      <c r="D6" s="57" t="s">
        <v>29</v>
      </c>
      <c r="E6" s="57" t="s">
        <v>1015</v>
      </c>
      <c r="F6" s="57" t="s">
        <v>1016</v>
      </c>
      <c r="G6" s="57" t="s">
        <v>1017</v>
      </c>
      <c r="H6" s="57" t="s">
        <v>1018</v>
      </c>
      <c r="I6" s="57" t="s">
        <v>142</v>
      </c>
      <c r="J6" s="57" t="s">
        <v>1019</v>
      </c>
    </row>
    <row r="7" spans="1:10" ht="24.75">
      <c r="A7" s="56">
        <v>2</v>
      </c>
      <c r="B7" s="57" t="s">
        <v>1020</v>
      </c>
      <c r="C7" s="57" t="s">
        <v>22</v>
      </c>
      <c r="D7" s="57" t="s">
        <v>147</v>
      </c>
      <c r="E7" s="57" t="s">
        <v>1021</v>
      </c>
      <c r="F7" s="57" t="s">
        <v>1016</v>
      </c>
      <c r="G7" s="57" t="s">
        <v>1022</v>
      </c>
      <c r="H7" s="57" t="s">
        <v>1023</v>
      </c>
      <c r="I7" s="57" t="s">
        <v>142</v>
      </c>
      <c r="J7" s="57" t="s">
        <v>1019</v>
      </c>
    </row>
    <row r="8" spans="1:10" ht="24.75">
      <c r="A8" s="56">
        <v>3</v>
      </c>
      <c r="B8" s="57" t="s">
        <v>1024</v>
      </c>
      <c r="C8" s="57" t="s">
        <v>31</v>
      </c>
      <c r="D8" s="57" t="s">
        <v>159</v>
      </c>
      <c r="E8" s="57" t="s">
        <v>1025</v>
      </c>
      <c r="F8" s="57" t="s">
        <v>1016</v>
      </c>
      <c r="G8" s="57" t="s">
        <v>1017</v>
      </c>
      <c r="H8" s="57" t="s">
        <v>1026</v>
      </c>
      <c r="I8" s="57" t="s">
        <v>148</v>
      </c>
      <c r="J8" s="57" t="s">
        <v>1027</v>
      </c>
    </row>
    <row r="9" spans="1:10">
      <c r="A9" s="56"/>
      <c r="B9" s="57"/>
      <c r="C9" s="57"/>
      <c r="D9" s="57"/>
      <c r="E9" s="57"/>
      <c r="F9" s="57"/>
      <c r="G9" s="57"/>
      <c r="H9" s="57"/>
      <c r="I9" s="57"/>
      <c r="J9" s="57"/>
    </row>
    <row r="10" spans="1:10">
      <c r="A10" s="56"/>
      <c r="B10" s="57"/>
      <c r="C10" s="57"/>
      <c r="D10" s="57"/>
      <c r="E10" s="57"/>
      <c r="F10" s="57"/>
      <c r="G10" s="57"/>
      <c r="H10" s="57"/>
      <c r="I10" s="57"/>
      <c r="J10" s="57"/>
    </row>
    <row r="11" spans="1:10">
      <c r="A11" s="56"/>
      <c r="B11" s="57"/>
      <c r="C11" s="57"/>
      <c r="D11" s="57"/>
      <c r="E11" s="57"/>
      <c r="F11" s="57"/>
      <c r="G11" s="57"/>
      <c r="H11" s="57"/>
      <c r="I11" s="57"/>
      <c r="J11" s="57"/>
    </row>
    <row r="12" spans="1:10">
      <c r="A12" s="56"/>
      <c r="B12" s="57"/>
      <c r="C12" s="57"/>
      <c r="D12" s="57"/>
      <c r="E12" s="57"/>
      <c r="F12" s="57"/>
      <c r="G12" s="57"/>
      <c r="H12" s="57"/>
      <c r="I12" s="57"/>
      <c r="J12" s="57"/>
    </row>
    <row r="13" spans="1:10">
      <c r="A13" s="56"/>
      <c r="B13" s="57"/>
      <c r="C13" s="57"/>
      <c r="D13" s="57"/>
      <c r="E13" s="57"/>
      <c r="F13" s="57"/>
      <c r="G13" s="57"/>
      <c r="H13" s="57"/>
      <c r="I13" s="57"/>
      <c r="J13" s="57"/>
    </row>
    <row r="14" spans="1:10">
      <c r="A14" s="56"/>
      <c r="B14" s="57"/>
      <c r="C14" s="57"/>
      <c r="D14" s="57"/>
      <c r="E14" s="57"/>
      <c r="F14" s="57"/>
      <c r="G14" s="57"/>
      <c r="H14" s="57"/>
      <c r="I14" s="57"/>
      <c r="J14" s="57"/>
    </row>
    <row r="15" spans="1:10">
      <c r="A15" s="56"/>
      <c r="B15" s="57"/>
      <c r="C15" s="57"/>
      <c r="D15" s="57"/>
      <c r="E15" s="57"/>
      <c r="F15" s="57"/>
      <c r="G15" s="57"/>
      <c r="H15" s="57"/>
      <c r="I15" s="57"/>
      <c r="J15" s="57"/>
    </row>
    <row r="16" spans="1:10">
      <c r="A16" s="56"/>
      <c r="B16" s="57"/>
      <c r="C16" s="57"/>
      <c r="D16" s="57"/>
      <c r="E16" s="57"/>
      <c r="F16" s="57"/>
      <c r="G16" s="57"/>
      <c r="H16" s="57"/>
      <c r="I16" s="57"/>
      <c r="J16" s="57"/>
    </row>
    <row r="17" spans="1:10">
      <c r="A17" s="56"/>
      <c r="B17" s="57"/>
      <c r="C17" s="57"/>
      <c r="D17" s="57"/>
      <c r="E17" s="57"/>
      <c r="F17" s="57"/>
      <c r="G17" s="57"/>
      <c r="H17" s="57"/>
      <c r="I17" s="57"/>
      <c r="J17" s="57"/>
    </row>
    <row r="18" spans="1:10">
      <c r="A18" s="56"/>
      <c r="B18" s="57"/>
      <c r="C18" s="57"/>
      <c r="D18" s="57"/>
      <c r="E18" s="57"/>
      <c r="F18" s="57"/>
      <c r="G18" s="57"/>
      <c r="H18" s="57"/>
      <c r="I18" s="57"/>
      <c r="J18" s="57"/>
    </row>
    <row r="19" spans="1:10">
      <c r="A19" s="56"/>
      <c r="B19" s="57"/>
      <c r="C19" s="57"/>
      <c r="D19" s="57"/>
      <c r="E19" s="57"/>
      <c r="F19" s="57"/>
      <c r="G19" s="57"/>
      <c r="H19" s="57"/>
      <c r="I19" s="57"/>
      <c r="J19" s="57"/>
    </row>
    <row r="20" spans="1:10">
      <c r="A20" s="56"/>
      <c r="B20" s="57"/>
      <c r="C20" s="57"/>
      <c r="D20" s="57"/>
      <c r="E20" s="57"/>
      <c r="F20" s="57"/>
      <c r="G20" s="57"/>
      <c r="H20" s="57"/>
      <c r="I20" s="57"/>
      <c r="J20" s="57"/>
    </row>
    <row r="21" spans="1:10">
      <c r="A21" s="56"/>
      <c r="B21" s="57"/>
      <c r="C21" s="57"/>
      <c r="D21" s="57"/>
      <c r="E21" s="57"/>
      <c r="F21" s="57"/>
      <c r="G21" s="57"/>
      <c r="H21" s="57"/>
      <c r="I21" s="57"/>
      <c r="J21" s="57"/>
    </row>
    <row r="22" spans="1:10">
      <c r="A22" s="56"/>
      <c r="B22" s="57"/>
      <c r="C22" s="57"/>
      <c r="D22" s="57"/>
      <c r="E22" s="57"/>
      <c r="F22" s="57"/>
      <c r="G22" s="57"/>
      <c r="H22" s="57"/>
      <c r="I22" s="57"/>
      <c r="J22" s="57"/>
    </row>
    <row r="23" spans="1:10">
      <c r="A23" s="56"/>
      <c r="B23" s="57"/>
      <c r="C23" s="57"/>
      <c r="D23" s="57"/>
      <c r="E23" s="57"/>
      <c r="F23" s="57"/>
      <c r="G23" s="57"/>
      <c r="H23" s="57"/>
      <c r="I23" s="57"/>
      <c r="J23" s="57"/>
    </row>
    <row r="24" spans="1:10">
      <c r="A24" s="56"/>
      <c r="B24" s="57"/>
      <c r="C24" s="57"/>
      <c r="D24" s="57"/>
      <c r="E24" s="57"/>
      <c r="F24" s="57"/>
      <c r="G24" s="57"/>
      <c r="H24" s="57"/>
      <c r="I24" s="57"/>
      <c r="J24" s="57"/>
    </row>
    <row r="25" spans="1:10">
      <c r="A25" s="56"/>
      <c r="B25" s="57"/>
      <c r="C25" s="57"/>
      <c r="D25" s="57"/>
      <c r="E25" s="57"/>
      <c r="F25" s="57"/>
      <c r="G25" s="57"/>
      <c r="H25" s="57"/>
      <c r="I25" s="57"/>
      <c r="J25" s="57"/>
    </row>
    <row r="26" spans="1:10">
      <c r="A26" s="56"/>
      <c r="B26" s="57"/>
      <c r="C26" s="57"/>
      <c r="D26" s="57"/>
      <c r="E26" s="57"/>
      <c r="F26" s="57"/>
      <c r="G26" s="57"/>
      <c r="H26" s="57"/>
      <c r="I26" s="57"/>
      <c r="J26" s="57"/>
    </row>
    <row r="27" spans="1:10">
      <c r="A27" s="56"/>
      <c r="B27" s="57"/>
      <c r="C27" s="57"/>
      <c r="D27" s="57"/>
      <c r="E27" s="57"/>
      <c r="F27" s="57"/>
      <c r="G27" s="57"/>
      <c r="H27" s="57"/>
      <c r="I27" s="57"/>
      <c r="J27" s="57"/>
    </row>
    <row r="28" spans="1:10">
      <c r="A28" s="56"/>
      <c r="B28" s="57"/>
      <c r="C28" s="57"/>
      <c r="D28" s="57"/>
      <c r="E28" s="57"/>
      <c r="F28" s="57"/>
      <c r="G28" s="57"/>
      <c r="H28" s="57"/>
      <c r="I28" s="57"/>
      <c r="J28" s="57"/>
    </row>
    <row r="29" spans="1:10">
      <c r="A29" s="56"/>
      <c r="B29" s="57"/>
      <c r="C29" s="57"/>
      <c r="D29" s="57"/>
      <c r="E29" s="57"/>
      <c r="F29" s="57"/>
      <c r="G29" s="57"/>
      <c r="H29" s="57"/>
      <c r="I29" s="57"/>
      <c r="J29" s="57"/>
    </row>
    <row r="30" spans="1:10">
      <c r="A30" s="56"/>
      <c r="B30" s="57"/>
      <c r="C30" s="57"/>
      <c r="D30" s="57"/>
      <c r="E30" s="57"/>
      <c r="F30" s="57"/>
      <c r="G30" s="57"/>
      <c r="H30" s="57"/>
      <c r="I30" s="57"/>
      <c r="J30" s="57"/>
    </row>
    <row r="31" spans="1:10">
      <c r="A31" s="56"/>
      <c r="B31" s="57"/>
      <c r="C31" s="57"/>
      <c r="D31" s="57"/>
      <c r="E31" s="57"/>
      <c r="F31" s="57"/>
      <c r="G31" s="57"/>
      <c r="H31" s="57"/>
      <c r="I31" s="57"/>
      <c r="J31" s="57"/>
    </row>
    <row r="32" spans="1:10">
      <c r="A32" s="56"/>
      <c r="B32" s="57"/>
      <c r="C32" s="57"/>
      <c r="D32" s="57"/>
      <c r="E32" s="57"/>
      <c r="F32" s="57"/>
      <c r="G32" s="57"/>
      <c r="H32" s="57"/>
      <c r="I32" s="57"/>
      <c r="J32" s="57"/>
    </row>
    <row r="33" spans="1:10">
      <c r="A33" s="56"/>
      <c r="B33" s="57"/>
      <c r="C33" s="57"/>
      <c r="D33" s="57"/>
      <c r="E33" s="57"/>
      <c r="F33" s="57"/>
      <c r="G33" s="57"/>
      <c r="H33" s="57"/>
      <c r="I33" s="57"/>
      <c r="J33" s="57"/>
    </row>
    <row r="34" spans="1:10">
      <c r="A34" s="56"/>
      <c r="B34" s="57"/>
      <c r="C34" s="57"/>
      <c r="D34" s="57"/>
      <c r="E34" s="57"/>
      <c r="F34" s="57"/>
      <c r="G34" s="57"/>
      <c r="H34" s="57"/>
      <c r="I34" s="57"/>
      <c r="J34" s="57"/>
    </row>
    <row r="35" spans="1:10">
      <c r="A35" s="56"/>
      <c r="B35" s="57"/>
      <c r="C35" s="57"/>
      <c r="D35" s="57"/>
      <c r="E35" s="57"/>
      <c r="F35" s="57"/>
      <c r="G35" s="57"/>
      <c r="H35" s="57"/>
      <c r="I35" s="57"/>
      <c r="J35" s="57"/>
    </row>
    <row r="36" spans="1:10">
      <c r="A36" s="56"/>
      <c r="B36" s="57"/>
      <c r="C36" s="57"/>
      <c r="D36" s="57"/>
      <c r="E36" s="57"/>
      <c r="F36" s="57"/>
      <c r="G36" s="57"/>
      <c r="H36" s="57"/>
      <c r="I36" s="57"/>
      <c r="J36" s="57"/>
    </row>
    <row r="37" spans="1:10">
      <c r="A37" s="56"/>
      <c r="B37" s="57"/>
      <c r="C37" s="57"/>
      <c r="D37" s="57"/>
      <c r="E37" s="57"/>
      <c r="F37" s="57"/>
      <c r="G37" s="57"/>
      <c r="H37" s="57"/>
      <c r="I37" s="57"/>
      <c r="J37" s="57"/>
    </row>
    <row r="38" spans="1:10">
      <c r="A38" s="56"/>
      <c r="B38" s="57"/>
      <c r="C38" s="57"/>
      <c r="D38" s="57"/>
      <c r="E38" s="57"/>
      <c r="F38" s="57"/>
      <c r="G38" s="57"/>
      <c r="H38" s="57"/>
      <c r="I38" s="57"/>
      <c r="J38" s="57"/>
    </row>
    <row r="39" spans="1:10">
      <c r="A39" s="56"/>
      <c r="B39" s="57"/>
      <c r="C39" s="57"/>
      <c r="D39" s="57"/>
      <c r="E39" s="57"/>
      <c r="F39" s="57"/>
      <c r="G39" s="57"/>
      <c r="H39" s="57"/>
      <c r="I39" s="57"/>
      <c r="J39" s="57"/>
    </row>
    <row r="40" spans="1:10">
      <c r="A40" s="56"/>
      <c r="B40" s="57"/>
      <c r="C40" s="57"/>
      <c r="D40" s="57"/>
      <c r="E40" s="57"/>
      <c r="F40" s="57"/>
      <c r="G40" s="57"/>
      <c r="H40" s="57"/>
      <c r="I40" s="57"/>
      <c r="J40" s="57"/>
    </row>
    <row r="41" spans="1:10">
      <c r="A41" s="56"/>
      <c r="B41" s="57"/>
      <c r="C41" s="57"/>
      <c r="D41" s="57"/>
      <c r="E41" s="57"/>
      <c r="F41" s="57"/>
      <c r="G41" s="57"/>
      <c r="H41" s="57"/>
      <c r="I41" s="57"/>
      <c r="J41" s="57"/>
    </row>
    <row r="42" spans="1:10">
      <c r="A42" s="56"/>
      <c r="B42" s="57"/>
      <c r="C42" s="57"/>
      <c r="D42" s="57"/>
      <c r="E42" s="57"/>
      <c r="F42" s="57"/>
      <c r="G42" s="57"/>
      <c r="H42" s="57"/>
      <c r="I42" s="57"/>
      <c r="J42" s="57"/>
    </row>
    <row r="43" spans="1:10">
      <c r="A43" s="56"/>
      <c r="B43" s="57"/>
      <c r="C43" s="57"/>
      <c r="D43" s="57"/>
      <c r="E43" s="57"/>
      <c r="F43" s="57"/>
      <c r="G43" s="57"/>
      <c r="H43" s="57"/>
      <c r="I43" s="57"/>
      <c r="J43" s="57"/>
    </row>
    <row r="44" spans="1:10">
      <c r="A44" s="56"/>
      <c r="B44" s="57"/>
      <c r="C44" s="57"/>
      <c r="D44" s="57"/>
      <c r="E44" s="57"/>
      <c r="F44" s="57"/>
      <c r="G44" s="57"/>
      <c r="H44" s="57"/>
      <c r="I44" s="57"/>
      <c r="J44" s="57"/>
    </row>
    <row r="45" spans="1:10">
      <c r="A45" s="56"/>
      <c r="B45" s="57"/>
      <c r="C45" s="57"/>
      <c r="D45" s="57"/>
      <c r="E45" s="57"/>
      <c r="F45" s="57"/>
      <c r="G45" s="57"/>
      <c r="H45" s="57"/>
      <c r="I45" s="57"/>
      <c r="J45" s="57"/>
    </row>
    <row r="46" spans="1:10">
      <c r="A46" s="56"/>
      <c r="B46" s="57"/>
      <c r="C46" s="57"/>
      <c r="D46" s="57"/>
      <c r="E46" s="57"/>
      <c r="F46" s="57"/>
      <c r="G46" s="57"/>
      <c r="H46" s="57"/>
      <c r="I46" s="57"/>
      <c r="J46" s="57"/>
    </row>
    <row r="47" spans="1:10">
      <c r="A47" s="56"/>
      <c r="B47" s="57"/>
      <c r="C47" s="57"/>
      <c r="D47" s="57"/>
      <c r="E47" s="57"/>
      <c r="F47" s="57"/>
      <c r="G47" s="57"/>
      <c r="H47" s="57"/>
      <c r="I47" s="57"/>
      <c r="J47" s="57"/>
    </row>
    <row r="48" spans="1:10">
      <c r="A48" s="56"/>
      <c r="B48" s="57"/>
      <c r="C48" s="57"/>
      <c r="D48" s="57"/>
      <c r="E48" s="57"/>
      <c r="F48" s="57"/>
      <c r="G48" s="57"/>
      <c r="H48" s="57"/>
      <c r="I48" s="57"/>
      <c r="J48" s="57"/>
    </row>
    <row r="49" spans="1:10">
      <c r="A49" s="56"/>
      <c r="B49" s="57"/>
      <c r="C49" s="57"/>
      <c r="D49" s="57"/>
      <c r="E49" s="57"/>
      <c r="F49" s="57"/>
      <c r="G49" s="57"/>
      <c r="H49" s="57"/>
      <c r="I49" s="57"/>
      <c r="J49" s="57"/>
    </row>
    <row r="50" spans="1:10">
      <c r="A50" s="56"/>
      <c r="B50" s="57"/>
      <c r="C50" s="57"/>
      <c r="D50" s="57"/>
      <c r="E50" s="57"/>
      <c r="F50" s="57"/>
      <c r="G50" s="57"/>
      <c r="H50" s="57"/>
      <c r="I50" s="57"/>
      <c r="J50" s="57"/>
    </row>
    <row r="51" spans="1:10">
      <c r="A51" s="56"/>
      <c r="B51" s="57"/>
      <c r="C51" s="57"/>
      <c r="D51" s="57"/>
      <c r="E51" s="57"/>
      <c r="F51" s="57"/>
      <c r="G51" s="57"/>
      <c r="H51" s="57"/>
      <c r="I51" s="57"/>
      <c r="J51" s="57"/>
    </row>
    <row r="52" spans="1:10">
      <c r="A52" s="56"/>
      <c r="B52" s="57"/>
      <c r="C52" s="57"/>
      <c r="D52" s="57"/>
      <c r="E52" s="57"/>
      <c r="F52" s="57"/>
      <c r="G52" s="57"/>
      <c r="H52" s="57"/>
      <c r="I52" s="57"/>
      <c r="J52" s="57"/>
    </row>
    <row r="53" spans="1:10">
      <c r="A53" s="56"/>
      <c r="B53" s="57"/>
      <c r="C53" s="57"/>
      <c r="D53" s="57"/>
      <c r="E53" s="57"/>
      <c r="F53" s="57"/>
      <c r="G53" s="57"/>
      <c r="H53" s="57"/>
      <c r="I53" s="57"/>
      <c r="J53" s="57"/>
    </row>
    <row r="54" spans="1:10">
      <c r="A54" s="56"/>
      <c r="B54" s="57"/>
      <c r="C54" s="57"/>
      <c r="D54" s="57"/>
      <c r="E54" s="57"/>
      <c r="F54" s="57"/>
      <c r="G54" s="57"/>
      <c r="H54" s="57"/>
      <c r="I54" s="57"/>
      <c r="J54" s="57"/>
    </row>
    <row r="55" spans="1:10">
      <c r="A55" s="56"/>
      <c r="B55" s="57"/>
      <c r="C55" s="57"/>
      <c r="D55" s="57"/>
      <c r="E55" s="57"/>
      <c r="F55" s="57"/>
      <c r="G55" s="57"/>
      <c r="H55" s="57"/>
      <c r="I55" s="57"/>
      <c r="J55" s="57"/>
    </row>
    <row r="56" spans="1:10">
      <c r="A56" s="56"/>
      <c r="B56" s="57"/>
      <c r="C56" s="57"/>
      <c r="D56" s="57"/>
      <c r="E56" s="57"/>
      <c r="F56" s="57"/>
      <c r="G56" s="57"/>
      <c r="H56" s="57"/>
      <c r="I56" s="57"/>
      <c r="J56" s="57"/>
    </row>
    <row r="57" spans="1:10">
      <c r="A57" s="56"/>
      <c r="B57" s="57"/>
      <c r="C57" s="57"/>
      <c r="D57" s="57"/>
      <c r="E57" s="57"/>
      <c r="F57" s="57"/>
      <c r="G57" s="57"/>
      <c r="H57" s="57"/>
      <c r="I57" s="57"/>
      <c r="J57" s="57"/>
    </row>
    <row r="58" spans="1:10">
      <c r="A58" s="56"/>
      <c r="B58" s="57"/>
      <c r="C58" s="57"/>
      <c r="D58" s="57"/>
      <c r="E58" s="57"/>
      <c r="F58" s="57"/>
      <c r="G58" s="57"/>
      <c r="H58" s="57"/>
      <c r="I58" s="57"/>
      <c r="J58" s="57"/>
    </row>
    <row r="59" spans="1:10">
      <c r="A59" s="56"/>
      <c r="B59" s="57"/>
      <c r="C59" s="57"/>
      <c r="D59" s="57"/>
      <c r="E59" s="57"/>
      <c r="F59" s="57"/>
      <c r="G59" s="57"/>
      <c r="H59" s="57"/>
      <c r="I59" s="57"/>
      <c r="J59" s="57"/>
    </row>
    <row r="60" spans="1:10">
      <c r="A60" s="56"/>
      <c r="B60" s="57"/>
      <c r="C60" s="57"/>
      <c r="D60" s="57"/>
      <c r="E60" s="57"/>
      <c r="F60" s="57"/>
      <c r="G60" s="57"/>
      <c r="H60" s="57"/>
      <c r="I60" s="57"/>
      <c r="J60" s="57"/>
    </row>
    <row r="61" spans="1:10">
      <c r="A61" s="56"/>
      <c r="B61" s="57"/>
      <c r="C61" s="57"/>
      <c r="D61" s="57"/>
      <c r="E61" s="57"/>
      <c r="F61" s="57"/>
      <c r="G61" s="57"/>
      <c r="H61" s="57"/>
      <c r="I61" s="57"/>
      <c r="J61" s="57"/>
    </row>
    <row r="62" spans="1:10">
      <c r="A62" s="56"/>
      <c r="B62" s="57"/>
      <c r="C62" s="57"/>
      <c r="D62" s="57"/>
      <c r="E62" s="57"/>
      <c r="F62" s="57"/>
      <c r="G62" s="57"/>
      <c r="H62" s="57"/>
      <c r="I62" s="57"/>
      <c r="J62" s="57"/>
    </row>
    <row r="63" spans="1:10">
      <c r="A63" s="56"/>
      <c r="B63" s="57"/>
      <c r="C63" s="57"/>
      <c r="D63" s="57"/>
      <c r="E63" s="57"/>
      <c r="F63" s="57"/>
      <c r="G63" s="57"/>
      <c r="H63" s="57"/>
      <c r="I63" s="57"/>
      <c r="J63" s="57"/>
    </row>
    <row r="64" spans="1:10">
      <c r="A64" s="56"/>
      <c r="B64" s="57"/>
      <c r="C64" s="57"/>
      <c r="D64" s="57"/>
      <c r="E64" s="57"/>
      <c r="F64" s="57"/>
      <c r="G64" s="57"/>
      <c r="H64" s="57"/>
      <c r="I64" s="57"/>
      <c r="J64" s="57"/>
    </row>
    <row r="65" spans="1:10">
      <c r="A65" s="56"/>
      <c r="B65" s="57"/>
      <c r="C65" s="57"/>
      <c r="D65" s="57"/>
      <c r="E65" s="57"/>
      <c r="F65" s="57"/>
      <c r="G65" s="57"/>
      <c r="H65" s="57"/>
      <c r="I65" s="57"/>
      <c r="J65" s="57"/>
    </row>
    <row r="66" spans="1:10">
      <c r="A66" s="56"/>
      <c r="B66" s="57"/>
      <c r="C66" s="57"/>
      <c r="D66" s="57"/>
      <c r="E66" s="57"/>
      <c r="F66" s="57"/>
      <c r="G66" s="57"/>
      <c r="H66" s="57"/>
      <c r="I66" s="57"/>
      <c r="J66" s="57"/>
    </row>
    <row r="67" spans="1:10">
      <c r="A67" s="56"/>
      <c r="B67" s="57"/>
      <c r="C67" s="57"/>
      <c r="D67" s="57"/>
      <c r="E67" s="57"/>
      <c r="F67" s="57"/>
      <c r="G67" s="57"/>
      <c r="H67" s="57"/>
      <c r="I67" s="57"/>
      <c r="J67" s="57"/>
    </row>
    <row r="68" spans="1:10">
      <c r="A68" s="56"/>
      <c r="B68" s="57"/>
      <c r="C68" s="57"/>
      <c r="D68" s="57"/>
      <c r="E68" s="57"/>
      <c r="F68" s="57"/>
      <c r="G68" s="57"/>
      <c r="H68" s="57"/>
      <c r="I68" s="57"/>
      <c r="J68" s="57"/>
    </row>
    <row r="69" spans="1:10">
      <c r="A69" s="56"/>
      <c r="B69" s="57"/>
      <c r="C69" s="57"/>
      <c r="D69" s="57"/>
      <c r="E69" s="57"/>
      <c r="F69" s="57"/>
      <c r="G69" s="57"/>
      <c r="H69" s="57"/>
      <c r="I69" s="57"/>
      <c r="J69" s="57"/>
    </row>
    <row r="70" spans="1:10">
      <c r="A70" s="56"/>
      <c r="B70" s="57"/>
      <c r="C70" s="57"/>
      <c r="D70" s="57"/>
      <c r="E70" s="57"/>
      <c r="F70" s="57"/>
      <c r="G70" s="57"/>
      <c r="H70" s="57"/>
      <c r="I70" s="57"/>
      <c r="J70" s="57"/>
    </row>
    <row r="71" spans="1:10">
      <c r="A71" s="56"/>
      <c r="B71" s="57"/>
      <c r="C71" s="57"/>
      <c r="D71" s="57"/>
      <c r="E71" s="57"/>
      <c r="F71" s="57"/>
      <c r="G71" s="57"/>
      <c r="H71" s="57"/>
      <c r="I71" s="57"/>
      <c r="J71" s="57"/>
    </row>
    <row r="72" spans="1:10">
      <c r="A72" s="56"/>
      <c r="B72" s="57"/>
      <c r="C72" s="57"/>
      <c r="D72" s="57"/>
      <c r="E72" s="57"/>
      <c r="F72" s="57"/>
      <c r="G72" s="57"/>
      <c r="H72" s="57"/>
      <c r="I72" s="57"/>
      <c r="J72" s="57"/>
    </row>
    <row r="73" spans="1:10">
      <c r="A73" s="56"/>
      <c r="B73" s="57"/>
      <c r="C73" s="57"/>
      <c r="D73" s="57"/>
      <c r="E73" s="57"/>
      <c r="F73" s="57"/>
      <c r="G73" s="57"/>
      <c r="H73" s="57"/>
      <c r="I73" s="57"/>
      <c r="J73" s="57"/>
    </row>
    <row r="74" spans="1:10">
      <c r="A74" s="56"/>
      <c r="B74" s="57"/>
      <c r="C74" s="57"/>
      <c r="D74" s="57"/>
      <c r="E74" s="57"/>
      <c r="F74" s="57"/>
      <c r="G74" s="57"/>
      <c r="H74" s="57"/>
      <c r="I74" s="57"/>
      <c r="J74" s="57"/>
    </row>
    <row r="75" spans="1:10">
      <c r="A75" s="56"/>
      <c r="B75" s="57"/>
      <c r="C75" s="57"/>
      <c r="D75" s="57"/>
      <c r="E75" s="57"/>
      <c r="F75" s="57"/>
      <c r="G75" s="57"/>
      <c r="H75" s="57"/>
      <c r="I75" s="57"/>
      <c r="J75" s="57"/>
    </row>
    <row r="76" spans="1:10">
      <c r="A76" s="56"/>
      <c r="B76" s="57"/>
      <c r="C76" s="57"/>
      <c r="D76" s="57"/>
      <c r="E76" s="57"/>
      <c r="F76" s="57"/>
      <c r="G76" s="57"/>
      <c r="H76" s="57"/>
      <c r="I76" s="57"/>
      <c r="J76" s="57"/>
    </row>
    <row r="77" spans="1:10">
      <c r="A77" s="56"/>
      <c r="B77" s="57"/>
      <c r="C77" s="57"/>
      <c r="D77" s="57"/>
      <c r="E77" s="57"/>
      <c r="F77" s="57"/>
      <c r="G77" s="57"/>
      <c r="H77" s="57"/>
      <c r="I77" s="57"/>
      <c r="J77" s="57"/>
    </row>
    <row r="78" spans="1:10">
      <c r="A78" s="56"/>
      <c r="B78" s="57"/>
      <c r="C78" s="57"/>
      <c r="D78" s="57"/>
      <c r="E78" s="57"/>
      <c r="F78" s="57"/>
      <c r="G78" s="57"/>
      <c r="H78" s="57"/>
      <c r="I78" s="57"/>
      <c r="J78" s="57"/>
    </row>
    <row r="79" spans="1:10">
      <c r="A79" s="56"/>
      <c r="B79" s="57"/>
      <c r="C79" s="57"/>
      <c r="D79" s="57"/>
      <c r="E79" s="57"/>
      <c r="F79" s="57"/>
      <c r="G79" s="57"/>
      <c r="H79" s="57"/>
      <c r="I79" s="57"/>
      <c r="J79" s="57"/>
    </row>
    <row r="80" spans="1:10">
      <c r="A80" s="56"/>
      <c r="B80" s="57"/>
      <c r="C80" s="57"/>
      <c r="D80" s="57"/>
      <c r="E80" s="57"/>
      <c r="F80" s="57"/>
      <c r="G80" s="57"/>
      <c r="H80" s="57"/>
      <c r="I80" s="57"/>
      <c r="J80" s="57"/>
    </row>
    <row r="81" spans="1:10">
      <c r="A81" s="56"/>
      <c r="B81" s="57"/>
      <c r="C81" s="57"/>
      <c r="D81" s="57"/>
      <c r="E81" s="57"/>
      <c r="F81" s="57"/>
      <c r="G81" s="57"/>
      <c r="H81" s="57"/>
      <c r="I81" s="57"/>
      <c r="J81" s="57"/>
    </row>
    <row r="82" spans="1:10">
      <c r="A82" s="56"/>
      <c r="B82" s="57"/>
      <c r="C82" s="57"/>
      <c r="D82" s="57"/>
      <c r="E82" s="57"/>
      <c r="F82" s="57"/>
      <c r="G82" s="57"/>
      <c r="H82" s="57"/>
      <c r="I82" s="57"/>
      <c r="J82" s="57"/>
    </row>
    <row r="83" spans="1:10">
      <c r="A83" s="56"/>
      <c r="B83" s="57"/>
      <c r="C83" s="57"/>
      <c r="D83" s="57"/>
      <c r="E83" s="57"/>
      <c r="F83" s="57"/>
      <c r="G83" s="57"/>
      <c r="H83" s="57"/>
      <c r="I83" s="57"/>
      <c r="J83" s="57"/>
    </row>
    <row r="84" spans="1:10">
      <c r="A84" s="56"/>
      <c r="B84" s="57"/>
      <c r="C84" s="57"/>
      <c r="D84" s="57"/>
      <c r="E84" s="57"/>
      <c r="F84" s="57"/>
      <c r="G84" s="57"/>
      <c r="H84" s="57"/>
      <c r="I84" s="57"/>
      <c r="J84" s="57"/>
    </row>
    <row r="85" spans="1:10">
      <c r="A85" s="56"/>
      <c r="B85" s="57"/>
      <c r="C85" s="57"/>
      <c r="D85" s="57"/>
      <c r="E85" s="57"/>
      <c r="F85" s="57"/>
      <c r="G85" s="57"/>
      <c r="H85" s="57"/>
      <c r="I85" s="57"/>
      <c r="J85" s="57"/>
    </row>
    <row r="86" spans="1:10">
      <c r="A86" s="56"/>
      <c r="B86" s="57"/>
      <c r="C86" s="57"/>
      <c r="D86" s="57"/>
      <c r="E86" s="57"/>
      <c r="F86" s="57"/>
      <c r="G86" s="57"/>
      <c r="H86" s="57"/>
      <c r="I86" s="57"/>
      <c r="J86" s="57"/>
    </row>
    <row r="87" spans="1:10">
      <c r="A87" s="56"/>
      <c r="B87" s="57"/>
      <c r="C87" s="57"/>
      <c r="D87" s="57"/>
      <c r="E87" s="57"/>
      <c r="F87" s="57"/>
      <c r="G87" s="57"/>
      <c r="H87" s="57"/>
      <c r="I87" s="57"/>
      <c r="J87" s="57"/>
    </row>
    <row r="88" spans="1:10">
      <c r="A88" s="56"/>
      <c r="B88" s="57"/>
      <c r="C88" s="57"/>
      <c r="D88" s="57"/>
      <c r="E88" s="57"/>
      <c r="F88" s="57"/>
      <c r="G88" s="57"/>
      <c r="H88" s="57"/>
      <c r="I88" s="57"/>
      <c r="J88" s="57"/>
    </row>
    <row r="89" spans="1:10">
      <c r="A89" s="56"/>
      <c r="B89" s="57"/>
      <c r="C89" s="57"/>
      <c r="D89" s="57"/>
      <c r="E89" s="57"/>
      <c r="F89" s="57"/>
      <c r="G89" s="57"/>
      <c r="H89" s="57"/>
      <c r="I89" s="57"/>
      <c r="J89" s="57"/>
    </row>
    <row r="90" spans="1:10">
      <c r="A90" s="56"/>
      <c r="B90" s="57"/>
      <c r="C90" s="57"/>
      <c r="D90" s="57"/>
      <c r="E90" s="57"/>
      <c r="F90" s="57"/>
      <c r="G90" s="57"/>
      <c r="H90" s="57"/>
      <c r="I90" s="57"/>
      <c r="J90" s="57"/>
    </row>
    <row r="91" spans="1:10">
      <c r="A91" s="56"/>
      <c r="B91" s="57"/>
      <c r="C91" s="57"/>
      <c r="D91" s="57"/>
      <c r="E91" s="57"/>
      <c r="F91" s="57"/>
      <c r="G91" s="57"/>
      <c r="H91" s="57"/>
      <c r="I91" s="57"/>
      <c r="J91" s="57"/>
    </row>
    <row r="92" spans="1:10">
      <c r="A92" s="56"/>
      <c r="B92" s="57"/>
      <c r="C92" s="57"/>
      <c r="D92" s="57"/>
      <c r="E92" s="57"/>
      <c r="F92" s="57"/>
      <c r="G92" s="57"/>
      <c r="H92" s="57"/>
      <c r="I92" s="57"/>
      <c r="J92" s="57"/>
    </row>
    <row r="93" spans="1:10">
      <c r="A93" s="56"/>
      <c r="B93" s="57"/>
      <c r="C93" s="57"/>
      <c r="D93" s="57"/>
      <c r="E93" s="57"/>
      <c r="F93" s="57"/>
      <c r="G93" s="57"/>
      <c r="H93" s="57"/>
      <c r="I93" s="57"/>
      <c r="J93" s="57"/>
    </row>
    <row r="94" spans="1:10">
      <c r="A94" s="56"/>
      <c r="B94" s="57"/>
      <c r="C94" s="57"/>
      <c r="D94" s="57"/>
      <c r="E94" s="57"/>
      <c r="F94" s="57"/>
      <c r="G94" s="57"/>
      <c r="H94" s="57"/>
      <c r="I94" s="57"/>
      <c r="J94" s="57"/>
    </row>
    <row r="95" spans="1:10">
      <c r="A95" s="56"/>
      <c r="B95" s="57"/>
      <c r="C95" s="57"/>
      <c r="D95" s="57"/>
      <c r="E95" s="57"/>
      <c r="F95" s="57"/>
      <c r="G95" s="57"/>
      <c r="H95" s="57"/>
      <c r="I95" s="57"/>
      <c r="J95" s="57"/>
    </row>
    <row r="96" spans="1:10">
      <c r="A96" s="56"/>
      <c r="B96" s="57"/>
      <c r="C96" s="57"/>
      <c r="D96" s="57"/>
      <c r="E96" s="57"/>
      <c r="F96" s="57"/>
      <c r="G96" s="57"/>
      <c r="H96" s="57"/>
      <c r="I96" s="57"/>
      <c r="J96" s="57"/>
    </row>
    <row r="97" spans="1:10">
      <c r="A97" s="56"/>
      <c r="B97" s="57"/>
      <c r="C97" s="57"/>
      <c r="D97" s="57"/>
      <c r="E97" s="57"/>
      <c r="F97" s="57"/>
      <c r="G97" s="57"/>
      <c r="H97" s="57"/>
      <c r="I97" s="57"/>
      <c r="J97" s="57"/>
    </row>
    <row r="98" spans="1:10">
      <c r="A98" s="56"/>
      <c r="B98" s="57"/>
      <c r="C98" s="57"/>
      <c r="D98" s="57"/>
      <c r="E98" s="57"/>
      <c r="F98" s="57"/>
      <c r="G98" s="57"/>
      <c r="H98" s="57"/>
      <c r="I98" s="57"/>
      <c r="J98" s="57"/>
    </row>
    <row r="99" spans="1:10">
      <c r="A99" s="56"/>
      <c r="B99" s="57"/>
      <c r="C99" s="57"/>
      <c r="D99" s="57"/>
      <c r="E99" s="57"/>
      <c r="F99" s="57"/>
      <c r="G99" s="57"/>
      <c r="H99" s="57"/>
      <c r="I99" s="57"/>
      <c r="J99" s="57"/>
    </row>
    <row r="100" spans="1:10">
      <c r="A100" s="56"/>
      <c r="B100" s="57"/>
      <c r="C100" s="57"/>
      <c r="D100" s="57"/>
      <c r="E100" s="57"/>
      <c r="F100" s="57"/>
      <c r="G100" s="57"/>
      <c r="H100" s="57"/>
      <c r="I100" s="57"/>
      <c r="J100" s="57"/>
    </row>
    <row r="101" spans="1:10">
      <c r="A101" s="56"/>
      <c r="B101" s="57"/>
      <c r="C101" s="57"/>
      <c r="D101" s="57"/>
      <c r="E101" s="57"/>
      <c r="F101" s="57"/>
      <c r="G101" s="57"/>
      <c r="H101" s="57"/>
      <c r="I101" s="57"/>
      <c r="J101" s="57"/>
    </row>
    <row r="102" spans="1:10">
      <c r="A102" s="56"/>
      <c r="B102" s="57"/>
      <c r="C102" s="57"/>
      <c r="D102" s="57"/>
      <c r="E102" s="57"/>
      <c r="F102" s="57"/>
      <c r="G102" s="57"/>
      <c r="H102" s="57"/>
      <c r="I102" s="57"/>
      <c r="J102" s="57"/>
    </row>
    <row r="103" spans="1:10">
      <c r="A103" s="56"/>
      <c r="B103" s="57"/>
      <c r="C103" s="57"/>
      <c r="D103" s="57"/>
      <c r="E103" s="57"/>
      <c r="F103" s="57"/>
      <c r="G103" s="57"/>
      <c r="H103" s="57"/>
      <c r="I103" s="57"/>
      <c r="J103" s="57"/>
    </row>
    <row r="104" spans="1:10">
      <c r="A104" s="56"/>
      <c r="B104" s="57"/>
      <c r="C104" s="57"/>
      <c r="D104" s="57"/>
      <c r="E104" s="57"/>
      <c r="F104" s="57"/>
      <c r="G104" s="57"/>
      <c r="H104" s="57"/>
      <c r="I104" s="57"/>
      <c r="J104" s="57"/>
    </row>
    <row r="105" spans="1:10">
      <c r="A105" s="56"/>
      <c r="B105" s="57"/>
      <c r="C105" s="57"/>
      <c r="D105" s="57"/>
      <c r="E105" s="57"/>
      <c r="F105" s="57"/>
      <c r="G105" s="57"/>
      <c r="H105" s="57"/>
      <c r="I105" s="57"/>
      <c r="J105" s="57"/>
    </row>
    <row r="106" spans="1:10">
      <c r="A106" s="56"/>
      <c r="B106" s="57"/>
      <c r="C106" s="57"/>
      <c r="D106" s="57"/>
      <c r="E106" s="57"/>
      <c r="F106" s="57"/>
      <c r="G106" s="57"/>
      <c r="H106" s="57"/>
      <c r="I106" s="57"/>
      <c r="J106" s="57"/>
    </row>
    <row r="107" spans="1:10">
      <c r="A107" s="56"/>
      <c r="B107" s="57"/>
      <c r="C107" s="57"/>
      <c r="D107" s="57"/>
      <c r="E107" s="57"/>
      <c r="F107" s="57"/>
      <c r="G107" s="57"/>
      <c r="H107" s="57"/>
      <c r="I107" s="57"/>
      <c r="J107" s="57"/>
    </row>
    <row r="108" spans="1:10">
      <c r="A108" s="56"/>
      <c r="B108" s="57"/>
      <c r="C108" s="57"/>
      <c r="D108" s="57"/>
      <c r="E108" s="57"/>
      <c r="F108" s="57"/>
      <c r="G108" s="57"/>
      <c r="H108" s="57"/>
      <c r="I108" s="57"/>
      <c r="J108" s="57"/>
    </row>
    <row r="109" spans="1:10">
      <c r="A109" s="56"/>
      <c r="B109" s="57"/>
      <c r="C109" s="57"/>
      <c r="D109" s="57"/>
      <c r="E109" s="57"/>
      <c r="F109" s="57"/>
      <c r="G109" s="57"/>
      <c r="H109" s="57"/>
      <c r="I109" s="57"/>
      <c r="J109" s="57"/>
    </row>
    <row r="110" spans="1:10">
      <c r="A110" s="56"/>
      <c r="B110" s="57"/>
      <c r="C110" s="57"/>
      <c r="D110" s="57"/>
      <c r="E110" s="57"/>
      <c r="F110" s="57"/>
      <c r="G110" s="57"/>
      <c r="H110" s="57"/>
      <c r="I110" s="57"/>
      <c r="J110" s="57"/>
    </row>
    <row r="111" spans="1:10">
      <c r="A111" s="56"/>
      <c r="B111" s="57"/>
      <c r="C111" s="57"/>
      <c r="D111" s="57"/>
      <c r="E111" s="57"/>
      <c r="F111" s="57"/>
      <c r="G111" s="57"/>
      <c r="H111" s="57"/>
      <c r="I111" s="57"/>
      <c r="J111" s="57"/>
    </row>
    <row r="112" spans="1:10">
      <c r="A112" s="56"/>
      <c r="B112" s="57"/>
      <c r="C112" s="57"/>
      <c r="D112" s="57"/>
      <c r="E112" s="57"/>
      <c r="F112" s="57"/>
      <c r="G112" s="57"/>
      <c r="H112" s="57"/>
      <c r="I112" s="57"/>
      <c r="J112" s="57"/>
    </row>
    <row r="113" spans="1:10">
      <c r="A113" s="56"/>
      <c r="B113" s="57"/>
      <c r="C113" s="57"/>
      <c r="D113" s="57"/>
      <c r="E113" s="57"/>
      <c r="F113" s="57"/>
      <c r="G113" s="57"/>
      <c r="H113" s="57"/>
      <c r="I113" s="57"/>
      <c r="J113" s="57"/>
    </row>
    <row r="114" spans="1:10">
      <c r="A114" s="56"/>
      <c r="B114" s="57"/>
      <c r="C114" s="57"/>
      <c r="D114" s="57"/>
      <c r="E114" s="57"/>
      <c r="F114" s="57"/>
      <c r="G114" s="57"/>
      <c r="H114" s="57"/>
      <c r="I114" s="57"/>
      <c r="J114" s="57"/>
    </row>
    <row r="115" spans="1:10">
      <c r="A115" s="56"/>
      <c r="B115" s="57"/>
      <c r="C115" s="57"/>
      <c r="D115" s="57"/>
      <c r="E115" s="57"/>
      <c r="F115" s="57"/>
      <c r="G115" s="57"/>
      <c r="H115" s="57"/>
      <c r="I115" s="57"/>
      <c r="J115" s="57"/>
    </row>
    <row r="116" spans="1:10">
      <c r="A116" s="56"/>
      <c r="B116" s="57"/>
      <c r="C116" s="57"/>
      <c r="D116" s="57"/>
      <c r="E116" s="57"/>
      <c r="F116" s="57"/>
      <c r="G116" s="57"/>
      <c r="H116" s="57"/>
      <c r="I116" s="57"/>
      <c r="J116" s="57"/>
    </row>
    <row r="117" spans="1:10">
      <c r="A117" s="56"/>
      <c r="B117" s="57"/>
      <c r="C117" s="57"/>
      <c r="D117" s="57"/>
      <c r="E117" s="57"/>
      <c r="F117" s="57"/>
      <c r="G117" s="57"/>
      <c r="H117" s="57"/>
      <c r="I117" s="57"/>
      <c r="J117" s="57"/>
    </row>
    <row r="118" spans="1:10">
      <c r="A118" s="56"/>
      <c r="B118" s="57"/>
      <c r="C118" s="57"/>
      <c r="D118" s="57"/>
      <c r="E118" s="57"/>
      <c r="F118" s="57"/>
      <c r="G118" s="57"/>
      <c r="H118" s="57"/>
      <c r="I118" s="57"/>
      <c r="J118" s="57"/>
    </row>
    <row r="119" spans="1:10">
      <c r="A119" s="56"/>
      <c r="B119" s="57"/>
      <c r="C119" s="57"/>
      <c r="D119" s="57"/>
      <c r="E119" s="57"/>
      <c r="F119" s="57"/>
      <c r="G119" s="57"/>
      <c r="H119" s="57"/>
      <c r="I119" s="57"/>
      <c r="J119" s="57"/>
    </row>
    <row r="120" spans="1:10">
      <c r="A120" s="56"/>
      <c r="B120" s="57"/>
      <c r="C120" s="57"/>
      <c r="D120" s="57"/>
      <c r="E120" s="57"/>
      <c r="F120" s="57"/>
      <c r="G120" s="57"/>
      <c r="H120" s="57"/>
      <c r="I120" s="57"/>
      <c r="J120" s="57"/>
    </row>
    <row r="121" spans="1:10">
      <c r="A121" s="56"/>
      <c r="B121" s="57"/>
      <c r="C121" s="57"/>
      <c r="D121" s="57"/>
      <c r="E121" s="57"/>
      <c r="F121" s="57"/>
      <c r="G121" s="57"/>
      <c r="H121" s="57"/>
      <c r="I121" s="57"/>
      <c r="J121" s="57"/>
    </row>
    <row r="122" spans="1:10">
      <c r="A122" s="56"/>
      <c r="B122" s="57"/>
      <c r="C122" s="57"/>
      <c r="D122" s="57"/>
      <c r="E122" s="57"/>
      <c r="F122" s="57"/>
      <c r="G122" s="57"/>
      <c r="H122" s="57"/>
      <c r="I122" s="57"/>
      <c r="J122" s="57"/>
    </row>
    <row r="123" spans="1:10">
      <c r="A123" s="56"/>
      <c r="B123" s="57"/>
      <c r="C123" s="57"/>
      <c r="D123" s="57"/>
      <c r="E123" s="57"/>
      <c r="F123" s="57"/>
      <c r="G123" s="57"/>
      <c r="H123" s="57"/>
      <c r="I123" s="57"/>
      <c r="J123" s="57"/>
    </row>
    <row r="124" spans="1:10">
      <c r="A124" s="56"/>
      <c r="B124" s="57"/>
      <c r="C124" s="57"/>
      <c r="D124" s="57"/>
      <c r="E124" s="57"/>
      <c r="F124" s="57"/>
      <c r="G124" s="57"/>
      <c r="H124" s="57"/>
      <c r="I124" s="57"/>
      <c r="J124" s="57"/>
    </row>
    <row r="125" spans="1:10">
      <c r="A125" s="56"/>
      <c r="B125" s="57"/>
      <c r="C125" s="57"/>
      <c r="D125" s="57"/>
      <c r="E125" s="57"/>
      <c r="F125" s="57"/>
      <c r="G125" s="57"/>
      <c r="H125" s="57"/>
      <c r="I125" s="57"/>
      <c r="J125" s="57"/>
    </row>
    <row r="126" spans="1:10">
      <c r="A126" s="56"/>
      <c r="B126" s="57"/>
      <c r="C126" s="57"/>
      <c r="D126" s="57"/>
      <c r="E126" s="57"/>
      <c r="F126" s="57"/>
      <c r="G126" s="57"/>
      <c r="H126" s="57"/>
      <c r="I126" s="57"/>
      <c r="J126" s="57"/>
    </row>
    <row r="127" spans="1:10">
      <c r="A127" s="56"/>
      <c r="B127" s="57"/>
      <c r="C127" s="57"/>
      <c r="D127" s="57"/>
      <c r="E127" s="57"/>
      <c r="F127" s="57"/>
      <c r="G127" s="57"/>
      <c r="H127" s="57"/>
      <c r="I127" s="57"/>
      <c r="J127" s="57"/>
    </row>
    <row r="128" spans="1:10">
      <c r="A128" s="56"/>
      <c r="B128" s="57"/>
      <c r="C128" s="57"/>
      <c r="D128" s="57"/>
      <c r="E128" s="57"/>
      <c r="F128" s="57"/>
      <c r="G128" s="57"/>
      <c r="H128" s="57"/>
      <c r="I128" s="57"/>
      <c r="J128" s="57"/>
    </row>
    <row r="129" spans="1:10">
      <c r="A129" s="56"/>
      <c r="B129" s="57"/>
      <c r="C129" s="57"/>
      <c r="D129" s="57"/>
      <c r="E129" s="57"/>
      <c r="F129" s="57"/>
      <c r="G129" s="57"/>
      <c r="H129" s="57"/>
      <c r="I129" s="57"/>
      <c r="J129" s="57"/>
    </row>
    <row r="130" spans="1:10">
      <c r="A130" s="56"/>
      <c r="B130" s="57"/>
      <c r="C130" s="57"/>
      <c r="D130" s="57"/>
      <c r="E130" s="57"/>
      <c r="F130" s="57"/>
      <c r="G130" s="57"/>
      <c r="H130" s="57"/>
      <c r="I130" s="57"/>
      <c r="J130" s="57"/>
    </row>
    <row r="131" spans="1:10">
      <c r="A131" s="56"/>
      <c r="B131" s="57"/>
      <c r="C131" s="57"/>
      <c r="D131" s="57"/>
      <c r="E131" s="57"/>
      <c r="F131" s="57"/>
      <c r="G131" s="57"/>
      <c r="H131" s="57"/>
      <c r="I131" s="57"/>
      <c r="J131" s="57"/>
    </row>
    <row r="132" spans="1:10">
      <c r="A132" s="56"/>
      <c r="B132" s="57"/>
      <c r="C132" s="57"/>
      <c r="D132" s="57"/>
      <c r="E132" s="57"/>
      <c r="F132" s="57"/>
      <c r="G132" s="57"/>
      <c r="H132" s="57"/>
      <c r="I132" s="57"/>
      <c r="J132" s="57"/>
    </row>
    <row r="133" spans="1:10">
      <c r="A133" s="56"/>
      <c r="B133" s="57"/>
      <c r="C133" s="57"/>
      <c r="D133" s="57"/>
      <c r="E133" s="57"/>
      <c r="F133" s="57"/>
      <c r="G133" s="57"/>
      <c r="H133" s="57"/>
      <c r="I133" s="57"/>
      <c r="J133" s="57"/>
    </row>
    <row r="134" spans="1:10">
      <c r="A134" s="56"/>
      <c r="B134" s="57"/>
      <c r="C134" s="57"/>
      <c r="D134" s="57"/>
      <c r="E134" s="57"/>
      <c r="F134" s="57"/>
      <c r="G134" s="57"/>
      <c r="H134" s="57"/>
      <c r="I134" s="57"/>
      <c r="J134" s="57"/>
    </row>
    <row r="135" spans="1:10">
      <c r="A135" s="56"/>
      <c r="B135" s="57"/>
      <c r="C135" s="57"/>
      <c r="D135" s="57"/>
      <c r="E135" s="57"/>
      <c r="F135" s="57"/>
      <c r="G135" s="57"/>
      <c r="H135" s="57"/>
      <c r="I135" s="57"/>
      <c r="J135" s="57"/>
    </row>
    <row r="136" spans="1:10">
      <c r="A136" s="56"/>
      <c r="B136" s="57"/>
      <c r="C136" s="57"/>
      <c r="D136" s="57"/>
      <c r="E136" s="57"/>
      <c r="F136" s="57"/>
      <c r="G136" s="57"/>
      <c r="H136" s="57"/>
      <c r="I136" s="57"/>
      <c r="J136" s="57"/>
    </row>
    <row r="137" spans="1:10">
      <c r="A137" s="56"/>
      <c r="B137" s="57"/>
      <c r="C137" s="57"/>
      <c r="D137" s="57"/>
      <c r="E137" s="57"/>
      <c r="F137" s="57"/>
      <c r="G137" s="57"/>
      <c r="H137" s="57"/>
      <c r="I137" s="57"/>
      <c r="J137" s="57"/>
    </row>
    <row r="138" spans="1:10">
      <c r="A138" s="56"/>
      <c r="B138" s="57"/>
      <c r="C138" s="57"/>
      <c r="D138" s="57"/>
      <c r="E138" s="57"/>
      <c r="F138" s="57"/>
      <c r="G138" s="57"/>
      <c r="H138" s="57"/>
      <c r="I138" s="57"/>
      <c r="J138" s="57"/>
    </row>
    <row r="139" spans="1:10">
      <c r="A139" s="56"/>
      <c r="B139" s="57"/>
      <c r="C139" s="57"/>
      <c r="D139" s="57"/>
      <c r="E139" s="57"/>
      <c r="F139" s="57"/>
      <c r="G139" s="57"/>
      <c r="H139" s="57"/>
      <c r="I139" s="57"/>
      <c r="J139" s="57"/>
    </row>
    <row r="140" spans="1:10">
      <c r="A140" s="56"/>
      <c r="B140" s="57"/>
      <c r="C140" s="57"/>
      <c r="D140" s="57"/>
      <c r="E140" s="57"/>
      <c r="F140" s="57"/>
      <c r="G140" s="57"/>
      <c r="H140" s="57"/>
      <c r="I140" s="57"/>
      <c r="J140" s="57"/>
    </row>
    <row r="141" spans="1:10">
      <c r="A141" s="56"/>
      <c r="B141" s="57"/>
      <c r="C141" s="57"/>
      <c r="D141" s="57"/>
      <c r="E141" s="57"/>
      <c r="F141" s="57"/>
      <c r="G141" s="57"/>
      <c r="H141" s="57"/>
      <c r="I141" s="57"/>
      <c r="J141" s="57"/>
    </row>
    <row r="142" spans="1:10">
      <c r="A142" s="56"/>
      <c r="B142" s="57"/>
      <c r="C142" s="57"/>
      <c r="D142" s="57"/>
      <c r="E142" s="57"/>
      <c r="F142" s="57"/>
      <c r="G142" s="57"/>
      <c r="H142" s="57"/>
      <c r="I142" s="57"/>
      <c r="J142" s="57"/>
    </row>
    <row r="143" spans="1:10">
      <c r="A143" s="56"/>
      <c r="B143" s="57"/>
      <c r="C143" s="57"/>
      <c r="D143" s="57"/>
      <c r="E143" s="57"/>
      <c r="F143" s="57"/>
      <c r="G143" s="57"/>
      <c r="H143" s="57"/>
      <c r="I143" s="57"/>
      <c r="J143" s="57"/>
    </row>
    <row r="144" spans="1:10">
      <c r="A144" s="56"/>
      <c r="B144" s="57"/>
      <c r="C144" s="57"/>
      <c r="D144" s="57"/>
      <c r="E144" s="57"/>
      <c r="F144" s="57"/>
      <c r="G144" s="57"/>
      <c r="H144" s="57"/>
      <c r="I144" s="57"/>
      <c r="J144" s="57"/>
    </row>
    <row r="145" spans="1:10">
      <c r="A145" s="56"/>
      <c r="B145" s="57"/>
      <c r="C145" s="57"/>
      <c r="D145" s="57"/>
      <c r="E145" s="57"/>
      <c r="F145" s="57"/>
      <c r="G145" s="57"/>
      <c r="H145" s="57"/>
      <c r="I145" s="57"/>
      <c r="J145" s="57"/>
    </row>
    <row r="146" spans="1:10">
      <c r="A146" s="56"/>
      <c r="B146" s="57"/>
      <c r="C146" s="57"/>
      <c r="D146" s="57"/>
      <c r="E146" s="57"/>
      <c r="F146" s="57"/>
      <c r="G146" s="57"/>
      <c r="H146" s="57"/>
      <c r="I146" s="57"/>
      <c r="J146" s="57"/>
    </row>
    <row r="147" spans="1:10">
      <c r="A147" s="56"/>
      <c r="B147" s="57"/>
      <c r="C147" s="57"/>
      <c r="D147" s="57"/>
      <c r="E147" s="57"/>
      <c r="F147" s="57"/>
      <c r="G147" s="57"/>
      <c r="H147" s="57"/>
      <c r="I147" s="57"/>
      <c r="J147" s="57"/>
    </row>
    <row r="148" spans="1:10">
      <c r="A148" s="56"/>
      <c r="B148" s="57"/>
      <c r="C148" s="57"/>
      <c r="D148" s="57"/>
      <c r="E148" s="57"/>
      <c r="F148" s="57"/>
      <c r="G148" s="57"/>
      <c r="H148" s="57"/>
      <c r="I148" s="57"/>
      <c r="J148" s="57"/>
    </row>
    <row r="149" spans="1:10">
      <c r="A149" s="56"/>
      <c r="B149" s="57"/>
      <c r="C149" s="57"/>
      <c r="D149" s="57"/>
      <c r="E149" s="57"/>
      <c r="F149" s="57"/>
      <c r="G149" s="57"/>
      <c r="H149" s="57"/>
      <c r="I149" s="57"/>
      <c r="J149" s="57"/>
    </row>
    <row r="150" spans="1:10">
      <c r="A150" s="56"/>
      <c r="B150" s="57"/>
      <c r="C150" s="57"/>
      <c r="D150" s="57"/>
      <c r="E150" s="57"/>
      <c r="F150" s="57"/>
      <c r="G150" s="57"/>
      <c r="H150" s="57"/>
      <c r="I150" s="57"/>
      <c r="J150" s="57"/>
    </row>
    <row r="151" spans="1:10">
      <c r="A151" s="56"/>
      <c r="B151" s="57"/>
      <c r="C151" s="57"/>
      <c r="D151" s="57"/>
      <c r="E151" s="57"/>
      <c r="F151" s="57"/>
      <c r="G151" s="57"/>
      <c r="H151" s="57"/>
      <c r="I151" s="57"/>
      <c r="J151" s="57"/>
    </row>
    <row r="152" spans="1:10">
      <c r="A152" s="56"/>
      <c r="B152" s="57"/>
      <c r="C152" s="57"/>
      <c r="D152" s="57"/>
      <c r="E152" s="57"/>
      <c r="F152" s="57"/>
      <c r="G152" s="57"/>
      <c r="H152" s="57"/>
      <c r="I152" s="57"/>
      <c r="J152" s="57"/>
    </row>
    <row r="153" spans="1:10">
      <c r="A153" s="56"/>
      <c r="B153" s="57"/>
      <c r="C153" s="57"/>
      <c r="D153" s="57"/>
      <c r="E153" s="57"/>
      <c r="F153" s="57"/>
      <c r="G153" s="57"/>
      <c r="H153" s="57"/>
      <c r="I153" s="57"/>
      <c r="J153" s="57"/>
    </row>
    <row r="154" spans="1:10">
      <c r="A154" s="56"/>
      <c r="B154" s="57"/>
      <c r="C154" s="57"/>
      <c r="D154" s="57"/>
      <c r="E154" s="57"/>
      <c r="F154" s="57"/>
      <c r="G154" s="57"/>
      <c r="H154" s="57"/>
      <c r="I154" s="57"/>
      <c r="J154" s="57"/>
    </row>
    <row r="155" spans="1:10">
      <c r="A155" s="56"/>
      <c r="B155" s="57"/>
      <c r="C155" s="57"/>
      <c r="D155" s="57"/>
      <c r="E155" s="57"/>
      <c r="F155" s="57"/>
      <c r="G155" s="57"/>
      <c r="H155" s="57"/>
      <c r="I155" s="57"/>
      <c r="J155" s="57"/>
    </row>
    <row r="156" spans="1:10">
      <c r="A156" s="56"/>
      <c r="B156" s="57"/>
      <c r="C156" s="57"/>
      <c r="D156" s="57"/>
      <c r="E156" s="57"/>
      <c r="F156" s="57"/>
      <c r="G156" s="57"/>
      <c r="H156" s="57"/>
      <c r="I156" s="57"/>
      <c r="J156" s="57"/>
    </row>
    <row r="157" spans="1:10">
      <c r="A157" s="56"/>
      <c r="B157" s="57"/>
      <c r="C157" s="57"/>
      <c r="D157" s="57"/>
      <c r="E157" s="57"/>
      <c r="F157" s="57"/>
      <c r="G157" s="57"/>
      <c r="H157" s="57"/>
      <c r="I157" s="57"/>
      <c r="J157" s="57"/>
    </row>
    <row r="158" spans="1:10">
      <c r="A158" s="56"/>
      <c r="B158" s="57"/>
      <c r="C158" s="57"/>
      <c r="D158" s="57"/>
      <c r="E158" s="57"/>
      <c r="F158" s="57"/>
      <c r="G158" s="57"/>
      <c r="H158" s="57"/>
      <c r="I158" s="57"/>
      <c r="J158" s="57"/>
    </row>
    <row r="159" spans="1:10">
      <c r="A159" s="56"/>
      <c r="B159" s="57"/>
      <c r="C159" s="57"/>
      <c r="D159" s="57"/>
      <c r="E159" s="57"/>
      <c r="F159" s="57"/>
      <c r="G159" s="57"/>
      <c r="H159" s="57"/>
      <c r="I159" s="57"/>
      <c r="J159" s="57"/>
    </row>
    <row r="160" spans="1:10">
      <c r="A160" s="56"/>
      <c r="B160" s="57"/>
      <c r="C160" s="57"/>
      <c r="D160" s="57"/>
      <c r="E160" s="57"/>
      <c r="F160" s="57"/>
      <c r="G160" s="57"/>
      <c r="H160" s="57"/>
      <c r="I160" s="57"/>
      <c r="J160" s="57"/>
    </row>
    <row r="161" spans="1:10">
      <c r="A161" s="56"/>
      <c r="B161" s="57"/>
      <c r="C161" s="57"/>
      <c r="D161" s="57"/>
      <c r="E161" s="57"/>
      <c r="F161" s="57"/>
      <c r="G161" s="57"/>
      <c r="H161" s="57"/>
      <c r="I161" s="57"/>
      <c r="J161" s="57"/>
    </row>
    <row r="162" spans="1:10">
      <c r="A162" s="56"/>
      <c r="B162" s="57"/>
      <c r="C162" s="57"/>
      <c r="D162" s="57"/>
      <c r="E162" s="57"/>
      <c r="F162" s="57"/>
      <c r="G162" s="57"/>
      <c r="H162" s="57"/>
      <c r="I162" s="57"/>
      <c r="J162" s="57"/>
    </row>
    <row r="163" spans="1:10">
      <c r="A163" s="56"/>
      <c r="B163" s="57"/>
      <c r="C163" s="57"/>
      <c r="D163" s="57"/>
      <c r="E163" s="57"/>
      <c r="F163" s="57"/>
      <c r="G163" s="57"/>
      <c r="H163" s="57"/>
      <c r="I163" s="57"/>
      <c r="J163" s="57"/>
    </row>
    <row r="164" spans="1:10">
      <c r="A164" s="56"/>
      <c r="B164" s="57"/>
      <c r="C164" s="57"/>
      <c r="D164" s="57"/>
      <c r="E164" s="57"/>
      <c r="F164" s="57"/>
      <c r="G164" s="57"/>
      <c r="H164" s="57"/>
      <c r="I164" s="57"/>
      <c r="J164" s="57"/>
    </row>
    <row r="165" spans="1:10">
      <c r="A165" s="56"/>
      <c r="B165" s="57"/>
      <c r="C165" s="57"/>
      <c r="D165" s="57"/>
      <c r="E165" s="57"/>
      <c r="F165" s="57"/>
      <c r="G165" s="57"/>
      <c r="H165" s="57"/>
      <c r="I165" s="57"/>
      <c r="J165" s="57"/>
    </row>
    <row r="166" spans="1:10">
      <c r="A166" s="56"/>
      <c r="B166" s="57"/>
      <c r="C166" s="57"/>
      <c r="D166" s="57"/>
      <c r="E166" s="57"/>
      <c r="F166" s="57"/>
      <c r="G166" s="57"/>
      <c r="H166" s="57"/>
      <c r="I166" s="57"/>
      <c r="J166" s="57"/>
    </row>
    <row r="167" spans="1:10">
      <c r="A167" s="56"/>
      <c r="B167" s="57"/>
      <c r="C167" s="57"/>
      <c r="D167" s="57"/>
      <c r="E167" s="57"/>
      <c r="F167" s="57"/>
      <c r="G167" s="57"/>
      <c r="H167" s="57"/>
      <c r="I167" s="57"/>
      <c r="J167" s="57"/>
    </row>
    <row r="168" spans="1:10">
      <c r="A168" s="56"/>
      <c r="B168" s="57"/>
      <c r="C168" s="57"/>
      <c r="D168" s="57"/>
      <c r="E168" s="57"/>
      <c r="F168" s="57"/>
      <c r="G168" s="57"/>
      <c r="H168" s="57"/>
      <c r="I168" s="57"/>
      <c r="J168" s="57"/>
    </row>
    <row r="169" spans="1:10">
      <c r="A169" s="56"/>
      <c r="B169" s="57"/>
      <c r="C169" s="57"/>
      <c r="D169" s="57"/>
      <c r="E169" s="57"/>
      <c r="F169" s="57"/>
      <c r="G169" s="57"/>
      <c r="H169" s="57"/>
      <c r="I169" s="57"/>
      <c r="J169" s="57"/>
    </row>
    <row r="170" spans="1:10">
      <c r="A170" s="56"/>
      <c r="B170" s="57"/>
      <c r="C170" s="57"/>
      <c r="D170" s="57"/>
      <c r="E170" s="57"/>
      <c r="F170" s="57"/>
      <c r="G170" s="57"/>
      <c r="H170" s="57"/>
      <c r="I170" s="57"/>
      <c r="J170" s="57"/>
    </row>
    <row r="171" spans="1:10">
      <c r="A171" s="56"/>
      <c r="B171" s="57"/>
      <c r="C171" s="57"/>
      <c r="D171" s="57"/>
      <c r="E171" s="57"/>
      <c r="F171" s="57"/>
      <c r="G171" s="57"/>
      <c r="H171" s="57"/>
      <c r="I171" s="57"/>
      <c r="J171" s="57"/>
    </row>
    <row r="172" spans="1:10">
      <c r="A172" s="56"/>
      <c r="B172" s="57"/>
      <c r="C172" s="57"/>
      <c r="D172" s="57"/>
      <c r="E172" s="57"/>
      <c r="F172" s="57"/>
      <c r="G172" s="57"/>
      <c r="H172" s="57"/>
      <c r="I172" s="57"/>
      <c r="J172" s="57"/>
    </row>
    <row r="173" spans="1:10">
      <c r="A173" s="56"/>
      <c r="B173" s="57"/>
      <c r="C173" s="57"/>
      <c r="D173" s="57"/>
      <c r="E173" s="57"/>
      <c r="F173" s="57"/>
      <c r="G173" s="57"/>
      <c r="H173" s="57"/>
      <c r="I173" s="57"/>
      <c r="J173" s="57"/>
    </row>
    <row r="174" spans="1:10">
      <c r="A174" s="56"/>
      <c r="B174" s="57"/>
      <c r="C174" s="57"/>
      <c r="D174" s="57"/>
      <c r="E174" s="57"/>
      <c r="F174" s="57"/>
      <c r="G174" s="57"/>
      <c r="H174" s="57"/>
      <c r="I174" s="57"/>
      <c r="J174" s="57"/>
    </row>
    <row r="175" spans="1:10">
      <c r="A175" s="56"/>
      <c r="B175" s="57"/>
      <c r="C175" s="57"/>
      <c r="D175" s="57"/>
      <c r="E175" s="57"/>
      <c r="F175" s="57"/>
      <c r="G175" s="57"/>
      <c r="H175" s="57"/>
      <c r="I175" s="57"/>
      <c r="J175" s="57"/>
    </row>
    <row r="176" spans="1:10">
      <c r="A176" s="56"/>
      <c r="B176" s="57"/>
      <c r="C176" s="57"/>
      <c r="D176" s="57"/>
      <c r="E176" s="57"/>
      <c r="F176" s="57"/>
      <c r="G176" s="57"/>
      <c r="H176" s="57"/>
      <c r="I176" s="57"/>
      <c r="J176" s="57"/>
    </row>
    <row r="177" spans="1:10">
      <c r="A177" s="56"/>
      <c r="B177" s="57"/>
      <c r="C177" s="57"/>
      <c r="D177" s="57"/>
      <c r="E177" s="57"/>
      <c r="F177" s="57"/>
      <c r="G177" s="57"/>
      <c r="H177" s="57"/>
      <c r="I177" s="57"/>
      <c r="J177" s="57"/>
    </row>
    <row r="178" spans="1:10">
      <c r="A178" s="56"/>
      <c r="B178" s="57"/>
      <c r="C178" s="57"/>
      <c r="D178" s="57"/>
      <c r="E178" s="57"/>
      <c r="F178" s="57"/>
      <c r="G178" s="57"/>
      <c r="H178" s="57"/>
      <c r="I178" s="57"/>
      <c r="J178" s="57"/>
    </row>
    <row r="179" spans="1:10">
      <c r="A179" s="56"/>
      <c r="B179" s="57"/>
      <c r="C179" s="57"/>
      <c r="D179" s="57"/>
      <c r="E179" s="57"/>
      <c r="F179" s="57"/>
      <c r="G179" s="57"/>
      <c r="H179" s="57"/>
      <c r="I179" s="57"/>
      <c r="J179" s="57"/>
    </row>
    <row r="180" spans="1:10">
      <c r="A180" s="56"/>
      <c r="B180" s="57"/>
      <c r="C180" s="57"/>
      <c r="D180" s="57"/>
      <c r="E180" s="57"/>
      <c r="F180" s="57"/>
      <c r="G180" s="57"/>
      <c r="H180" s="57"/>
      <c r="I180" s="57"/>
      <c r="J180" s="57"/>
    </row>
    <row r="181" spans="1:10">
      <c r="A181" s="56"/>
      <c r="B181" s="57"/>
      <c r="C181" s="57"/>
      <c r="D181" s="57"/>
      <c r="E181" s="57"/>
      <c r="F181" s="57"/>
      <c r="G181" s="57"/>
      <c r="H181" s="57"/>
      <c r="I181" s="57"/>
      <c r="J181" s="57"/>
    </row>
    <row r="182" spans="1:10">
      <c r="A182" s="56"/>
      <c r="B182" s="57"/>
      <c r="C182" s="57"/>
      <c r="D182" s="57"/>
      <c r="E182" s="57"/>
      <c r="F182" s="57"/>
      <c r="G182" s="57"/>
      <c r="H182" s="57"/>
      <c r="I182" s="57"/>
      <c r="J182" s="57"/>
    </row>
    <row r="183" spans="1:10">
      <c r="A183" s="56"/>
      <c r="B183" s="57"/>
      <c r="C183" s="57"/>
      <c r="D183" s="57"/>
      <c r="E183" s="57"/>
      <c r="F183" s="57"/>
      <c r="G183" s="57"/>
      <c r="H183" s="57"/>
      <c r="I183" s="57"/>
      <c r="J183" s="57"/>
    </row>
    <row r="184" spans="1:10">
      <c r="A184" s="56"/>
      <c r="B184" s="57"/>
      <c r="C184" s="57"/>
      <c r="D184" s="57"/>
      <c r="E184" s="57"/>
      <c r="F184" s="57"/>
      <c r="G184" s="57"/>
      <c r="H184" s="57"/>
      <c r="I184" s="57"/>
      <c r="J184" s="57"/>
    </row>
    <row r="185" spans="1:10">
      <c r="A185" s="56"/>
      <c r="B185" s="57"/>
      <c r="C185" s="57"/>
      <c r="D185" s="57"/>
      <c r="E185" s="57"/>
      <c r="F185" s="57"/>
      <c r="G185" s="57"/>
      <c r="H185" s="57"/>
      <c r="I185" s="57"/>
      <c r="J185" s="57"/>
    </row>
    <row r="186" spans="1:10">
      <c r="A186" s="56"/>
      <c r="B186" s="57"/>
      <c r="C186" s="57"/>
      <c r="D186" s="57"/>
      <c r="E186" s="57"/>
      <c r="F186" s="57"/>
      <c r="G186" s="57"/>
      <c r="H186" s="57"/>
      <c r="I186" s="57"/>
      <c r="J186" s="57"/>
    </row>
    <row r="187" spans="1:10">
      <c r="A187" s="56"/>
      <c r="B187" s="57"/>
      <c r="C187" s="57"/>
      <c r="D187" s="57"/>
      <c r="E187" s="57"/>
      <c r="F187" s="57"/>
      <c r="G187" s="57"/>
      <c r="H187" s="57"/>
      <c r="I187" s="57"/>
      <c r="J187" s="57"/>
    </row>
    <row r="188" spans="1:10">
      <c r="A188" s="56"/>
      <c r="B188" s="57"/>
      <c r="C188" s="57"/>
      <c r="D188" s="57"/>
      <c r="E188" s="57"/>
      <c r="F188" s="57"/>
      <c r="G188" s="57"/>
      <c r="H188" s="57"/>
      <c r="I188" s="57"/>
      <c r="J188" s="57"/>
    </row>
    <row r="189" spans="1:10">
      <c r="A189" s="56"/>
      <c r="B189" s="57"/>
      <c r="C189" s="57"/>
      <c r="D189" s="57"/>
      <c r="E189" s="57"/>
      <c r="F189" s="57"/>
      <c r="G189" s="57"/>
      <c r="H189" s="57"/>
      <c r="I189" s="57"/>
      <c r="J189" s="57"/>
    </row>
    <row r="190" spans="1:10">
      <c r="A190" s="56"/>
      <c r="B190" s="57"/>
      <c r="C190" s="57"/>
      <c r="D190" s="57"/>
      <c r="E190" s="57"/>
      <c r="F190" s="57"/>
      <c r="G190" s="57"/>
      <c r="H190" s="57"/>
      <c r="I190" s="57"/>
      <c r="J190" s="57"/>
    </row>
    <row r="191" spans="1:10">
      <c r="A191" s="56"/>
      <c r="B191" s="57"/>
      <c r="C191" s="57"/>
      <c r="D191" s="57"/>
      <c r="E191" s="57"/>
      <c r="F191" s="57"/>
      <c r="G191" s="57"/>
      <c r="H191" s="57"/>
      <c r="I191" s="57"/>
      <c r="J191" s="57"/>
    </row>
    <row r="192" spans="1:10">
      <c r="A192" s="56"/>
      <c r="B192" s="57"/>
      <c r="C192" s="57"/>
      <c r="D192" s="57"/>
      <c r="E192" s="57"/>
      <c r="F192" s="57"/>
      <c r="G192" s="57"/>
      <c r="H192" s="57"/>
      <c r="I192" s="57"/>
      <c r="J192" s="57"/>
    </row>
    <row r="193" spans="1:10">
      <c r="A193" s="56"/>
      <c r="B193" s="57"/>
      <c r="C193" s="57"/>
      <c r="D193" s="57"/>
      <c r="E193" s="57"/>
      <c r="F193" s="57"/>
      <c r="G193" s="57"/>
      <c r="H193" s="57"/>
      <c r="I193" s="57"/>
      <c r="J193" s="57"/>
    </row>
    <row r="194" spans="1:10">
      <c r="A194" s="56"/>
      <c r="B194" s="57"/>
      <c r="C194" s="57"/>
      <c r="D194" s="57"/>
      <c r="E194" s="57"/>
      <c r="F194" s="57"/>
      <c r="G194" s="57"/>
      <c r="H194" s="57"/>
      <c r="I194" s="57"/>
      <c r="J194" s="57"/>
    </row>
    <row r="195" spans="1:10">
      <c r="A195" s="56"/>
      <c r="B195" s="57"/>
      <c r="C195" s="57"/>
      <c r="D195" s="57"/>
      <c r="E195" s="57"/>
      <c r="F195" s="57"/>
      <c r="G195" s="57"/>
      <c r="H195" s="57"/>
      <c r="I195" s="57"/>
      <c r="J195" s="57"/>
    </row>
    <row r="196" spans="1:10">
      <c r="A196" s="56"/>
      <c r="B196" s="57"/>
      <c r="C196" s="57"/>
      <c r="D196" s="57"/>
      <c r="E196" s="57"/>
      <c r="F196" s="57"/>
      <c r="G196" s="57"/>
      <c r="H196" s="57"/>
      <c r="I196" s="57"/>
      <c r="J196" s="57"/>
    </row>
    <row r="197" spans="1:10">
      <c r="A197" s="56"/>
      <c r="B197" s="57"/>
      <c r="C197" s="57"/>
      <c r="D197" s="57"/>
      <c r="E197" s="57"/>
      <c r="F197" s="57"/>
      <c r="G197" s="57"/>
      <c r="H197" s="57"/>
      <c r="I197" s="57"/>
      <c r="J197" s="57"/>
    </row>
    <row r="198" spans="1:10">
      <c r="A198" s="56"/>
      <c r="B198" s="57"/>
      <c r="C198" s="57"/>
      <c r="D198" s="57"/>
      <c r="E198" s="57"/>
      <c r="F198" s="57"/>
      <c r="G198" s="57"/>
      <c r="H198" s="57"/>
      <c r="I198" s="57"/>
      <c r="J198" s="57"/>
    </row>
    <row r="199" spans="1:10">
      <c r="A199" s="56"/>
      <c r="B199" s="57"/>
      <c r="C199" s="57"/>
      <c r="D199" s="57"/>
      <c r="E199" s="57"/>
      <c r="F199" s="57"/>
      <c r="G199" s="57"/>
      <c r="H199" s="57"/>
      <c r="I199" s="57"/>
      <c r="J199" s="57"/>
    </row>
    <row r="200" spans="1:10">
      <c r="A200" s="56"/>
      <c r="B200" s="57"/>
      <c r="C200" s="57"/>
      <c r="D200" s="57"/>
      <c r="E200" s="57"/>
      <c r="F200" s="57"/>
      <c r="G200" s="57"/>
      <c r="H200" s="57"/>
      <c r="I200" s="57"/>
      <c r="J200" s="57"/>
    </row>
    <row r="201" spans="1:10">
      <c r="A201" s="56"/>
      <c r="B201" s="57"/>
      <c r="C201" s="57"/>
      <c r="D201" s="57"/>
      <c r="E201" s="57"/>
      <c r="F201" s="57"/>
      <c r="G201" s="57"/>
      <c r="H201" s="57"/>
      <c r="I201" s="57"/>
      <c r="J201" s="57"/>
    </row>
    <row r="202" spans="1:10">
      <c r="A202" s="56"/>
      <c r="B202" s="57"/>
      <c r="C202" s="57"/>
      <c r="D202" s="57"/>
      <c r="E202" s="57"/>
      <c r="F202" s="57"/>
      <c r="G202" s="57"/>
      <c r="H202" s="57"/>
      <c r="I202" s="57"/>
      <c r="J202" s="57"/>
    </row>
    <row r="203" spans="1:10">
      <c r="A203" s="56"/>
      <c r="B203" s="57"/>
      <c r="C203" s="57"/>
      <c r="D203" s="57"/>
      <c r="E203" s="57"/>
      <c r="F203" s="57"/>
      <c r="G203" s="57"/>
      <c r="H203" s="57"/>
      <c r="I203" s="57"/>
      <c r="J203" s="57"/>
    </row>
    <row r="204" spans="1:10">
      <c r="A204" s="56"/>
      <c r="B204" s="57"/>
      <c r="C204" s="57"/>
      <c r="D204" s="57"/>
      <c r="E204" s="57"/>
      <c r="F204" s="57"/>
      <c r="G204" s="57"/>
      <c r="H204" s="57"/>
      <c r="I204" s="57"/>
      <c r="J204" s="57"/>
    </row>
    <row r="205" spans="1:10">
      <c r="A205" s="56"/>
      <c r="B205" s="57"/>
      <c r="C205" s="57"/>
      <c r="D205" s="57"/>
      <c r="E205" s="57"/>
      <c r="F205" s="57"/>
      <c r="G205" s="57"/>
      <c r="H205" s="57"/>
      <c r="I205" s="57"/>
      <c r="J205" s="57"/>
    </row>
  </sheetData>
  <mergeCells count="2">
    <mergeCell ref="A1:J2"/>
    <mergeCell ref="A3:J3"/>
  </mergeCells>
  <dataValidations count="3">
    <dataValidation type="list" allowBlank="1" sqref="C6:C206" xr:uid="{00000000-0002-0000-1000-000000000000}">
      <formula1>"02_EOI_CLIENT,03_EOI_FREELANCER,04_EOI_BUSINESS,05_EOI_VOLUNTEER,06_EOI_ACADEMY,07_EOI_HUB,08_REG_CLIENT_FULL,09_REG_TALENT_FULL,10_REG_VOLUNTEER_FULL,11_HUB_BOOKING,12_ACADEMY_ENROLL"</formula1>
      <formula2>0</formula2>
    </dataValidation>
    <dataValidation type="list" allowBlank="1" sqref="D6:D206" xr:uid="{00000000-0002-0000-1000-000001000000}">
      <formula1>Channels</formula1>
      <formula2>0</formula2>
    </dataValidation>
    <dataValidation type="list" allowBlank="1" sqref="I6:I206" xr:uid="{00000000-0002-0000-1000-000002000000}">
      <formula1>EOIStatus</formula1>
      <formula2>0</formula2>
    </dataValidation>
  </dataValidations>
  <printOptions horizontalCentered="1"/>
  <pageMargins left="0.5" right="0.5" top="0.6" bottom="0.6" header="0.511811023622047" footer="0.511811023622047"/>
  <pageSetup paperSize="9" fitToHeight="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19"/>
  <sheetViews>
    <sheetView tabSelected="1" zoomScaleNormal="100" workbookViewId="0">
      <pane ySplit="5" topLeftCell="A6" activePane="bottomLeft" state="frozen"/>
      <selection pane="bottomLeft"/>
    </sheetView>
  </sheetViews>
  <sheetFormatPr defaultColWidth="8.7421875" defaultRowHeight="15"/>
  <cols>
    <col min="1" max="1" width="4.03515625" customWidth="1"/>
    <col min="2" max="2" width="25.9609375" customWidth="1"/>
    <col min="3" max="7" width="13.98828125" customWidth="1"/>
    <col min="8" max="8" width="20.04296875" customWidth="1"/>
  </cols>
  <sheetData>
    <row r="1" spans="1:8" ht="15" customHeight="1">
      <c r="A1" s="8" t="s">
        <v>1028</v>
      </c>
      <c r="B1" s="8"/>
      <c r="C1" s="8"/>
      <c r="D1" s="8"/>
      <c r="E1" s="8"/>
      <c r="F1" s="8"/>
      <c r="G1" s="8"/>
      <c r="H1" s="8"/>
    </row>
    <row r="2" spans="1:8">
      <c r="A2" s="8"/>
      <c r="B2" s="8"/>
      <c r="C2" s="8"/>
      <c r="D2" s="8"/>
      <c r="E2" s="8"/>
      <c r="F2" s="8"/>
      <c r="G2" s="8"/>
      <c r="H2" s="8"/>
    </row>
    <row r="3" spans="1:8" ht="15" customHeight="1">
      <c r="A3" s="11" t="s">
        <v>1029</v>
      </c>
      <c r="B3" s="11"/>
      <c r="C3" s="11"/>
      <c r="D3" s="11"/>
      <c r="E3" s="11"/>
      <c r="F3" s="11"/>
      <c r="G3" s="11"/>
      <c r="H3" s="11"/>
    </row>
    <row r="5" spans="1:8" ht="31.5" customHeight="1">
      <c r="A5" s="13" t="s">
        <v>3</v>
      </c>
      <c r="B5" s="13" t="s">
        <v>1030</v>
      </c>
      <c r="C5" s="13" t="s">
        <v>1031</v>
      </c>
      <c r="D5" s="13" t="s">
        <v>1032</v>
      </c>
      <c r="E5" s="13" t="s">
        <v>1033</v>
      </c>
      <c r="F5" s="13" t="s">
        <v>1034</v>
      </c>
      <c r="G5" s="13" t="s">
        <v>1012</v>
      </c>
      <c r="H5" s="13" t="s">
        <v>1035</v>
      </c>
    </row>
    <row r="6" spans="1:8" ht="21.75" customHeight="1">
      <c r="A6" s="58">
        <v>1</v>
      </c>
      <c r="B6" s="59" t="s">
        <v>1036</v>
      </c>
      <c r="C6" s="60">
        <v>30</v>
      </c>
      <c r="D6" s="61">
        <f>COUNTIF('16_AUDIT_LOG'!C:C,"02_EOI_CLIENT")</f>
        <v>1</v>
      </c>
      <c r="E6" s="62">
        <f>MAX(0,C6-D6)</f>
        <v>29</v>
      </c>
      <c r="F6" s="63">
        <f>IFERROR(D6/C6,0)</f>
        <v>3.3333333333333333E-2</v>
      </c>
      <c r="G6" s="62" t="str">
        <f>IF(F6&gt;=1,"✦ Met",IF(F6&gt;=0.7,"On track",IF(F6&gt;=0.3,"Behind","At risk")))</f>
        <v>At risk</v>
      </c>
      <c r="H6" s="56" t="s">
        <v>1037</v>
      </c>
    </row>
    <row r="7" spans="1:8" ht="21.75" customHeight="1">
      <c r="A7" s="58">
        <v>2</v>
      </c>
      <c r="B7" s="59" t="s">
        <v>1038</v>
      </c>
      <c r="C7" s="60">
        <v>150</v>
      </c>
      <c r="D7" s="61">
        <f>COUNTIF('16_AUDIT_LOG'!C:C,"03_EOI_FREELANCER")</f>
        <v>1</v>
      </c>
      <c r="E7" s="62">
        <f>MAX(0,C7-D7)</f>
        <v>149</v>
      </c>
      <c r="F7" s="63">
        <f>IFERROR(D7/C7,0)</f>
        <v>6.6666666666666671E-3</v>
      </c>
      <c r="G7" s="62" t="str">
        <f>IF(F7&gt;=1,"✦ Met",IF(F7&gt;=0.7,"On track",IF(F7&gt;=0.3,"Behind","At risk")))</f>
        <v>At risk</v>
      </c>
      <c r="H7" s="56" t="s">
        <v>1039</v>
      </c>
    </row>
    <row r="8" spans="1:8" ht="21.75" customHeight="1">
      <c r="A8" s="58">
        <v>3</v>
      </c>
      <c r="B8" s="59" t="s">
        <v>1040</v>
      </c>
      <c r="C8" s="60">
        <v>40</v>
      </c>
      <c r="D8" s="61">
        <f>COUNTIF('16_AUDIT_LOG'!C:C,"04_EOI_BUSINESS")</f>
        <v>0</v>
      </c>
      <c r="E8" s="62">
        <f>MAX(0,C8-D8)</f>
        <v>40</v>
      </c>
      <c r="F8" s="63">
        <f>IFERROR(D8/C8,0)</f>
        <v>0</v>
      </c>
      <c r="G8" s="62" t="str">
        <f>IF(F8&gt;=1,"✦ Met",IF(F8&gt;=0.7,"On track",IF(F8&gt;=0.3,"Behind","At risk")))</f>
        <v>At risk</v>
      </c>
      <c r="H8" s="56" t="s">
        <v>1041</v>
      </c>
    </row>
    <row r="9" spans="1:8" ht="21.75" customHeight="1">
      <c r="A9" s="58">
        <v>4</v>
      </c>
      <c r="B9" s="59" t="s">
        <v>1042</v>
      </c>
      <c r="C9" s="60">
        <v>50</v>
      </c>
      <c r="D9" s="61">
        <f>COUNTIF('16_AUDIT_LOG'!C:C,"05_EOI_VOLUNTEER")</f>
        <v>1</v>
      </c>
      <c r="E9" s="62">
        <f>MAX(0,C9-D9)</f>
        <v>49</v>
      </c>
      <c r="F9" s="63">
        <f>IFERROR(D9/C9,0)</f>
        <v>0.02</v>
      </c>
      <c r="G9" s="62" t="str">
        <f>IF(F9&gt;=1,"✦ Met",IF(F9&gt;=0.7,"On track",IF(F9&gt;=0.3,"Behind","At risk")))</f>
        <v>At risk</v>
      </c>
      <c r="H9" s="56" t="s">
        <v>1043</v>
      </c>
    </row>
    <row r="10" spans="1:8" ht="21.75" customHeight="1">
      <c r="A10" s="58">
        <v>5</v>
      </c>
      <c r="B10" s="59" t="s">
        <v>1044</v>
      </c>
      <c r="C10" s="60">
        <v>40</v>
      </c>
      <c r="D10" s="61">
        <f>COUNTIF('16_AUDIT_LOG'!C:C,"06_EOI_ACADEMY")</f>
        <v>0</v>
      </c>
      <c r="E10" s="62">
        <f>MAX(0,C10-D10)</f>
        <v>40</v>
      </c>
      <c r="F10" s="63">
        <f>IFERROR(D10/C10,0)</f>
        <v>0</v>
      </c>
      <c r="G10" s="62" t="str">
        <f>IF(F10&gt;=1,"✦ Met",IF(F10&gt;=0.7,"On track",IF(F10&gt;=0.3,"Behind","At risk")))</f>
        <v>At risk</v>
      </c>
      <c r="H10" s="56" t="s">
        <v>1045</v>
      </c>
    </row>
    <row r="11" spans="1:8" ht="21.75" customHeight="1">
      <c r="A11" s="58">
        <v>6</v>
      </c>
      <c r="B11" s="59" t="s">
        <v>1046</v>
      </c>
      <c r="C11" s="60">
        <v>20</v>
      </c>
      <c r="D11" s="61">
        <f>COUNTIF('16_AUDIT_LOG'!C:C,"07_EOI_HUB")</f>
        <v>0</v>
      </c>
      <c r="E11" s="62">
        <f>MAX(0,C11-D11)</f>
        <v>20</v>
      </c>
      <c r="F11" s="63">
        <f>IFERROR(D11/C11,0)</f>
        <v>0</v>
      </c>
      <c r="G11" s="62" t="str">
        <f>IF(F11&gt;=1,"✦ Met",IF(F11&gt;=0.7,"On track",IF(F11&gt;=0.3,"Behind","At risk")))</f>
        <v>At risk</v>
      </c>
      <c r="H11" s="56" t="s">
        <v>1047</v>
      </c>
    </row>
    <row r="12" spans="1:8" ht="21.75" customHeight="1">
      <c r="A12" s="58">
        <v>7</v>
      </c>
      <c r="B12" s="59" t="s">
        <v>1048</v>
      </c>
      <c r="C12" s="60">
        <v>50</v>
      </c>
      <c r="D12" s="61">
        <f>COUNTIF('16_AUDIT_LOG'!C:C,"09_REG_TALENT_FULL")</f>
        <v>0</v>
      </c>
      <c r="E12" s="62">
        <f>MAX(0,C12-D12)</f>
        <v>50</v>
      </c>
      <c r="F12" s="63">
        <f>IFERROR(D12/C12,0)</f>
        <v>0</v>
      </c>
      <c r="G12" s="62" t="str">
        <f>IF(F12&gt;=1,"✦ Met",IF(F12&gt;=0.7,"On track",IF(F12&gt;=0.3,"Behind","At risk")))</f>
        <v>At risk</v>
      </c>
      <c r="H12" s="56" t="s">
        <v>1039</v>
      </c>
    </row>
    <row r="13" spans="1:8" ht="21.75" customHeight="1">
      <c r="A13" s="58">
        <v>8</v>
      </c>
      <c r="B13" s="59" t="s">
        <v>1049</v>
      </c>
      <c r="C13" s="60">
        <v>10</v>
      </c>
      <c r="D13" s="61">
        <f>COUNTIF('16_AUDIT_LOG'!C:C,"08_REG_CLIENT_FULL")</f>
        <v>0</v>
      </c>
      <c r="E13" s="62">
        <f>MAX(0,C13-D13)</f>
        <v>10</v>
      </c>
      <c r="F13" s="63">
        <f>IFERROR(D13/C13,0)</f>
        <v>0</v>
      </c>
      <c r="G13" s="62" t="str">
        <f>IF(F13&gt;=1,"✦ Met",IF(F13&gt;=0.7,"On track",IF(F13&gt;=0.3,"Behind","At risk")))</f>
        <v>At risk</v>
      </c>
      <c r="H13" s="56" t="s">
        <v>1041</v>
      </c>
    </row>
    <row r="14" spans="1:8" ht="21.75" customHeight="1">
      <c r="A14" s="58">
        <v>9</v>
      </c>
      <c r="B14" s="59" t="s">
        <v>1050</v>
      </c>
      <c r="C14" s="60">
        <v>8</v>
      </c>
      <c r="D14" s="61">
        <f>COUNTIF('16_AUDIT_LOG'!C:C,"11_HUB_BOOKING")</f>
        <v>0</v>
      </c>
      <c r="E14" s="62">
        <f>MAX(0,C14-D14)</f>
        <v>8</v>
      </c>
      <c r="F14" s="63">
        <f>IFERROR(D14/C14,0)</f>
        <v>0</v>
      </c>
      <c r="G14" s="62" t="str">
        <f>IF(F14&gt;=1,"✦ Met",IF(F14&gt;=0.7,"On track",IF(F14&gt;=0.3,"Behind","At risk")))</f>
        <v>At risk</v>
      </c>
      <c r="H14" s="56" t="s">
        <v>1047</v>
      </c>
    </row>
    <row r="15" spans="1:8" ht="21.75" customHeight="1">
      <c r="A15" s="58">
        <v>10</v>
      </c>
      <c r="B15" s="59" t="s">
        <v>1051</v>
      </c>
      <c r="C15" s="60">
        <v>1</v>
      </c>
      <c r="D15" s="61">
        <f>COUNTIF('16_AUDIT_LOG'!C:C,"12_ACADEMY_ENROLL")</f>
        <v>0</v>
      </c>
      <c r="E15" s="62">
        <f>MAX(0,C15-D15)</f>
        <v>1</v>
      </c>
      <c r="F15" s="63">
        <f>IFERROR(D15/C15,0)</f>
        <v>0</v>
      </c>
      <c r="G15" s="62" t="str">
        <f>IF(F15&gt;=1,"✦ Met",IF(F15&gt;=0.7,"On track",IF(F15&gt;=0.3,"Behind","At risk")))</f>
        <v>At risk</v>
      </c>
      <c r="H15" s="56" t="s">
        <v>1045</v>
      </c>
    </row>
    <row r="18" spans="1:8" ht="14.1" customHeight="1">
      <c r="A18" s="10" t="s">
        <v>1052</v>
      </c>
      <c r="B18" s="10"/>
      <c r="C18" s="10"/>
      <c r="D18" s="10"/>
      <c r="E18" s="10"/>
      <c r="F18" s="10"/>
      <c r="G18" s="10"/>
      <c r="H18" s="10"/>
    </row>
    <row r="19" spans="1:8">
      <c r="B19" s="21" t="s">
        <v>1053</v>
      </c>
      <c r="C19" s="30">
        <f>SUM(C6:C15)</f>
        <v>399</v>
      </c>
      <c r="D19" s="30">
        <f>SUM(D6:D15)</f>
        <v>3</v>
      </c>
      <c r="F19" s="64">
        <f>IFERROR(D19/C19,0)</f>
        <v>7.5187969924812026E-3</v>
      </c>
    </row>
  </sheetData>
  <mergeCells count="3">
    <mergeCell ref="A1:H2"/>
    <mergeCell ref="A3:H3"/>
    <mergeCell ref="A18:H18"/>
  </mergeCells>
  <conditionalFormatting sqref="F6:F15">
    <cfRule type="cellIs" dxfId="2" priority="2" operator="lessThan">
      <formula>0.3</formula>
    </cfRule>
    <cfRule type="cellIs" dxfId="1" priority="3" operator="between">
      <formula>0.3</formula>
      <formula>0.7</formula>
    </cfRule>
    <cfRule type="cellIs" dxfId="0" priority="4" operator="greaterThanOrEqual">
      <formula>0.7</formula>
    </cfRule>
  </conditionalFormatting>
  <printOptions horizontalCentered="1"/>
  <pageMargins left="0.5" right="0.5" top="0.6" bottom="0.6"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iOS</Application>
  <ScaleCrop>false</ScaleCrop>
  <HeadingPairs>
    <vt:vector size="4" baseType="variant">
      <vt:variant>
        <vt:lpstr>Worksheets</vt:lpstr>
      </vt:variant>
      <vt:variant>
        <vt:i4>18</vt:i4>
      </vt:variant>
      <vt:variant>
        <vt:lpstr>Named Ranges</vt:lpstr>
      </vt:variant>
      <vt:variant>
        <vt:i4>14</vt:i4>
      </vt:variant>
    </vt:vector>
  </HeadingPairs>
  <TitlesOfParts>
    <vt:vector size="32" baseType="lpstr">
      <vt:lpstr>00_INDEX</vt:lpstr>
      <vt:lpstr>01_CONFIG</vt:lpstr>
      <vt:lpstr>02_EOI_CLIENT</vt:lpstr>
      <vt:lpstr>03_EOI_FREELANCER</vt:lpstr>
      <vt:lpstr>04_EOI_BUSINESS</vt:lpstr>
      <vt:lpstr>05_EOI_VOLUNTEER</vt:lpstr>
      <vt:lpstr>06_EOI_ACADEMY</vt:lpstr>
      <vt:lpstr>07_EOI_HUB</vt:lpstr>
      <vt:lpstr>08_REG_CLIENT_FULL</vt:lpstr>
      <vt:lpstr>09_REG_TALENT_FULL</vt:lpstr>
      <vt:lpstr>10_REG_VOLUNTEER_FULL</vt:lpstr>
      <vt:lpstr>11_HUB_BOOKING</vt:lpstr>
      <vt:lpstr>12_ACADEMY_ENROLL</vt:lpstr>
      <vt:lpstr>13_SPECIALIZATIONS</vt:lpstr>
      <vt:lpstr>14_WHATSAPP_SCRIPTS</vt:lpstr>
      <vt:lpstr>15_RESPONSE_TEMPLATES</vt:lpstr>
      <vt:lpstr>16_AUDIT_LOG</vt:lpstr>
      <vt:lpstr>17_KPI_DASH</vt:lpstr>
      <vt:lpstr>AgeBands</vt:lpstr>
      <vt:lpstr>Availability</vt:lpstr>
      <vt:lpstr>BudgetBands</vt:lpstr>
      <vt:lpstr>Channels</vt:lpstr>
      <vt:lpstr>Countries</vt:lpstr>
      <vt:lpstr>Currencies</vt:lpstr>
      <vt:lpstr>Domains</vt:lpstr>
      <vt:lpstr>EOIStatus</vt:lpstr>
      <vt:lpstr>Genders</vt:lpstr>
      <vt:lpstr>Industries</vt:lpstr>
      <vt:lpstr>Languages</vt:lpstr>
      <vt:lpstr>OrgSizes</vt:lpstr>
      <vt:lpstr>Tiers</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2026-04-19T20:48:47Z</dcterms:created>
  <dcterms:modified xsi:type="dcterms:W3CDTF">2026-04-19T20:48:48Z</dcterms:modified>
  <dc:language>en-US</dc:language>
</cp:coreProperties>
</file>