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_NAV" sheetId="1" state="visible" r:id="rId3"/>
    <sheet name="01_REGULATORY" sheetId="2" state="visible" r:id="rId4"/>
    <sheet name="02_SSOT_ACD" sheetId="3" state="visible" r:id="rId5"/>
    <sheet name="03_TRUST_LADDER" sheetId="4" state="visible" r:id="rId6"/>
    <sheet name="04_CURRICULUM" sheetId="5" state="visible" r:id="rId7"/>
    <sheet name="05_COHORT_MGT" sheetId="6" state="visible" r:id="rId8"/>
    <sheet name="06_DONOR_PROP" sheetId="7" state="visible" r:id="rId9"/>
    <sheet name="07_CORP_TRAIN" sheetId="8" state="visible" r:id="rId10"/>
    <sheet name="08_OPEN_WORK" sheetId="9" state="visible" r:id="rId11"/>
    <sheet name="09_ASSESSMENT" sheetId="10" state="visible" r:id="rId12"/>
    <sheet name="10_INSTRUCTOR" sheetId="11" state="visible" r:id="rId13"/>
    <sheet name="11_IMPACT" sheetId="12" state="visible" r:id="rId14"/>
    <sheet name="12_PARTNERS" sheetId="13" state="visible" r:id="rId15"/>
    <sheet name="13_L2E_PIPELINE" sheetId="14" state="visible" r:id="rId16"/>
    <sheet name="14_CERT_GRAD" sheetId="15" state="visible" r:id="rId17"/>
    <sheet name="15_FINANCE" sheetId="16" state="visible" r:id="rId18"/>
    <sheet name="16_TIMELINE" sheetId="17" state="visible" r:id="rId19"/>
    <sheet name="17_KPI_DASH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<sst xmlns="http://schemas.openxmlformats.org/spreadsheetml/2006/main" count="1150" uniqueCount="909">
  <si>
    <t xml:space="preserve">كيان للابتكار وريادة الأعمال وبيئات العمل ذ.م.م</t>
  </si>
  <si>
    <t xml:space="preserve">KAYAN INNOVATION, ENTREPRENEURSHIP &amp; WORK ENVIRONMENTS LLC</t>
  </si>
  <si>
    <t xml:space="preserve">النظام 11: نظام الأكاديمية وبرامج التدريب | SYSTEM 11: ACADEMY &amp; TRAINING PROGRAMS OS</t>
  </si>
  <si>
    <t xml:space="preserve">KAY-ACD-SYS-011 | الإصدار 1.0 | فبراير 2026 | سري — CONFIDENTIAL</t>
  </si>
  <si>
    <t xml:space="preserve">⚠️ تنبيه تنظيمي حاسم: ترخيص مركز تدريب يتطلب موافقة وزارة التعليم الفني والتدريب المهني (MTEVT) — مدرسون مؤهلون + منهج معتمد + مرافق ملائمة
CRITICAL REGULATORY: Training center license requires MTEVT approval — qualified instructors + approved curriculum + adequate facilities
انظر تبويب 01 للاستراتيجية التنظيمية المرحلية | See Tab 01 for Phased Regulatory Strategy</t>
  </si>
  <si>
    <t xml:space="preserve">🎯 القاعدة الأساسية: التعلم ← التحقق ← الكسب | لا 'تدريب يتيم' أبداً — كل متخرج يدخل سلم الثقة T0 ويصبح مؤهلاً لمهام الفرق
CARDINAL RULE: Learning → Verification → Earning | No 'orphan training' — every graduate enters T0 trust ladder and becomes eligible for pod assignments</t>
  </si>
  <si>
    <t xml:space="preserve">التنقل | NAVIGATION</t>
  </si>
  <si>
    <t xml:space="preserve">التبويب</t>
  </si>
  <si>
    <t xml:space="preserve">الوظيفة (AR)</t>
  </si>
  <si>
    <t xml:space="preserve">Function (EN)</t>
  </si>
  <si>
    <t xml:space="preserve">00_COVER_NAV</t>
  </si>
  <si>
    <t xml:space="preserve">الغلاف والتنقل</t>
  </si>
  <si>
    <t xml:space="preserve">Cover &amp; Navigation</t>
  </si>
  <si>
    <t xml:space="preserve">01_REGULATORY</t>
  </si>
  <si>
    <t xml:space="preserve">الإطار التنظيمي والتراخيص</t>
  </si>
  <si>
    <t xml:space="preserve">Regulatory Framework &amp; Licensing</t>
  </si>
  <si>
    <t xml:space="preserve">02_SSOT_ACD</t>
  </si>
  <si>
    <t xml:space="preserve">معايير الأكاديمية</t>
  </si>
  <si>
    <t xml:space="preserve">Academy Parameters (SSOT)</t>
  </si>
  <si>
    <t xml:space="preserve">03_TRUST_LADDER</t>
  </si>
  <si>
    <t xml:space="preserve">سلم الثقة T0-T4 والتحقق</t>
  </si>
  <si>
    <t xml:space="preserve">Trust Ladder T0-T4 &amp; Verification</t>
  </si>
  <si>
    <t xml:space="preserve">04_CURRICULUM</t>
  </si>
  <si>
    <t xml:space="preserve">أطر المناهج — 6 مسارات</t>
  </si>
  <si>
    <t xml:space="preserve">Curriculum Frameworks — 6 Tracks</t>
  </si>
  <si>
    <t xml:space="preserve">05_COHORT_MGT</t>
  </si>
  <si>
    <t xml:space="preserve">إدارة الدفعات</t>
  </si>
  <si>
    <t xml:space="preserve">Cohort Management</t>
  </si>
  <si>
    <t xml:space="preserve">06_DONOR_PROP</t>
  </si>
  <si>
    <t xml:space="preserve">مقترحات الممولين</t>
  </si>
  <si>
    <t xml:space="preserve">Donor Proposal Templates</t>
  </si>
  <si>
    <t xml:space="preserve">07_CORP_TRAIN</t>
  </si>
  <si>
    <t xml:space="preserve">التدريب المؤسسي</t>
  </si>
  <si>
    <t xml:space="preserve">Corporate Training Packages</t>
  </si>
  <si>
    <t xml:space="preserve">08_OPEN_WORK</t>
  </si>
  <si>
    <t xml:space="preserve">الورش المفتوحة</t>
  </si>
  <si>
    <t xml:space="preserve">Open Workshops</t>
  </si>
  <si>
    <t xml:space="preserve">09_ASSESSMENT</t>
  </si>
  <si>
    <t xml:space="preserve">التقييم والاختبارات</t>
  </si>
  <si>
    <t xml:space="preserve">Assessment &amp; Testing Framework</t>
  </si>
  <si>
    <t xml:space="preserve">10_INSTRUCTOR</t>
  </si>
  <si>
    <t xml:space="preserve">إدارة المدربين</t>
  </si>
  <si>
    <t xml:space="preserve">Instructor Management</t>
  </si>
  <si>
    <t xml:space="preserve">11_IMPACT</t>
  </si>
  <si>
    <t xml:space="preserve">قياس الأثر IRIS+</t>
  </si>
  <si>
    <t xml:space="preserve">Impact Measurement IRIS+</t>
  </si>
  <si>
    <t xml:space="preserve">12_PARTNERS</t>
  </si>
  <si>
    <t xml:space="preserve">شراكات الأكاديمية</t>
  </si>
  <si>
    <t xml:space="preserve">Academy Partnerships</t>
  </si>
  <si>
    <t xml:space="preserve">13_L2E_PIPELINE</t>
  </si>
  <si>
    <t xml:space="preserve">مسار التعلم للكسب</t>
  </si>
  <si>
    <t xml:space="preserve">Learning-to-Earning Pipeline</t>
  </si>
  <si>
    <t xml:space="preserve">14_CERT_GRAD</t>
  </si>
  <si>
    <t xml:space="preserve">الشهادات والتخرج</t>
  </si>
  <si>
    <t xml:space="preserve">Certificates &amp; Graduation</t>
  </si>
  <si>
    <t xml:space="preserve">15_FINANCE</t>
  </si>
  <si>
    <t xml:space="preserve">المالية والميزانية</t>
  </si>
  <si>
    <t xml:space="preserve">Academy Finance &amp; Budget</t>
  </si>
  <si>
    <t xml:space="preserve">16_TIMELINE</t>
  </si>
  <si>
    <t xml:space="preserve">الجدول الزمني 12 شهر</t>
  </si>
  <si>
    <t xml:space="preserve">12-Month Timeline</t>
  </si>
  <si>
    <t xml:space="preserve">17_KPI_DASH</t>
  </si>
  <si>
    <t xml:space="preserve">لوحة المؤشرات</t>
  </si>
  <si>
    <t xml:space="preserve">KPI Dashboard</t>
  </si>
  <si>
    <t xml:space="preserve">الإطار التنظيمي — تراخيص التدريب في اليمن</t>
  </si>
  <si>
    <t xml:space="preserve">REGULATORY FRAMEWORK — Training Licensing in Yemen</t>
  </si>
  <si>
    <t xml:space="preserve">⚠️ القانون اليمني: ترخيص مركز تدريب يتطلب موافقة وزارة التعليم الفني والتدريب المهني (MTEVT)
المتطلبات: مدرسون مؤهلون + منهج معتمد + مرافق ملائمة + تقارير دورية
Yemen Law: Training center license requires MTEVT approval — qualified instructors + approved curriculum + adequate facilities + periodic reports</t>
  </si>
  <si>
    <t xml:space="preserve">أ. الاستراتيجية التنظيمية المرحلية — مسار آمن وقانوني | A. PHASED REGULATORY STRATEGY — Safe &amp; Legal Path</t>
  </si>
  <si>
    <t xml:space="preserve">المرحلة</t>
  </si>
  <si>
    <t xml:space="preserve">التوقيت</t>
  </si>
  <si>
    <t xml:space="preserve">Phase</t>
  </si>
  <si>
    <t xml:space="preserve">الحالة</t>
  </si>
  <si>
    <t xml:space="preserve">التفاصيل والمتطلبات | Details &amp; Requirements</t>
  </si>
  <si>
    <t xml:space="preserve">المرحلة 1</t>
  </si>
  <si>
    <t xml:space="preserve">شهر 1-3</t>
  </si>
  <si>
    <t xml:space="preserve">Phase 1: Operate Under LLC</t>
  </si>
  <si>
    <t xml:space="preserve">ورش عمل قصيرة (1-3 أيام) + جلسات إرشادية + فعاليات مجتمعية
الأساس القانوني: هذه أنشطة معلوماتية/تجارية ضمن نطاق السجل التجاري للشركة ذ.م.م — لا تتطلب ترخيص MTEVT
ما يُسمح به:
- ورش عمل مفتوحة (1-4 ساعات)
- جلسات إرشاد مهني
- فعاليات networking
- أيام تحقق
- جلسات تعريفية بالعمل الحر
ما لا يُسمح به بعد:
- إصدار شهادات تعليمية/مهنية رسمية
- الإعلان عن 'معهد' أو 'مركز تدريب'
- برامج طويلة الأجل (أكثر من أسبوع)
المسمى الصحيح: 'ورشة عمل' أو 'جلسة تأهيلية' — ليس 'دورة تدريبية'
المسؤول: ماهر</t>
  </si>
  <si>
    <t xml:space="preserve">المرحلة 2</t>
  </si>
  <si>
    <t xml:space="preserve">شهر 2-4</t>
  </si>
  <si>
    <t xml:space="preserve">Phase 2: MTEVT Application</t>
  </si>
  <si>
    <t xml:space="preserve">تقديم طلب ترخيص مركز تدريب لوزارة التعليم الفني والتدريب المهني
الخطوات:
1. زيارة مكتب MTEVT في عدن — اطلب الاستمارات والمتطلبات
2. إعداد الملف: السجل التجاري + عقد إيجار + مخططات المرافق + قائمة المعدات
3. إعداد المناهج للمراجعة (عربي، مفصل، مع أهداف تعليمية)
4. تقديم سير ذاتية المدربين + مؤهلاتهم
5. تقديم الطلب + دفع الرسوم
6. استقبال لجنة التفتيش
7. استلام الترخيص المبدئي
الرسوم المقدرة: 100-500$ (تختلف حسب الظروف)
المدة المتوقعة: 4-8 أسابيع (واقعياً في عدن: 2-3 أشهر)
⚠️ الوقع: الإجراءات في عدن قد تتأخر. ابدأ مبكراً.
المسؤول: ماهر + محمد</t>
  </si>
  <si>
    <t xml:space="preserve">المرحلة 3</t>
  </si>
  <si>
    <t xml:space="preserve">شهر 4-6</t>
  </si>
  <si>
    <t xml:space="preserve">Phase 3: Licensed Operations</t>
  </si>
  <si>
    <t xml:space="preserve">بعد استلام ترخيص MTEVT:
ما يُسمح به الآن:
- دفعات تدريبية كاملة (4-12 أسبوع)
- إصدار شهادات 'كيان' (غير حكومية لكن معترف بها)
- الإعلان كـ'أكاديمية كيان'
- برامج ممولة من جهات مانحة
- تدريب مؤسسي رسمي
الالتزامات المستمرة:
- تقارير دورية لـ MTEVT (ربع سنوية)
- صيانة المرافق وفق المعايير
- تحديث سجلات المدربين
- الاحتفاظ بسجلات الطلاب
المسؤول: ماهر</t>
  </si>
  <si>
    <t xml:space="preserve">المرحلة 4</t>
  </si>
  <si>
    <t xml:space="preserve">شهر 6+</t>
  </si>
  <si>
    <t xml:space="preserve">Phase 4: MTEVT Partnership</t>
  </si>
  <si>
    <t xml:space="preserve">تحويل العلاقة من 'ملتزم بالتنظيم' إلى 'شريك في التنمية'
الهدف:
- اعتراف MTEVT بشهادات كيان كمكافئة للتدريب المهني
- إدراج كيان كمركز تدريب معتمد للمنظمات الدولية
- المشاركة في مناقصات التدريب الحكومية
- إمكانية إصدار شهادات مشتركة MTEVT-Kayan
هذا يرفع قيمة كيان بشكل كبير أمام الممولين.
المسؤول: ماهر + محمد</t>
  </si>
  <si>
    <t xml:space="preserve">ب. الجهات الحكومية ذات العلاقة | B. RELEVANT GOVERNMENT BODIES</t>
  </si>
  <si>
    <t xml:space="preserve">الجهة (AR)</t>
  </si>
  <si>
    <t xml:space="preserve">Authority (EN)</t>
  </si>
  <si>
    <t xml:space="preserve">الوصف والعلاقة | Description</t>
  </si>
  <si>
    <t xml:space="preserve">المتطلب | Requirement</t>
  </si>
  <si>
    <t xml:space="preserve">وزارة التعليم الفني والتدريب المهني</t>
  </si>
  <si>
    <t xml:space="preserve">Ministry of Technical Education &amp; Vocational Training (MTEVT)</t>
  </si>
  <si>
    <t xml:space="preserve">الجهة الرئيسية لترخيص مراكز التدريب. مكتب في عدن. يطلب: مناهج + مدربين مؤهلين + مرافق.</t>
  </si>
  <si>
    <t xml:space="preserve">ترخيص مركز تدريب — إلزامي للبرامج الرسمية</t>
  </si>
  <si>
    <t xml:space="preserve">وزارة الشؤون الاجتماعية</t>
  </si>
  <si>
    <t xml:space="preserve">Ministry of Social Affairs</t>
  </si>
  <si>
    <t xml:space="preserve">إذا كنا نستقبل متطوعين أو ندير برامج شبابية. قد يطلب تصريح نشاط مجتمعي.</t>
  </si>
  <si>
    <t xml:space="preserve">تصريح نشاط مجتمعي — حسب طبيعة البرنامج</t>
  </si>
  <si>
    <t xml:space="preserve">وزارة الصناعة والتجارة</t>
  </si>
  <si>
    <t xml:space="preserve">Ministry of Industry &amp; Trade</t>
  </si>
  <si>
    <t xml:space="preserve">السجل التجاري الأساسي. كيان مسجلة كـ ذ.م.م — هذا يغطي الأنشطة التجارية العامة.</t>
  </si>
  <si>
    <t xml:space="preserve">السجل التجاري — مكتمل</t>
  </si>
  <si>
    <t xml:space="preserve">المجلس الأعلى للتعليم</t>
  </si>
  <si>
    <t xml:space="preserve">Supreme Council for Education</t>
  </si>
  <si>
    <t xml:space="preserve">إذا أردنا إصدار شهادات معادلة أو ربط ببرامج جامعية. ليس ضرورياً في المرحلة الأولى.</t>
  </si>
  <si>
    <t xml:space="preserve">مستقبلي — للاعتماد الأكاديمي</t>
  </si>
  <si>
    <t xml:space="preserve">هيئة حماية الطفل</t>
  </si>
  <si>
    <t xml:space="preserve">Child Protection Authority</t>
  </si>
  <si>
    <t xml:space="preserve">إذا كنا ندرب أشخاص تحت 18 سنة — يتطلب بروتوكولات حماية خاصة. سياسة كيان: الحد الأدنى 18 سنة.</t>
  </si>
  <si>
    <t xml:space="preserve">سياسة كيان: 18+ فقط — لا تدريب لقاصرين</t>
  </si>
  <si>
    <t xml:space="preserve">ج. المخاطر القانونية والتخفيف | C. LEGAL RISKS &amp; MITIGATIONS</t>
  </si>
  <si>
    <t xml:space="preserve">المخاطرة (AR)</t>
  </si>
  <si>
    <t xml:space="preserve">Risk (EN)</t>
  </si>
  <si>
    <t xml:space="preserve">المستوى</t>
  </si>
  <si>
    <t xml:space="preserve">التخفيف | Mitigation</t>
  </si>
  <si>
    <t xml:space="preserve">التشغيل بدون ترخيص MTEVT</t>
  </si>
  <si>
    <t xml:space="preserve">Operating Without MTEVT License</t>
  </si>
  <si>
    <t xml:space="preserve">🔴 عالي — غرامات + إغلاق ممكن</t>
  </si>
  <si>
    <t xml:space="preserve">الحل: المرحلة 1 = ورش قصيرة فقط (لا تتطلب ترخيص). المرحلة 2 = تقديم طلب الترخيص مبكراً. لا برامج رسمية حتى استلام الترخيص.</t>
  </si>
  <si>
    <t xml:space="preserve">تصنيف المدربين كموظفين</t>
  </si>
  <si>
    <t xml:space="preserve">Instructor Misclassification</t>
  </si>
  <si>
    <t xml:space="preserve">🟡 متوسط — نزاعات عمالية</t>
  </si>
  <si>
    <t xml:space="preserve">الحل: عقود مستقلين واضحة (KAY-CON-006). المدرب يتحكم بأسلوبه وأدواته. لا تبعية. استشر محامي عمل.</t>
  </si>
  <si>
    <t xml:space="preserve">حقوق الملكية الفكرية للمناهج</t>
  </si>
  <si>
    <t xml:space="preserve">Curriculum IP Ownership</t>
  </si>
  <si>
    <t xml:space="preserve">🟡 متوسط — نزاعات ملكية</t>
  </si>
  <si>
    <t xml:space="preserve">الحل: بند نقل IP واضح في عقد المدرب. كل منهج يُطور تحت كيان = ملكية كيان. مواد مفتوحة المصدر تبقى مفتوحة.</t>
  </si>
  <si>
    <t xml:space="preserve">شكاوى جودة التدريب</t>
  </si>
  <si>
    <t xml:space="preserve">Training Quality Complaints</t>
  </si>
  <si>
    <t xml:space="preserve">🟡 متوسط — سمعة + قانوني</t>
  </si>
  <si>
    <t xml:space="preserve">الحل: استبيان رضا بعد كل دفعة. سياسة شكاوى واضحة. لا وعود مبالغة. 'نساعدك في بناء مهارات' — ليس 'نضمن لك وظيفة'.</t>
  </si>
  <si>
    <t xml:space="preserve">فشل الإبلاغ للممولين</t>
  </si>
  <si>
    <t xml:space="preserve">Donor Reporting Failure</t>
  </si>
  <si>
    <t xml:space="preserve">🔴 عالي — فقدان تمويل مستقبلي</t>
  </si>
  <si>
    <t xml:space="preserve">الحل: قالب تقارير ممولين جاهز مسبقاً. بيانات ديموغرافية من اليوم الأول. تقارير شهرية حتى لو لم تُطلب.</t>
  </si>
  <si>
    <t xml:space="preserve">حماية بيانات المتدربين</t>
  </si>
  <si>
    <t xml:space="preserve">Trainee Data Protection</t>
  </si>
  <si>
    <t xml:space="preserve">🟡 متوسط — لا قانون خصوصية يمني لكن معايير دولية</t>
  </si>
  <si>
    <t xml:space="preserve">الحل: سياسة كيان للخصوصية (KAY-DAT-001). جمع الحد الأدنى. حذف بيانات الهوية بعد التحقق. موافقة مسبقة.</t>
  </si>
  <si>
    <t xml:space="preserve">المصدر الوحيد للحقيقة — معايير الأكاديمية</t>
  </si>
  <si>
    <t xml:space="preserve">SINGLE SOURCE OF TRUTH — ACADEMY PARAMETERS</t>
  </si>
  <si>
    <t xml:space="preserve">أ. أنواع البرامج والتسعير | A. PROGRAM TYPES &amp; PRICING</t>
  </si>
  <si>
    <t xml:space="preserve">البرنامج (AR)</t>
  </si>
  <si>
    <t xml:space="preserve">Program (EN)</t>
  </si>
  <si>
    <t xml:space="preserve">المدة</t>
  </si>
  <si>
    <t xml:space="preserve">السعة</t>
  </si>
  <si>
    <t xml:space="preserve">التسعير ($)</t>
  </si>
  <si>
    <t xml:space="preserve">الممول / المستهدف</t>
  </si>
  <si>
    <t xml:space="preserve">دفعة ممولة — توعية بيانات</t>
  </si>
  <si>
    <t xml:space="preserve">Donor: Data Annotation</t>
  </si>
  <si>
    <t xml:space="preserve">6-8 أسابيع</t>
  </si>
  <si>
    <t xml:space="preserve">15-20</t>
  </si>
  <si>
    <t xml:space="preserve">$6,000-$8,000</t>
  </si>
  <si>
    <t xml:space="preserve">GIZ / UNDP / جهات ثنائية</t>
  </si>
  <si>
    <t xml:space="preserve">دفعة ممولة — مهارات رقمية</t>
  </si>
  <si>
    <t xml:space="preserve">Donor: Digital Skills</t>
  </si>
  <si>
    <t xml:space="preserve">8 أسابيع</t>
  </si>
  <si>
    <t xml:space="preserve">$8,000-$12,000</t>
  </si>
  <si>
    <t xml:space="preserve">INGOs / UNICEF / WFP</t>
  </si>
  <si>
    <t xml:space="preserve">دفعة ممولة — تقنية متقدمة</t>
  </si>
  <si>
    <t xml:space="preserve">Donor: Advanced Tech</t>
  </si>
  <si>
    <t xml:space="preserve">12 أسبوع</t>
  </si>
  <si>
    <t xml:space="preserve">10-15</t>
  </si>
  <si>
    <t xml:space="preserve">$12,000-$16,000</t>
  </si>
  <si>
    <t xml:space="preserve">GIZ / USAID / Re:Coded</t>
  </si>
  <si>
    <t xml:space="preserve">تدريب مؤسسي</t>
  </si>
  <si>
    <t xml:space="preserve">Corporate Training</t>
  </si>
  <si>
    <t xml:space="preserve">1-4 أسابيع</t>
  </si>
  <si>
    <t xml:space="preserve">10-25</t>
  </si>
  <si>
    <t xml:space="preserve">$3,000-$8,000</t>
  </si>
  <si>
    <t xml:space="preserve">بنوك / اتصالات / شركات</t>
  </si>
  <si>
    <t xml:space="preserve">ورشة مفتوحة</t>
  </si>
  <si>
    <t xml:space="preserve">Open Workshop</t>
  </si>
  <si>
    <t xml:space="preserve">1-3 أيام</t>
  </si>
  <si>
    <t xml:space="preserve">15-30</t>
  </si>
  <si>
    <t xml:space="preserve">$20-50/شخص</t>
  </si>
  <si>
    <t xml:space="preserve">مشاركون أفراد</t>
  </si>
  <si>
    <t xml:space="preserve">أسس العمل الحر — كيان</t>
  </si>
  <si>
    <t xml:space="preserve">Kayan Freelancing Foundations</t>
  </si>
  <si>
    <t xml:space="preserve">4 أسابيع (24 ساعة)</t>
  </si>
  <si>
    <t xml:space="preserve">مجاني (ممول) أو $100</t>
  </si>
  <si>
    <t xml:space="preserve">خريجون جدد / باحثون عن عمل</t>
  </si>
  <si>
    <t xml:space="preserve">ب. أهداف إيرادات الأكاديمية — السنة 1 | B. ACADEMY REVENUE TARGETS — Year 1</t>
  </si>
  <si>
    <t xml:space="preserve">Program</t>
  </si>
  <si>
    <t xml:space="preserve">الحجم</t>
  </si>
  <si>
    <t xml:space="preserve">المدى ($)</t>
  </si>
  <si>
    <t xml:space="preserve">الهدف السنة 1</t>
  </si>
  <si>
    <t xml:space="preserve">التفعيل</t>
  </si>
  <si>
    <t xml:space="preserve">دفعات ممولة</t>
  </si>
  <si>
    <t xml:space="preserve">Donor-Funded Cohorts</t>
  </si>
  <si>
    <t xml:space="preserve">1-2 دفعات</t>
  </si>
  <si>
    <t xml:space="preserve">$6,000-$16,000</t>
  </si>
  <si>
    <t xml:space="preserve">$11,200</t>
  </si>
  <si>
    <t xml:space="preserve">شهر 4-8</t>
  </si>
  <si>
    <t xml:space="preserve">$3,200</t>
  </si>
  <si>
    <t xml:space="preserve">شهر 6-10</t>
  </si>
  <si>
    <t xml:space="preserve">ورش مفتوحة</t>
  </si>
  <si>
    <t xml:space="preserve">8-12 ورشة</t>
  </si>
  <si>
    <t xml:space="preserve">$300-$1,500/ورشة</t>
  </si>
  <si>
    <t xml:space="preserve">$2,400</t>
  </si>
  <si>
    <t xml:space="preserve">شهر 2+</t>
  </si>
  <si>
    <t xml:space="preserve">الإجمالي</t>
  </si>
  <si>
    <t xml:space="preserve">TOTAL</t>
  </si>
  <si>
    <t xml:space="preserve">$16,800</t>
  </si>
  <si>
    <t xml:space="preserve">ج. صلاحيات القرار — من يقرر ماذا | C. DECISION AUTHORITY — Who Decides What</t>
  </si>
  <si>
    <t xml:space="preserve">القرار (AR)</t>
  </si>
  <si>
    <t xml:space="preserve">Decision (EN)</t>
  </si>
  <si>
    <t xml:space="preserve">السلطة | Authority</t>
  </si>
  <si>
    <t xml:space="preserve">القواعد | Rules</t>
  </si>
  <si>
    <t xml:space="preserve">إطلاق دفعة جديدة</t>
  </si>
  <si>
    <t xml:space="preserve">Launch New Cohort</t>
  </si>
  <si>
    <t xml:space="preserve">محمد يقترح → ماهر يوافق</t>
  </si>
  <si>
    <t xml:space="preserve">كل دفعة تتطلب: منهج + مدرب + ميزانية + 15+ متقدم. لا دفعة بدون ممول مؤكد (للممولة) أو 10+ مسجلين (للمفتوحة).</t>
  </si>
  <si>
    <t xml:space="preserve">اختيار المناهج</t>
  </si>
  <si>
    <t xml:space="preserve">Curriculum Selection</t>
  </si>
  <si>
    <t xml:space="preserve">محمد يطور → خبير يراجع → ماهر يوافق</t>
  </si>
  <si>
    <t xml:space="preserve">المنهج يُبنى أولاً → يراجعه خبير متخصص (حتى متطوع) → يُعتمد من CEO → يُترجم/يُكيف للعربية.</t>
  </si>
  <si>
    <t xml:space="preserve">تعيين مدربين</t>
  </si>
  <si>
    <t xml:space="preserve">Hire Instructors</t>
  </si>
  <si>
    <t xml:space="preserve">محمد يرشح → ماهر يوافق</t>
  </si>
  <si>
    <t xml:space="preserve">كل مدرب: سيرة ذاتية + 3 سنوات خبرة على الأقل + مقابلة + درس تجريبي. عقد مستقل (KAY-CON-006).</t>
  </si>
  <si>
    <t xml:space="preserve">تسعير البرامج</t>
  </si>
  <si>
    <t xml:space="preserve">Program Pricing</t>
  </si>
  <si>
    <t xml:space="preserve">محمد يقترح → ماهر يقرر</t>
  </si>
  <si>
    <t xml:space="preserve">CEO فقط يحدد السعر النهائي. أسعار أقل من الحد الأدنى تتطلب تبرير مكتوب.</t>
  </si>
  <si>
    <t xml:space="preserve">قبول ممول</t>
  </si>
  <si>
    <t xml:space="preserve">Accept Donor</t>
  </si>
  <si>
    <t xml:space="preserve">ماهر فقط</t>
  </si>
  <si>
    <t xml:space="preserve">كل ممول: KYC + OFAC فحص + مراجعة شروط. لا نقبل تمويل مشروط بأجندة سياسية/دينية.</t>
  </si>
  <si>
    <t xml:space="preserve">إلغاء دفعة</t>
  </si>
  <si>
    <t xml:space="preserve">Cancel Cohort</t>
  </si>
  <si>
    <t xml:space="preserve">أسباب مشروعة: أقل من 10 مسجلين، انسحاب الممول، أزمة أمنية، عدم توفر مدرب. إبلاغ المسجلين خلال 48 ساعة.</t>
  </si>
  <si>
    <t xml:space="preserve">إصدار شهادات</t>
  </si>
  <si>
    <t xml:space="preserve">Issue Certificates</t>
  </si>
  <si>
    <t xml:space="preserve">محمد يجهز → ماهر يوقع</t>
  </si>
  <si>
    <t xml:space="preserve">كل شهادة: توقيع مزدوج (محمد + ماهر). لا شهادة بدون اجتياز 80%+ من المتطلبات + حضور 80%+.</t>
  </si>
  <si>
    <t xml:space="preserve">شراكات أكاديمية</t>
  </si>
  <si>
    <t xml:space="preserve">Academic Partnerships</t>
  </si>
  <si>
    <t xml:space="preserve">محمد يفاوض → ماهر يوقع</t>
  </si>
  <si>
    <t xml:space="preserve">مذكرات التفاهم: محمد يتفاوض على التفاصيل. التوقيع النهائي = CEO فقط. لا التزامات مالية بدون موافقة مكتوبة.</t>
  </si>
  <si>
    <t xml:space="preserve">سلم الثقة T0-T4 والتحقق | TRUST LADDER T0-T4 &amp; VERIFICATION</t>
  </si>
  <si>
    <t xml:space="preserve">الاسم | Name</t>
  </si>
  <si>
    <t xml:space="preserve">الوصف | Description</t>
  </si>
  <si>
    <t xml:space="preserve">متطلبات التأهيل | Qualification Requirements</t>
  </si>
  <si>
    <t xml:space="preserve">الأهلية والأجر | Eligibility &amp; Rate</t>
  </si>
  <si>
    <t xml:space="preserve">T0</t>
  </si>
  <si>
    <t xml:space="preserve">غير معتمد
Unverified</t>
  </si>
  <si>
    <t xml:space="preserve">تدريب أكاديمية فقط. غير مؤهل لمشاريع مدفوعة.</t>
  </si>
  <si>
    <t xml:space="preserve">هوية محققة (ID + صورة) + معلومات اتصال مؤكدة + ملف شخصي أساسي مكتمل.</t>
  </si>
  <si>
    <t xml:space="preserve">لا يُعين في فرق. يحضر التدريب فقط. مجاني — لا أجر.</t>
  </si>
  <si>
    <t xml:space="preserve">T1</t>
  </si>
  <si>
    <t xml:space="preserve">موهبة ناشئة
Emerging Talent</t>
  </si>
  <si>
    <t xml:space="preserve">مهام تحت إشراف ضمن فريق. لا يعمل مستقلاً.</t>
  </si>
  <si>
    <t xml:space="preserve">تقييم ذاتي للمهارات + معرض أعمال (3+ نماذج) + اختبار كتابي مجتاز.</t>
  </si>
  <si>
    <t xml:space="preserve">أجر أساسي. يعمل تحت إشراف T2+. مناسب لمهام بسيطة ومحددة.</t>
  </si>
  <si>
    <t xml:space="preserve">T2</t>
  </si>
  <si>
    <t xml:space="preserve">محترف ممارس
Practicing Pro</t>
  </si>
  <si>
    <t xml:space="preserve">2+ مشاريع مكتملة. تقييم 4.0+. يقود مهام فرعية.</t>
  </si>
  <si>
    <t xml:space="preserve">فحص مراجع (2 مراجع) + مشروع تجريبي مكتمل بنجاح + تقييم عميل 4.0+.</t>
  </si>
  <si>
    <t xml:space="preserve">أجر أساسي +10-15%. يقود مهام فرعية. مساهم مستقل في الفرق.</t>
  </si>
  <si>
    <t xml:space="preserve">T3</t>
  </si>
  <si>
    <t xml:space="preserve">خبير موثوق
Trusted Expert</t>
  </si>
  <si>
    <t xml:space="preserve">5+ مشاريع. معرض أعمال موثق. تقييم 4.5+ مستمر.</t>
  </si>
  <si>
    <t xml:space="preserve">5+ مشاريع مكتملة + معرض أعمال موثق + تقييم 4.5+ + شهادة متقدمة (إذا متاحة).</t>
  </si>
  <si>
    <t xml:space="preserve">أجر أساسي +20-30%. يقود فرق متوسطة/كبيرة. مراجع جودة. مدرب.</t>
  </si>
  <si>
    <t xml:space="preserve">T4</t>
  </si>
  <si>
    <t xml:space="preserve">خبير معتمد
Master Verified</t>
  </si>
  <si>
    <t xml:space="preserve">سجل تميز. يدرب الآخرين. قائد فكري.</t>
  </si>
  <si>
    <t xml:space="preserve">سجل تميز استثنائي + يدرب الآخرين + معترف به في مجاله.</t>
  </si>
  <si>
    <t xml:space="preserve">أجر أساسي +30-50%. يقود مشاريع enterprise. مراجع QA رئيسي. مدرب أكاديمية.</t>
  </si>
  <si>
    <t xml:space="preserve">ب. مسار التقدم — الأكاديمية تغذي سلم الثقة | B. PROGRESSION PATH — Academy Feeds Trust Ladder</t>
  </si>
  <si>
    <t xml:space="preserve">الخطوة</t>
  </si>
  <si>
    <t xml:space="preserve">المرحلة (AR)</t>
  </si>
  <si>
    <t xml:space="preserve">Stage (EN)</t>
  </si>
  <si>
    <t xml:space="preserve">التفاصيل | Details</t>
  </si>
  <si>
    <t xml:space="preserve">المسؤول</t>
  </si>
  <si>
    <t xml:space="preserve">1</t>
  </si>
  <si>
    <t xml:space="preserve">التحاق بالأكاديمية</t>
  </si>
  <si>
    <t xml:space="preserve">Academy Enrollment</t>
  </si>
  <si>
    <t xml:space="preserve">متقدم يسجل في دفعة → يدخل كـ T0 تلقائياً</t>
  </si>
  <si>
    <t xml:space="preserve">محمد</t>
  </si>
  <si>
    <t xml:space="preserve">يوم التسجيل</t>
  </si>
  <si>
    <t xml:space="preserve">2</t>
  </si>
  <si>
    <t xml:space="preserve">تدريب مكثف</t>
  </si>
  <si>
    <t xml:space="preserve">Intensive Training</t>
  </si>
  <si>
    <t xml:space="preserve">4-12 أسبوع حسب المسار. حضور 80%+ إلزامي. تقييمات أسبوعية.</t>
  </si>
  <si>
    <t xml:space="preserve">مدرب + محمد</t>
  </si>
  <si>
    <t xml:space="preserve">خلال الدفعة</t>
  </si>
  <si>
    <t xml:space="preserve">3</t>
  </si>
  <si>
    <t xml:space="preserve">مشروع تخرج</t>
  </si>
  <si>
    <t xml:space="preserve">Capstone Project</t>
  </si>
  <si>
    <t xml:space="preserve">مشروع عملي يحاكي عمل الفرق الحقيقي. يُقيم من مدرب + مراجع خارجي.</t>
  </si>
  <si>
    <t xml:space="preserve">مدرب</t>
  </si>
  <si>
    <t xml:space="preserve">الأسبوع الأخير</t>
  </si>
  <si>
    <t xml:space="preserve">4</t>
  </si>
  <si>
    <t xml:space="preserve">التحقق الأولي</t>
  </si>
  <si>
    <t xml:space="preserve">Initial Verification</t>
  </si>
  <si>
    <t xml:space="preserve">خريج يجتاز التقييم → ينتقل من T0 إلى T1. اختبار كتابي + مراجعة معرض أعمال.</t>
  </si>
  <si>
    <t xml:space="preserve">طارق + محمد</t>
  </si>
  <si>
    <t xml:space="preserve">بعد التخرج</t>
  </si>
  <si>
    <t xml:space="preserve">5</t>
  </si>
  <si>
    <t xml:space="preserve">أول مهمة فريق</t>
  </si>
  <si>
    <t xml:space="preserve">First Pod Assignment</t>
  </si>
  <si>
    <t xml:space="preserve">T1 يُعين في فريق تحت إشراف T2+. مهمة محددة ومتابعة دقيقة.</t>
  </si>
  <si>
    <t xml:space="preserve">ماهر</t>
  </si>
  <si>
    <t xml:space="preserve">خلال 30 يوم</t>
  </si>
  <si>
    <t xml:space="preserve">6</t>
  </si>
  <si>
    <t xml:space="preserve">بناء السجل</t>
  </si>
  <si>
    <t xml:space="preserve">Build Track Record</t>
  </si>
  <si>
    <t xml:space="preserve">2+ مشاريع مكتملة + تقييم 4.0+ → يتقدم لـ T2</t>
  </si>
  <si>
    <t xml:space="preserve">تلقائي</t>
  </si>
  <si>
    <t xml:space="preserve">3-6 أشهر</t>
  </si>
  <si>
    <t xml:space="preserve">أطر المناهج — 6 مسارات | CURRICULUM FRAMEWORKS — 6 Tracks</t>
  </si>
  <si>
    <t xml:space="preserve">📋 ملاحظة تنظيمية: المناهج التفصيلية مطلوبة لطلب ترخيص MTEVT. يجب أن تكون بالعربية مع أهداف تعليمية واضحة.
REGULATORY: Detailed curricula required for MTEVT license application. Must be in Arabic with clear learning objectives.</t>
  </si>
  <si>
    <t xml:space="preserve">المسار 1: أسس العمل الحر | Track 1: Freelancing Foundations — 4 أسابيع (24 ساعة) | 15-20 متدرب</t>
  </si>
  <si>
    <t xml:space="preserve">الأسبوع 1: الهوية الرقمية وإعداد المنصات (12 ساعة)
- اقتصاد العمل الحر — توقعات واقعية لليمن
- إنشاء حسابات Upwork/Mostaql/Khamsat
- تحسين الملف الشخصي + معرض أعمال
- هوية رقمية مهنية (LinkedIn, email, photo)
الأسبوع 2: تجهيز الخدمات والتسعير (12 ساعة)
- تدقيق المهارات + اختيار التخصص الدقيق
- استراتيجية التسعير لتكلفة المعيشة في عدن
- بناء 2-3 نماذج أعمال
الأسبوع 3: اكتساب العملاء والتواصل (12 ساعة)
- كتابة العروض الفائزة
- تواصل مهني (إنجليزي + عربي)
- إدارة المدفوعات لليمن
الأسبوع 4: الإطلاق والتحقق (12 ساعة)
- سباق عروض حي: كل مشارك يقدم 5 عروض حقيقية
- ضمان الجودة والتسليم
- ورشة تخرج + تسجيل T0 في كيان
التقييم: معرض أعمال (30%) + جودة العروض (25%) + ملف المنصة (20%) + عرض نهائي (15%) + تقييم أقران (10%)</t>
  </si>
  <si>
    <t xml:space="preserve">المسار 2: توعية البيانات | Track 2: Data Annotation — 6 أسابيع (36 ساعة) | 15-20 متدرب</t>
  </si>
  <si>
    <t xml:space="preserve">أسبوع 1-2: أساسيات البيانات
- ما هي البيانات ولماذا تهم
- أنواع التوعية: نص، صورة، صوت
- أدوات: Label Studio, Prodigy, CVAT
- أخلاقيات البيانات والخصوصية
أسبوع 3-4: تطبيق عملي
- مشاريع تدريبية باستخدام بيانات حقيقية
- ضبط الجودة والاتساق
- العمل الجماعي وسير العمل
أسبوع 5-6: مشروع تخرج
- مشروع توعية بيانات حقيقي (بالتنسيق مع عميل إذا متاح)
- مراجعة الجودة ومطابقة المعايير
- تقديم نهائي + تسجيل T0
⭐ عالي الطلب من المنظمات الدولية — GIZ و UNDP يمولون هذا المسار</t>
  </si>
  <si>
    <t xml:space="preserve">المسار 3: تصميم جرافيك | Track 3: Graphic Design — 8 أسابيع (48 ساعة) | 15 متدرب</t>
  </si>
  <si>
    <t xml:space="preserve">أسبوع 1-2: أساسيات التصميم
- نظرية اللون والتكوين والخطوط
- أدوات: Canva (مجاني) + Figma (مجاني)
- تصميم للسوشال ميديا
أسبوع 3-4: هوية بصرية
- تصميم شعارات
- إنشاء brand kit كامل
- قوالب للطباعة والرقمي
أسبوع 5-6: تصميم UI/UX أساسي
- مبادئ تجربة المستخدم
- wireframing وprototyping في Figma
أسبوع 7-8: مشروع تخرج
- تصميم هوية بصرية كاملة لعميل حقيقي/وهمي
- معرض أعمال من 5+ مشاريع
- عرض نهائي + تسجيل T0</t>
  </si>
  <si>
    <t xml:space="preserve">المسار 4: تطوير ويب | Track 4: Web Development — 12 أسبوع (72 ساعة) | 10-15 متدرب</t>
  </si>
  <si>
    <t xml:space="preserve">أسبوع 1-3: أساسيات الويب
- HTML5, CSS3, JavaScript أساسي
- Responsive design
- أدوات: VS Code, GitHub
أسبوع 4-6: Frontend متقدم
- CSS frameworks (Tailwind/Bootstrap)
- JavaScript متقدم
- React أو Vue أساسي
أسبوع 7-9: Backend أساسي
- Node.js أو Python/Flask
- قواعد بيانات أساسية
- APIs
أسبوع 10-12: مشروع تخرج
- بناء موقع ويب كامل لعميل حقيقي
- نشر على hosting
- توثيق + عرض نهائي + T0
⭐ أطول مسار — يتطلب Re:Coded أو شريك تقني كمزود محتوى</t>
  </si>
  <si>
    <t xml:space="preserve">المسار 5: كتابة محتوى عربي | Track 5: Arabic Content Writing — 6 أسابيع (36 ساعة) | 15-20 متدرب</t>
  </si>
  <si>
    <t xml:space="preserve">أسبوع 1-2: أساسيات الكتابة الرقمية
- الفرق بين الكتابة الأكاديمية والتسويقية
- كتابة للويب: قصيرة، واضحة، موجهة للفعل
- SEO أساسي
أسبوع 3-4: أنواع المحتوى
- منشورات سوشال ميديا
- مقالات مدونة
- نصوص إعلانية
- ترجمة EN→AR / AR→EN
أسبوع 5-6: مشروع تخرج
- إنشاء تقويم محتوى + 12 منشور + مقالتين لعميل حقيقي/وهمي
- مراجعة لغوية + تحرير
- عرض نهائي + T0
⭐ طلب عالي محلياً — كل شركة تحتاج محتوى عربي</t>
  </si>
  <si>
    <t xml:space="preserve">المسار 6: إدارة مشاريع | Track 6: Project Management — 4 أسابيع (24 ساعة) | 15 متدرب</t>
  </si>
  <si>
    <t xml:space="preserve">أسبوع 1: مبادئ إدارة المشاريع
- دورة حياة المشروع
- الأدوار والمسؤوليات
- أدوات: Trello, Notion, Google Sheets
أسبوع 2: التخطيط والتنفيذ
- WBS, Gantt, milestones
- إدارة المخاطر
- التواصل مع العملاء
أسبوع 3: جودة وتسليم
- معايير الجودة
- مراجعة الأقران
- التسليم والتوثيق
أسبوع 4: مشروع تخرج
- إدارة مشروع وهمي من البداية للنهاية
- تقديم نهائي + T0
⭐ مطلوب داخلياً — يغذي قادة الفرق T2/T3</t>
  </si>
  <si>
    <t xml:space="preserve">إدارة الدفعات — من التسجيل إلى التخرج</t>
  </si>
  <si>
    <t xml:space="preserve">COHORT MANAGEMENT — Registration Through Graduation</t>
  </si>
  <si>
    <t xml:space="preserve">أ. سجل الدفعات | A. COHORT REGISTER</t>
  </si>
  <si>
    <t xml:space="preserve">رقم الدفعة
Cohort ID</t>
  </si>
  <si>
    <t xml:space="preserve">المسار
Track</t>
  </si>
  <si>
    <t xml:space="preserve">تاريخ البدء
Start</t>
  </si>
  <si>
    <t xml:space="preserve">تاريخ النهاية
End</t>
  </si>
  <si>
    <t xml:space="preserve">المدرب
Instructor</t>
  </si>
  <si>
    <t xml:space="preserve">المسجلون
Enrolled</t>
  </si>
  <si>
    <t xml:space="preserve">الحالة
Status</t>
  </si>
  <si>
    <t xml:space="preserve">ACD-2026-001</t>
  </si>
  <si>
    <t xml:space="preserve">ACD-2026-002</t>
  </si>
  <si>
    <t xml:space="preserve">ACD-2026-003</t>
  </si>
  <si>
    <t xml:space="preserve">ACD-2026-004</t>
  </si>
  <si>
    <t xml:space="preserve">ACD-2026-005</t>
  </si>
  <si>
    <t xml:space="preserve">ACD-2026-006</t>
  </si>
  <si>
    <t xml:space="preserve">ACD-2026-007</t>
  </si>
  <si>
    <t xml:space="preserve">ACD-2026-008</t>
  </si>
  <si>
    <t xml:space="preserve">ACD-2026-009</t>
  </si>
  <si>
    <t xml:space="preserve">ACD-2026-010</t>
  </si>
  <si>
    <t xml:space="preserve">ب. نموذج سجل الطلاب — لكل دفعة | B. STUDENT REGISTER TEMPLATE — Per Cohort</t>
  </si>
  <si>
    <t xml:space="preserve">الرقم
#</t>
  </si>
  <si>
    <t xml:space="preserve">الاسم الكامل
Full Name</t>
  </si>
  <si>
    <t xml:space="preserve">الجنس
Gender</t>
  </si>
  <si>
    <t xml:space="preserve">العمر
Age</t>
  </si>
  <si>
    <t xml:space="preserve">الهاتف/واتساب
Phone</t>
  </si>
  <si>
    <t xml:space="preserve">الحضور %
Attendance</t>
  </si>
  <si>
    <t xml:space="preserve">النتيجة
Result</t>
  </si>
  <si>
    <t xml:space="preserve">ج. دورة حياة الدفعة — 8 خطوات إلزامية | C. COHORT LIFECYCLE — 8 Mandatory Steps</t>
  </si>
  <si>
    <t xml:space="preserve">#</t>
  </si>
  <si>
    <t xml:space="preserve">التخطيط</t>
  </si>
  <si>
    <t xml:space="preserve">Planning</t>
  </si>
  <si>
    <t xml:space="preserve">تحديد المسار + المدرب + الميزانية + الممول (إذا ممولة). محمد يقترح → ماهر يوافق.</t>
  </si>
  <si>
    <t xml:space="preserve">8-12 أسبوع قبل</t>
  </si>
  <si>
    <t xml:space="preserve">الإعلان</t>
  </si>
  <si>
    <t xml:space="preserve">Announcement</t>
  </si>
  <si>
    <t xml:space="preserve">واتساب + فيسبوك + شبكة الجامعة. نموذج تسجيل بسيط: اسم + هاتف + تعليم + لماذا تريد الانضمام.</t>
  </si>
  <si>
    <t xml:space="preserve">6 أسابيع قبل</t>
  </si>
  <si>
    <t xml:space="preserve">علي + محمد</t>
  </si>
  <si>
    <t xml:space="preserve">الاختيار</t>
  </si>
  <si>
    <t xml:space="preserve">Selection</t>
  </si>
  <si>
    <t xml:space="preserve">معايير: دافع + مهارات أساسية + التزام. إذا الطلب &gt; السعة: تقييم + مقابلة. 40%+ نساء هدف.</t>
  </si>
  <si>
    <t xml:space="preserve">4 أسابيع قبل</t>
  </si>
  <si>
    <t xml:space="preserve">الاتفاقية</t>
  </si>
  <si>
    <t xml:space="preserve">Agreement</t>
  </si>
  <si>
    <t xml:space="preserve">كل متدرب يوقع: حضور 80%+ إلزامي + مدونة سلوك + استخدام المعدات + حقوق الصور/القصص.</t>
  </si>
  <si>
    <t xml:space="preserve">أسبوع 1</t>
  </si>
  <si>
    <t xml:space="preserve">التنفيذ</t>
  </si>
  <si>
    <t xml:space="preserve">Delivery</t>
  </si>
  <si>
    <t xml:space="preserve">حسب المنهج. حضور يومي. تقييمات أسبوعية. تقرير منتصف المدة للممول (إذا ممولة).</t>
  </si>
  <si>
    <t xml:space="preserve">مدة الدفعة</t>
  </si>
  <si>
    <t xml:space="preserve">مشروع التخرج</t>
  </si>
  <si>
    <t xml:space="preserve">Capstone</t>
  </si>
  <si>
    <t xml:space="preserve">مشروع عملي يحاكي عمل الفرق. يُقيم من مدرب + مراجع. يُستخدم في معرض الأعمال.</t>
  </si>
  <si>
    <t xml:space="preserve">آخر أسبوع</t>
  </si>
  <si>
    <t xml:space="preserve">7</t>
  </si>
  <si>
    <t xml:space="preserve">التخرج + التحقق</t>
  </si>
  <si>
    <t xml:space="preserve">Graduation + Verification</t>
  </si>
  <si>
    <t xml:space="preserve">حفل تخرج + شهادات + تسجيل T0 في سجل المستقلين. صور + قصص للتسويق.</t>
  </si>
  <si>
    <t xml:space="preserve">بعد الانتهاء</t>
  </si>
  <si>
    <t xml:space="preserve">محمد + طارق</t>
  </si>
  <si>
    <t xml:space="preserve">8</t>
  </si>
  <si>
    <t xml:space="preserve">التتبع</t>
  </si>
  <si>
    <t xml:space="preserve">Follow-Up</t>
  </si>
  <si>
    <t xml:space="preserve">تتبع النتائج: كم خريج دخل فريق؟ كم وجد عمل؟ كم نشط بعد 3 أشهر؟ هذا = تقرير الأثر.</t>
  </si>
  <si>
    <t xml:space="preserve">3-6 أشهر بعد</t>
  </si>
  <si>
    <t xml:space="preserve">مقترحات الممولين — القوالب والمستهدفون</t>
  </si>
  <si>
    <t xml:space="preserve">DONOR PROPOSAL TEMPLATES &amp; TARGETS</t>
  </si>
  <si>
    <t xml:space="preserve">أ. قائمة الممولين المستهدفين — عدن | A. TARGET DONOR LIST — Aden</t>
  </si>
  <si>
    <t xml:space="preserve">الممول (AR)</t>
  </si>
  <si>
    <t xml:space="preserve">Donor (EN)</t>
  </si>
  <si>
    <t xml:space="preserve">الوصف والفرصة | Opportunity</t>
  </si>
  <si>
    <t xml:space="preserve">نهج التواصل | Approach</t>
  </si>
  <si>
    <t xml:space="preserve">الأولوية</t>
  </si>
  <si>
    <t xml:space="preserve">GIZ اليمن</t>
  </si>
  <si>
    <t xml:space="preserve">GIZ Yemen</t>
  </si>
  <si>
    <t xml:space="preserve">منح فرعية 10,000-100,000$ لشركاء محليين. نشطون في التدريب المهني. عدن مدينة مركزية.</t>
  </si>
  <si>
    <t xml:space="preserve">مقترح مباشر + زيارة مكتب GIZ عدن. أظهر: مرافق + مناهج + سجل.</t>
  </si>
  <si>
    <t xml:space="preserve">🔴 عالي</t>
  </si>
  <si>
    <t xml:space="preserve">UNDP اليمن</t>
  </si>
  <si>
    <t xml:space="preserve">UNDP Yemen</t>
  </si>
  <si>
    <t xml:space="preserve">مشروع SIERY: 563 شركة صغيرة + 24,000 وظيفة. ESPECRP: 232.9 مليون$ عبر SMEPS.</t>
  </si>
  <si>
    <t xml:space="preserve">تسجيل UNGM أولاً. ثم مفهوم مشروع + ميزانية + جدول.</t>
  </si>
  <si>
    <t xml:space="preserve">UNICEF — تمكين الشباب</t>
  </si>
  <si>
    <t xml:space="preserve">UNICEF Team Tamkeen</t>
  </si>
  <si>
    <t xml:space="preserve">جنوب اليمن: مهارات حياتية + تدريب مهني (طاقة شمسية، تقنية).</t>
  </si>
  <si>
    <t xml:space="preserve">خريطة شراكة + مقترح. محتوى: مهارات رقمية للشباب 18-24.</t>
  </si>
  <si>
    <t xml:space="preserve">🟡 متوسط</t>
  </si>
  <si>
    <t xml:space="preserve">ILO — ERRY III</t>
  </si>
  <si>
    <t xml:space="preserve">ILO ERRY III</t>
  </si>
  <si>
    <t xml:space="preserve">أبين ولحج (قريب من عدن). SIYB + 2,400 تدريب مهني. تدريب المدربين.</t>
  </si>
  <si>
    <t xml:space="preserve">التقدم كمركز تدريب SIYB. شراكة فرعية.</t>
  </si>
  <si>
    <t xml:space="preserve">Re:Coded</t>
  </si>
  <si>
    <t xml:space="preserve">معسكرات برمجة للشباب المتأثرين بالنزاع. نشطون في العراق. لا وجود في اليمن بعد.</t>
  </si>
  <si>
    <t xml:space="preserve">عرض كيان كشريك تنفيذ محلي في اليمن. نحن نوفر المرافق + الطلاب + الإشراف.</t>
  </si>
  <si>
    <t xml:space="preserve">البنك الإسلامي للتنمية</t>
  </si>
  <si>
    <t xml:space="preserve">IsDB</t>
  </si>
  <si>
    <t xml:space="preserve">50 مليون$ لتوظيف الشباب في اليمن. برنامج BRAVE Women.</t>
  </si>
  <si>
    <t xml:space="preserve">التقدم عبر شركاء محليين (تضامن، الكريمي). عرض أكاديمية كيان.</t>
  </si>
  <si>
    <t xml:space="preserve">EFE-Yemen</t>
  </si>
  <si>
    <t xml:space="preserve">8,674 شاب. 49% إناث. برنامج مستقبل. مقرهم عدن.</t>
  </si>
  <si>
    <t xml:space="preserve">زيارة مباشرة — هم في عدن. شراكة: كيان توفر المكان + EFE توفر المنهج.</t>
  </si>
  <si>
    <t xml:space="preserve">UN Women — LEAP</t>
  </si>
  <si>
    <t xml:space="preserve">UN Women LEAP</t>
  </si>
  <si>
    <t xml:space="preserve">6 محافظات بما فيها عدن. تمكين اقتصادي للنساء. سوق نسائي في عدن ديسمبر 2025.</t>
  </si>
  <si>
    <t xml:space="preserve">مقترح: دفعة نسائية في كيان. 'نساء كيان' = تدريب + تحقق + مشاريع.</t>
  </si>
  <si>
    <t xml:space="preserve">البنوك المحلية (CAC/الكريمي)</t>
  </si>
  <si>
    <t xml:space="preserve">Local Banks</t>
  </si>
  <si>
    <t xml:space="preserve">ميزانيات CSR لتدريب الشباب. علاقة موجودة (حسابات بنكية).</t>
  </si>
  <si>
    <t xml:space="preserve">عرض 'ارعَ دفعة': 3,000-8,000$. شعارهم على الشهادات + تقرير أثر.</t>
  </si>
  <si>
    <t xml:space="preserve">ب. هيكل المقترح القياسي — كل مقترح يتبع هذا | B. STANDARD PROPOSAL STRUCTURE</t>
  </si>
  <si>
    <t xml:space="preserve">القسم (AR)</t>
  </si>
  <si>
    <t xml:space="preserve">Section (EN)</t>
  </si>
  <si>
    <t xml:space="preserve">ملخص تنفيذي</t>
  </si>
  <si>
    <t xml:space="preserve">Executive Summary</t>
  </si>
  <si>
    <t xml:space="preserve">صفحة واحدة: من نحن + ماذا نقترح + كم التكلفة + ما الأثر المتوقع. يُكتب أخيراً.</t>
  </si>
  <si>
    <t xml:space="preserve">السياق والحاجة</t>
  </si>
  <si>
    <t xml:space="preserve">Context &amp; Need</t>
  </si>
  <si>
    <t xml:space="preserve">بطالة الشباب 60%+ في عدن. فجوة المهارات الرقمية. غياب بنية تحتية تدريبية. أرقام حقيقية فقط.</t>
  </si>
  <si>
    <t xml:space="preserve">عن كيان</t>
  </si>
  <si>
    <t xml:space="preserve">About Kayan</t>
  </si>
  <si>
    <t xml:space="preserve">LLC مسجلة في عدن. 5 مؤسسين. مساحة عمل + أكاديمية + تسليم مُدار. سلم الثقة T0-T4. OFAC ممتثلون.</t>
  </si>
  <si>
    <t xml:space="preserve">الحل المقترح</t>
  </si>
  <si>
    <t xml:space="preserve">Proposed Solution</t>
  </si>
  <si>
    <t xml:space="preserve">وصف الدفعة: المسار + المدة + عدد المتدربين + المنهج + المدرب + النتائج المتوقعة.</t>
  </si>
  <si>
    <t xml:space="preserve">منهجية التعلم للكسب</t>
  </si>
  <si>
    <t xml:space="preserve">L2E Methodology</t>
  </si>
  <si>
    <t xml:space="preserve">تدريب → تحقق → سجل → فرق → كسب. ليس 'تدريب يتيم'. كل خريج يدخل سوق العمل.</t>
  </si>
  <si>
    <t xml:space="preserve">الميزانية</t>
  </si>
  <si>
    <t xml:space="preserve">Budget</t>
  </si>
  <si>
    <t xml:space="preserve">تفصيلية: مدرب + مواد + مرافق + إدارة + طوارئ. overhead محدد. لا مبالغة.</t>
  </si>
  <si>
    <t xml:space="preserve">الجدول الزمني</t>
  </si>
  <si>
    <t xml:space="preserve">Timeline</t>
  </si>
  <si>
    <t xml:space="preserve">أسبوع بأسبوع. معالم واضحة. تقارير منتصف ونهاية المدة.</t>
  </si>
  <si>
    <t xml:space="preserve">إطار المتابعة والتقييم</t>
  </si>
  <si>
    <t xml:space="preserve">M&amp;E Framework</t>
  </si>
  <si>
    <t xml:space="preserve">مؤشرات: عدد المسجلين، معدل الإكمال، نسبة التوظيف، NPS. IRIS+ محاذاة.</t>
  </si>
  <si>
    <t xml:space="preserve">9</t>
  </si>
  <si>
    <t xml:space="preserve">الملاحق</t>
  </si>
  <si>
    <t xml:space="preserve">Annexes</t>
  </si>
  <si>
    <t xml:space="preserve">مناهج تفصيلية + سير ذاتية مدربين + صور المرافق + سجل تجاري + رخص.</t>
  </si>
  <si>
    <t xml:space="preserve">ج. نموذج ميزانية دفعة ممولة — مثال 20 متدرب × 6 أسابيع | C. DONOR COHORT BUDGET TEMPLATE</t>
  </si>
  <si>
    <t xml:space="preserve">البند (AR)</t>
  </si>
  <si>
    <t xml:space="preserve">Item (EN)</t>
  </si>
  <si>
    <t xml:space="preserve">التفصيل | Detail</t>
  </si>
  <si>
    <t xml:space="preserve">المبلغ ($)</t>
  </si>
  <si>
    <t xml:space="preserve">أجر المدرب</t>
  </si>
  <si>
    <t xml:space="preserve">Instructor Fee</t>
  </si>
  <si>
    <t xml:space="preserve">6 أسابيع × $200/أسبوع</t>
  </si>
  <si>
    <t xml:space="preserve">$1,200</t>
  </si>
  <si>
    <t xml:space="preserve">مدرب مساعد</t>
  </si>
  <si>
    <t xml:space="preserve">Teaching Assistant</t>
  </si>
  <si>
    <t xml:space="preserve">6 أسابيع × $75/أسبوع</t>
  </si>
  <si>
    <t xml:space="preserve">$450</t>
  </si>
  <si>
    <t xml:space="preserve">مواد تدريبية</t>
  </si>
  <si>
    <t xml:space="preserve">Training Materials</t>
  </si>
  <si>
    <t xml:space="preserve">مطبوعات + أدوات + اشتراكات</t>
  </si>
  <si>
    <t xml:space="preserve">$300</t>
  </si>
  <si>
    <t xml:space="preserve">استخدام المرافق</t>
  </si>
  <si>
    <t xml:space="preserve">Facility Usage</t>
  </si>
  <si>
    <t xml:space="preserve">قاعة تدريب 6 أسابيع × $50/أسبوع</t>
  </si>
  <si>
    <t xml:space="preserve">وجبات خفيفة / قهوة</t>
  </si>
  <si>
    <t xml:space="preserve">Refreshments</t>
  </si>
  <si>
    <t xml:space="preserve">20 متدرب × 30 يوم × $1</t>
  </si>
  <si>
    <t xml:space="preserve">$600</t>
  </si>
  <si>
    <t xml:space="preserve">شهادات + حفل تخرج</t>
  </si>
  <si>
    <t xml:space="preserve">طباعة + حفل + صور</t>
  </si>
  <si>
    <t xml:space="preserve">$150</t>
  </si>
  <si>
    <t xml:space="preserve">إدارة المشروع (كيان)</t>
  </si>
  <si>
    <t xml:space="preserve">Project Management (Kayan)</t>
  </si>
  <si>
    <t xml:space="preserve">15% من المباشر = overhead كيان</t>
  </si>
  <si>
    <t xml:space="preserve">متابعة 3 أشهر</t>
  </si>
  <si>
    <t xml:space="preserve">3-Month Follow-Up</t>
  </si>
  <si>
    <t xml:space="preserve">تتبع النتائج + تقارير أثر</t>
  </si>
  <si>
    <t xml:space="preserve">$200</t>
  </si>
  <si>
    <t xml:space="preserve">طوارئ</t>
  </si>
  <si>
    <t xml:space="preserve">Contingency</t>
  </si>
  <si>
    <t xml:space="preserve">10% من المباشر</t>
  </si>
  <si>
    <t xml:space="preserve">$365</t>
  </si>
  <si>
    <t xml:space="preserve">$4,015</t>
  </si>
  <si>
    <t xml:space="preserve">التدريب المؤسسي | CORPORATE TRAINING PACKAGES</t>
  </si>
  <si>
    <t xml:space="preserve">أ. الحزم المعيارية | A. STANDARD PACKAGES</t>
  </si>
  <si>
    <t xml:space="preserve">تحول رقمي أساسي | Digital Transformation Basic — 1 أسبوع (15 ساعة) | 10-20 مشارك | $150-250/مقعد</t>
  </si>
  <si>
    <t xml:space="preserve">للشركات التي تريد رقمنة عملياتها الأساسية.
المحتوى: Google Workspace, online collaboration, data basics, cybersecurity awareness.
المخرج: كل مشارك يستخدم أدوات رقمية في عمله اليومي.
مستهدف: بنوك محلية (CAC, الكريمي), شركات اتصالات, تجار.</t>
  </si>
  <si>
    <t xml:space="preserve">مهارات القيادة | Leadership Skills — 3 أيام (18 ساعة) | 10-15 مشارك | $200-400/مقعد</t>
  </si>
  <si>
    <t xml:space="preserve">للمدراء الجدد والمتوسطين.
المحتوى: تواصل فعال, إدارة فرق, حل نزاعات, تخطيط استراتيجي.
المخرج: خطة تطوير شخصية + أدوات قيادة.
مستهدف: شركات كبيرة, منظمات دولية, حكومة.</t>
  </si>
  <si>
    <t xml:space="preserve">إنجليزية أعمال | Business English — 4 أسابيع (24 ساعة) | 10-15 مشارك | $200-350/مقعد</t>
  </si>
  <si>
    <t xml:space="preserve">للموظفين الذين يتعاملون مع عملاء/شركاء دوليين.
المحتوى: email writing, presentation skills, phone/video calls, negotiations.
المخرج: قدرة على التواصل المهني بالإنجليزية.
مستهدف: منظمات دولية (لموظفيهم المحليين), شركات تصدير.</t>
  </si>
  <si>
    <t xml:space="preserve">تدريب مخصص | Custom Training — حسب الطلب | حسب الطلب مشارك | $3,000-8,000/دفعة</t>
  </si>
  <si>
    <t xml:space="preserve">تصميم برنامج حسب احتياجات العميل.
العملية: 1) اجتماع تحديد احتياجات 2) تصميم منهج 3) موافقة العميل 4) تنفيذ 5) تقييم.
التسعير: يعتمد على المدة + عدد المشاركين + تعقيد المحتوى.
الحد الأدنى: $3,000 لأي برنامج مخصص.</t>
  </si>
  <si>
    <t xml:space="preserve">الورش المفتوحة | OPEN WORKSHOPS</t>
  </si>
  <si>
    <t xml:space="preserve">✅ الورش المفتوحة (1-4 ساعات) لا تتطلب ترخيص MTEVT — تعمل تحت السجل التجاري العادي
Open workshops (1-4 hours) do NOT require MTEVT license — operate under standard commercial registration</t>
  </si>
  <si>
    <t xml:space="preserve">الورشة (AR)</t>
  </si>
  <si>
    <t xml:space="preserve">Workshop (EN)</t>
  </si>
  <si>
    <t xml:space="preserve">السعر</t>
  </si>
  <si>
    <t xml:space="preserve">التكرار</t>
  </si>
  <si>
    <t xml:space="preserve">كيف تبدأ العمل الحر</t>
  </si>
  <si>
    <t xml:space="preserve">How to Start Freelancing</t>
  </si>
  <si>
    <t xml:space="preserve">90 دقيقة</t>
  </si>
  <si>
    <t xml:space="preserve">مجاني</t>
  </si>
  <si>
    <t xml:space="preserve">كل أسبوعين</t>
  </si>
  <si>
    <t xml:space="preserve">بناء معرض أعمالك</t>
  </si>
  <si>
    <t xml:space="preserve">Build Your Portfolio</t>
  </si>
  <si>
    <t xml:space="preserve">2 ساعة</t>
  </si>
  <si>
    <t xml:space="preserve">شهري</t>
  </si>
  <si>
    <t xml:space="preserve">كتابة السيرة الذاتية</t>
  </si>
  <si>
    <t xml:space="preserve">CV Writing Workshop</t>
  </si>
  <si>
    <t xml:space="preserve">مقدمة في التصميم</t>
  </si>
  <si>
    <t xml:space="preserve">Intro to Design (Canva)</t>
  </si>
  <si>
    <t xml:space="preserve">$10</t>
  </si>
  <si>
    <t xml:space="preserve">15</t>
  </si>
  <si>
    <t xml:space="preserve">البرمجة للمبتدئين</t>
  </si>
  <si>
    <t xml:space="preserve">Coding for Beginners</t>
  </si>
  <si>
    <t xml:space="preserve">3 ساعات</t>
  </si>
  <si>
    <t xml:space="preserve">$15</t>
  </si>
  <si>
    <t xml:space="preserve">10</t>
  </si>
  <si>
    <t xml:space="preserve">إنجليزية للعمل الحر</t>
  </si>
  <si>
    <t xml:space="preserve">English for Freelancers</t>
  </si>
  <si>
    <t xml:space="preserve">إدارة المال الشخصي</t>
  </si>
  <si>
    <t xml:space="preserve">Personal Finance</t>
  </si>
  <si>
    <t xml:space="preserve">20-30</t>
  </si>
  <si>
    <t xml:space="preserve">ربع سنوي</t>
  </si>
  <si>
    <t xml:space="preserve">جلسة نساء كيان</t>
  </si>
  <si>
    <t xml:space="preserve">Kayan Women Session</t>
  </si>
  <si>
    <t xml:space="preserve">أسبوعي (أربعاء)</t>
  </si>
  <si>
    <t xml:space="preserve">التقييم والاختبارات | ASSESSMENT &amp; TESTING FRAMEWORK</t>
  </si>
  <si>
    <t xml:space="preserve">أ. أنواع التقييم لكل مستوى ثقة | A. ASSESSMENT TYPES PER TRUST TIER</t>
  </si>
  <si>
    <t xml:space="preserve">الانتقال</t>
  </si>
  <si>
    <t xml:space="preserve">نوع التقييم (AR)</t>
  </si>
  <si>
    <t xml:space="preserve">Assessment Type (EN)</t>
  </si>
  <si>
    <t xml:space="preserve">T0 → T1</t>
  </si>
  <si>
    <t xml:space="preserve">اختبار كتابي + مراجعة معرض أعمال</t>
  </si>
  <si>
    <t xml:space="preserve">Written Test + Portfolio Review</t>
  </si>
  <si>
    <t xml:space="preserve">اختبار كتابي (60 دقيقة): أسئلة عملية — ليس خيارات متعددة. التصحيح: 70%+ للنجاح.
معرض أعمال: 3+ نماذج عمل. مراجعة من مقيّم كيان مع rubric محدد لكل تخصص.
مقابلة شخصية (15 دقيقة): دافع + التزام + توقعات واقعية.</t>
  </si>
  <si>
    <t xml:space="preserve">T1 → T2</t>
  </si>
  <si>
    <t xml:space="preserve">مشروع تجريبي + تقييم عميل</t>
  </si>
  <si>
    <t xml:space="preserve">Trial Project + Client Feedback</t>
  </si>
  <si>
    <t xml:space="preserve">مشروع حقيقي صغير تحت إشراف T2+. يُقيم على: جودة + التزام بالموعد + تواصل.
تقييم عميل/مشرف: 4.0+ من 5.0.
المدة: بعد 2+ مشاريع مكتملة بنجاح.</t>
  </si>
  <si>
    <t xml:space="preserve">T2 → T3</t>
  </si>
  <si>
    <t xml:space="preserve">سجل 5+ مشاريع + شهادة</t>
  </si>
  <si>
    <t xml:space="preserve">Track Record + Certification</t>
  </si>
  <si>
    <t xml:space="preserve">5+ مشاريع مكتملة مع تقييم 4.5+.
معرض أعمال موثق ومراجع.
شهادة متقدمة في التخصص (إذا متاحة).
قدرة على تدريب الآخرين.</t>
  </si>
  <si>
    <t xml:space="preserve">ب. معايير التقييم — أهم 5 تخصصات | B. ASSESSMENT RUBRICS — Top 5 Specializations</t>
  </si>
  <si>
    <t xml:space="preserve">التخصص (AR)</t>
  </si>
  <si>
    <t xml:space="preserve">Specialization (EN)</t>
  </si>
  <si>
    <t xml:space="preserve">معايير التقييم والأوزان | Rubric Criteria &amp; Weights</t>
  </si>
  <si>
    <t xml:space="preserve">تصميم جرافيك</t>
  </si>
  <si>
    <t xml:space="preserve">Graphic Design</t>
  </si>
  <si>
    <t xml:space="preserve">التكوين والتوازن (20%) | نظرية اللون (15%) | الخطوط (15%) | أصالة التصميم (20%) | تعدد الأدوات (15%) | عرض معرض الأعمال (15%)</t>
  </si>
  <si>
    <t xml:space="preserve">تطوير ويب</t>
  </si>
  <si>
    <t xml:space="preserve">Web Development</t>
  </si>
  <si>
    <t xml:space="preserve">HTML/CSS صحيح (20%) | JavaScript عامل (20%) | تجاوب مع الأجهزة (15%) | أداء الموقع (10%) | كود نظيف (15%) | حل مشكلات (20%)</t>
  </si>
  <si>
    <t xml:space="preserve">كتابة محتوى عربي</t>
  </si>
  <si>
    <t xml:space="preserve">Arabic Content</t>
  </si>
  <si>
    <t xml:space="preserve">وضوح اللغة (25%) | خلو من الأخطاء (20%) | ملاءمة الأسلوب للجمهور (15%) | SEO أساسي (10%) | إبداع (15%) | التزام بالموعد (15%)</t>
  </si>
  <si>
    <t xml:space="preserve">توعية بيانات</t>
  </si>
  <si>
    <t xml:space="preserve">Data Annotation</t>
  </si>
  <si>
    <t xml:space="preserve">دقة التوعية (30%) | اتساق (20%) | سرعة (15%) | اتباع التعليمات (15%) | ضبط جودة ذاتي (10%) | عمل جماعي (10%)</t>
  </si>
  <si>
    <t xml:space="preserve">إدارة مشاريع</t>
  </si>
  <si>
    <t xml:space="preserve">Project Management</t>
  </si>
  <si>
    <t xml:space="preserve">تخطيط (20%) | تواصل (20%) | حل مشكلات (15%) | إدارة مخاطر (15%) | توثيق (15%) | قيادة فريق (15%)</t>
  </si>
  <si>
    <t xml:space="preserve">إدارة المدربين | INSTRUCTOR MANAGEMENT</t>
  </si>
  <si>
    <t xml:space="preserve">⚠️ تنظيمي: MTEVT تتطلب 'مدرسين مؤهلين' — يجب توثيق مؤهلات كل مدرب
REGULATORY: MTEVT requires 'qualified instructors' — document every instructor's qualifications</t>
  </si>
  <si>
    <t xml:space="preserve">أ. أنواع المدربين | A. INSTRUCTOR TYPES</t>
  </si>
  <si>
    <t xml:space="preserve">النوع (AR)</t>
  </si>
  <si>
    <t xml:space="preserve">Type (EN)</t>
  </si>
  <si>
    <t xml:space="preserve">المتطلبات | Requirements</t>
  </si>
  <si>
    <t xml:space="preserve">الأجر</t>
  </si>
  <si>
    <t xml:space="preserve">العقد</t>
  </si>
  <si>
    <t xml:space="preserve">صلاحية التعيين</t>
  </si>
  <si>
    <t xml:space="preserve">مدرب رئيسي</t>
  </si>
  <si>
    <t xml:space="preserve">Lead Instructor</t>
  </si>
  <si>
    <t xml:space="preserve">T3/T4 أو خبير خارجي. 3+ سنوات خبرة في التخصص. قاد تدريب سابق.</t>
  </si>
  <si>
    <t xml:space="preserve">$150-250/أسبوع</t>
  </si>
  <si>
    <t xml:space="preserve">عقد مستقل KAY-CON-006</t>
  </si>
  <si>
    <t xml:space="preserve">T2+ أو خريج أكاديمية متميز. يساعد في التطبيق العملي.</t>
  </si>
  <si>
    <t xml:space="preserve">$50-100/أسبوع</t>
  </si>
  <si>
    <t xml:space="preserve">عقد مستقل</t>
  </si>
  <si>
    <t xml:space="preserve">متحدث ضيف</t>
  </si>
  <si>
    <t xml:space="preserve">Guest Speaker</t>
  </si>
  <si>
    <t xml:space="preserve">خبير في مجال محدد. جلسة واحدة (1-2 ساعة). مجاني عادة.</t>
  </si>
  <si>
    <t xml:space="preserve">$0-50/جلسة</t>
  </si>
  <si>
    <t xml:space="preserve">اتفاق غير رسمي</t>
  </si>
  <si>
    <t xml:space="preserve">مدرب متطوع</t>
  </si>
  <si>
    <t xml:space="preserve">Volunteer Instructor</t>
  </si>
  <si>
    <t xml:space="preserve">من الشركاء (Re:Coded, EFE). يوفر المحتوى. كيان توفر المرافق.</t>
  </si>
  <si>
    <t xml:space="preserve">$0</t>
  </si>
  <si>
    <t xml:space="preserve">اتفاقية شراكة</t>
  </si>
  <si>
    <t xml:space="preserve">ب. سجل المدربين | B. INSTRUCTOR REGISTER</t>
  </si>
  <si>
    <t xml:space="preserve">الرقم</t>
  </si>
  <si>
    <t xml:space="preserve">الاسم
Name</t>
  </si>
  <si>
    <t xml:space="preserve">التخصص
Specialization</t>
  </si>
  <si>
    <t xml:space="preserve">الخبرة
Experience</t>
  </si>
  <si>
    <t xml:space="preserve">الأجر
Rate</t>
  </si>
  <si>
    <t xml:space="preserve">INS-001</t>
  </si>
  <si>
    <t xml:space="preserve">INS-002</t>
  </si>
  <si>
    <t xml:space="preserve">INS-003</t>
  </si>
  <si>
    <t xml:space="preserve">INS-004</t>
  </si>
  <si>
    <t xml:space="preserve">INS-005</t>
  </si>
  <si>
    <t xml:space="preserve">INS-006</t>
  </si>
  <si>
    <t xml:space="preserve">INS-007</t>
  </si>
  <si>
    <t xml:space="preserve">INS-008</t>
  </si>
  <si>
    <t xml:space="preserve">INS-009</t>
  </si>
  <si>
    <t xml:space="preserve">INS-010</t>
  </si>
  <si>
    <t xml:space="preserve">قياس الأثر — IRIS+ محاذاة | IMPACT MEASUREMENT — IRIS+ Aligned</t>
  </si>
  <si>
    <t xml:space="preserve">أ. مؤشرات الأثر الأساسية — لكل دفعة | A. CORE IMPACT INDICATORS — Per Cohort</t>
  </si>
  <si>
    <t xml:space="preserve">الفئة</t>
  </si>
  <si>
    <t xml:space="preserve">المؤشر (AR)</t>
  </si>
  <si>
    <t xml:space="preserve">Indicator (EN)</t>
  </si>
  <si>
    <t xml:space="preserve">وحدة القياس</t>
  </si>
  <si>
    <t xml:space="preserve">توقيت القياس</t>
  </si>
  <si>
    <t xml:space="preserve">مخرجات</t>
  </si>
  <si>
    <t xml:space="preserve">Outputs</t>
  </si>
  <si>
    <t xml:space="preserve">عدد المسجلين (إجمالي)</t>
  </si>
  <si>
    <t xml:space="preserve">Total Enrolled</t>
  </si>
  <si>
    <t xml:space="preserve">رقم مطلق</t>
  </si>
  <si>
    <t xml:space="preserve">بداية الدفعة</t>
  </si>
  <si>
    <t xml:space="preserve">نسبة النساء</t>
  </si>
  <si>
    <t xml:space="preserve">% Female</t>
  </si>
  <si>
    <t xml:space="preserve">نسبة مئوية — هدف: 40%+</t>
  </si>
  <si>
    <t xml:space="preserve">متوسط العمر</t>
  </si>
  <si>
    <t xml:space="preserve">Average Age</t>
  </si>
  <si>
    <t xml:space="preserve">رقم — هدف: 18-30</t>
  </si>
  <si>
    <t xml:space="preserve">معدل الإكمال</t>
  </si>
  <si>
    <t xml:space="preserve">Completion Rate</t>
  </si>
  <si>
    <t xml:space="preserve">% أكملوا الدفعة — هدف: 80%+</t>
  </si>
  <si>
    <t xml:space="preserve">نهاية الدفعة</t>
  </si>
  <si>
    <t xml:space="preserve">عدد الخريجين</t>
  </si>
  <si>
    <t xml:space="preserve">Graduates</t>
  </si>
  <si>
    <t xml:space="preserve">نتائج</t>
  </si>
  <si>
    <t xml:space="preserve">Outcomes</t>
  </si>
  <si>
    <t xml:space="preserve">خريجون دخلوا T1+</t>
  </si>
  <si>
    <t xml:space="preserve">Graduates at T1+</t>
  </si>
  <si>
    <t xml:space="preserve">% من الخريجين — هدف: 70%+</t>
  </si>
  <si>
    <t xml:space="preserve">بعد شهر</t>
  </si>
  <si>
    <t xml:space="preserve">خريجون في فرق كيان</t>
  </si>
  <si>
    <t xml:space="preserve">In Kayan Pods</t>
  </si>
  <si>
    <t xml:space="preserve">% من الخريجين — هدف: 30%+</t>
  </si>
  <si>
    <t xml:space="preserve">بعد 3 أشهر</t>
  </si>
  <si>
    <t xml:space="preserve">خريجون وجدوا عمل آخر</t>
  </si>
  <si>
    <t xml:space="preserve">Found Other Work</t>
  </si>
  <si>
    <t xml:space="preserve">% من الخريجين</t>
  </si>
  <si>
    <t xml:space="preserve">بعد 6 أشهر</t>
  </si>
  <si>
    <t xml:space="preserve">متوسط الدخل الشهري</t>
  </si>
  <si>
    <t xml:space="preserve">Avg Monthly Income</t>
  </si>
  <si>
    <t xml:space="preserve">$ — هدف: &gt;100$/شهر</t>
  </si>
  <si>
    <t xml:space="preserve">رضا المتدربين (NPS)</t>
  </si>
  <si>
    <t xml:space="preserve">Trainee NPS</t>
  </si>
  <si>
    <t xml:space="preserve">درجة — هدف: 50+</t>
  </si>
  <si>
    <t xml:space="preserve">أثر</t>
  </si>
  <si>
    <t xml:space="preserve">Impact</t>
  </si>
  <si>
    <t xml:space="preserve">وظائف تم إنشاؤها</t>
  </si>
  <si>
    <t xml:space="preserve">Jobs Created</t>
  </si>
  <si>
    <t xml:space="preserve">رقم تراكمي</t>
  </si>
  <si>
    <t xml:space="preserve">سنوي</t>
  </si>
  <si>
    <t xml:space="preserve">دخل إجمالي مولّد للمستقلين</t>
  </si>
  <si>
    <t xml:space="preserve">Total Freelancer Income</t>
  </si>
  <si>
    <t xml:space="preserve">$ تراكمي</t>
  </si>
  <si>
    <t xml:space="preserve">SDG 4: تعليم جيد</t>
  </si>
  <si>
    <t xml:space="preserve">SDG 4: Quality Education</t>
  </si>
  <si>
    <t xml:space="preserve">عدد ساعات التدريب المقدمة</t>
  </si>
  <si>
    <t xml:space="preserve">SDG 8: عمل لائق</t>
  </si>
  <si>
    <t xml:space="preserve">SDG 8: Decent Work</t>
  </si>
  <si>
    <t xml:space="preserve">عدد الأشخاص الذين حصلوا على عمل</t>
  </si>
  <si>
    <t xml:space="preserve">SDG 5: المساواة</t>
  </si>
  <si>
    <t xml:space="preserve">SDG 5: Gender Equality</t>
  </si>
  <si>
    <t xml:space="preserve">نسبة النساء المستفيدات</t>
  </si>
  <si>
    <t xml:space="preserve">شراكات الأكاديمية | ACADEMY PARTNERSHIPS</t>
  </si>
  <si>
    <t xml:space="preserve">الشريك (AR)</t>
  </si>
  <si>
    <t xml:space="preserve">Partner (EN)</t>
  </si>
  <si>
    <t xml:space="preserve">نوع الشراكة</t>
  </si>
  <si>
    <t xml:space="preserve">التفاصيل والفرصة | Details</t>
  </si>
  <si>
    <t xml:space="preserve">جامعة عدن</t>
  </si>
  <si>
    <t xml:space="preserve">University of Aden</t>
  </si>
  <si>
    <t xml:space="preserve">مذكرة تفاهم</t>
  </si>
  <si>
    <t xml:space="preserve">خصم طلابي ($3/يوم) + لوحة وظائف + استضافة ورش + أعضاء هيئة تدريس كمدربين ضيوف.
كيان تحصل: خط مواهب + مصداقية + وصول لخريجين جدد.</t>
  </si>
  <si>
    <t xml:space="preserve">شراكة تنفيذ</t>
  </si>
  <si>
    <t xml:space="preserve">كيان = شريك محلي في اليمن. Re:Coded توفر المنهج + التمويل. كيان توفر المرافق + الطلاب + الإشراف.
الفرصة: معسكرات برمجة $12,000-16,000/دفعة.</t>
  </si>
  <si>
    <t xml:space="preserve">محمد + ماهر</t>
  </si>
  <si>
    <t xml:space="preserve">شراكة تبادلية</t>
  </si>
  <si>
    <t xml:space="preserve">هم في عدن. 8,674 شاب مدرب. 49% إناث.
كيان توفر المكان + EFE توفر المنهج + الممولين.
الفرصة: دفعات مشتركة + شبكة خريجين.</t>
  </si>
  <si>
    <t xml:space="preserve">شراكة تمويل + تنفيذ</t>
  </si>
  <si>
    <t xml:space="preserve">GIZ تمول + كيان تنفذ. منح فرعية 10-100 ألف$.
المسار: تقديم مقترح → موافقة → تنفيذ → تقارير.
المجال: تدريب مهني + توظيف شباب.</t>
  </si>
  <si>
    <t xml:space="preserve">ROWAD Foundation</t>
  </si>
  <si>
    <t xml:space="preserve">شراكة استراتيجية</t>
  </si>
  <si>
    <t xml:space="preserve">مرتبطة بـ HSA Group. Block One Incubator. مسابقة أفكار ($13,000 بذرة).
الفرصة: إحالة متبادلة + فعاليات مشتركة + وصول لشبكة HSA.</t>
  </si>
  <si>
    <t xml:space="preserve">كليات تقنية</t>
  </si>
  <si>
    <t xml:space="preserve">Technical Institutes</t>
  </si>
  <si>
    <t xml:space="preserve">خريجون مباشرة في T0. شراكة منخفضة التكلفة عالية الأثر.
كيان تستضيف ورش + الكلية ترسل طلاب.</t>
  </si>
  <si>
    <t xml:space="preserve">مسار التعلم للكسب — L2E Pipeline</t>
  </si>
  <si>
    <t xml:space="preserve">تدريب → تحقق → سجل → فرق → كسب | Train → Verify → Register → Pod → Earn</t>
  </si>
  <si>
    <t xml:space="preserve">المرحلة | Stage</t>
  </si>
  <si>
    <t xml:space="preserve">التفاصيل والمقاييس | Details &amp; Metrics</t>
  </si>
  <si>
    <t xml:space="preserve">التعلم
Learn</t>
  </si>
  <si>
    <t xml:space="preserve">متدرب يلتحق بدفعة أكاديمية</t>
  </si>
  <si>
    <t xml:space="preserve">4-12 أسبوع تدريب مكثف. حضور 80%+. تقييمات أسبوعية. مشروع تخرج.
🎯 الهدف: بناء مهارة قابلة للتسويق</t>
  </si>
  <si>
    <t xml:space="preserve">100% من المسجلين</t>
  </si>
  <si>
    <t xml:space="preserve">التحقق
Verify</t>
  </si>
  <si>
    <t xml:space="preserve">خريج يجتاز التقييم ← T0 → T1</t>
  </si>
  <si>
    <t xml:space="preserve">اختبار كتابي + مراجعة معرض أعمال + مقابلة.
من ينجح: T1 (موهبة ناشئة).
من لا ينجح: T0 (يمكن إعادة التقييم بعد 30 يوم).
🎯 معدل التحويل المستهدف: 70%+ من الخريجين → T1</t>
  </si>
  <si>
    <t xml:space="preserve">70% من الخريجين</t>
  </si>
  <si>
    <t xml:space="preserve">التسجيل
Register</t>
  </si>
  <si>
    <t xml:space="preserve">T1 يدخل سجل المستقلين الموثقين</t>
  </si>
  <si>
    <t xml:space="preserve">الملف الشخصي: اسم + تخصص دقيق + معرض أعمال + تقييم + متاح/غير متاح.
قابل للبحث من قادة الفرق.
🎯 كل T1 = أصل في سجل كيان</t>
  </si>
  <si>
    <t xml:space="preserve">100% من T1</t>
  </si>
  <si>
    <t xml:space="preserve">التعيين
Assign</t>
  </si>
  <si>
    <t xml:space="preserve">T1 يُعين في أول فريق (pod)</t>
  </si>
  <si>
    <t xml:space="preserve">تحت إشراف T2+. مهمة محددة. متابعة دقيقة.
أجر أساسي من أول مشروع.
🎯 الهدف: 30%+ من T1 في فريق خلال 30 يوم</t>
  </si>
  <si>
    <t xml:space="preserve">30% من T1 خلال 30 يوم</t>
  </si>
  <si>
    <t xml:space="preserve">الكسب
Earn</t>
  </si>
  <si>
    <t xml:space="preserve">مستقل يكسب من مشاريع كيان</t>
  </si>
  <si>
    <t xml:space="preserve">دخل حقيقي. سجل مشاريع يتراكم. تقييمات عملاء.
T1 → T2 بعد 2+ مشاريع مع تقييم 4.0+.
🎯 هذا هو الدليل: تدريب كيان يؤدي لدخل حقيقي</t>
  </si>
  <si>
    <t xml:space="preserve">أمام الممولين: هذا = تقرير الأثر</t>
  </si>
  <si>
    <t xml:space="preserve">الشهادات والتخرج | CERTIFICATES &amp; GRADUATION</t>
  </si>
  <si>
    <t xml:space="preserve">⚠️ تنظيمي: قبل ترخيص MTEVT، شهادات كيان هي 'شهادات إتمام' — ليست مؤهلات مهنية رسمية. بعد الترخيص: يمكن إصدار شهادات معترف بها.
Before MTEVT license: Kayan certificates are 'completion certificates' — not formal qualifications. After license: recognized certificates possible.</t>
  </si>
  <si>
    <t xml:space="preserve">أ. أنواع الشهادات | A. CERTIFICATE TYPES</t>
  </si>
  <si>
    <t xml:space="preserve">المحتوى والمواصفات | Specifications</t>
  </si>
  <si>
    <t xml:space="preserve">صلاحية الإصدار</t>
  </si>
  <si>
    <t xml:space="preserve">شهادة إتمام أكاديمية كيان</t>
  </si>
  <si>
    <t xml:space="preserve">Kayan Academy Completion Certificate</t>
  </si>
  <si>
    <t xml:space="preserve">تُمنح لمن أكمل الدفعة بنجاح.
المحتوى:
- اسم كيان + شعار
- 'شهادة إتمام' (ليس 'شهادة تأهيل' حتى نحصل على MTEVT)
- اسم المتدرب
- المسار + المدة + الساعات
- مستوى التحقق المحقق (T0 أو T1)
- التخصص الدقيق
- تاريخ
- QR code يرتبط بملف المتدرب في سجل كيان
- توقيع: محمد (مدير الأكاديمية) + ماهر (المدير التنفيذي)
الطباعة: ورق 250 غرام. A4. ألوان كيان.</t>
  </si>
  <si>
    <t xml:space="preserve">شهادة تحقق مهني — كيان</t>
  </si>
  <si>
    <t xml:space="preserve">Kayan Professional Verification Certificate</t>
  </si>
  <si>
    <t xml:space="preserve">تُمنح عند الوصول لـ T1 أو أعلى.
المحتوى:
- 'شهادة تحقق مهني'
- الاسم + التخصص الدقيق + المستوى (T1/T2/T3/T4)
- QR code يرتبط بالملف الموثق
- تاريخ التحقق
- التوقيعات
هذه أقوى من شهادة الإتمام — تعني أن كيان تضمن كفاءة الشخص.</t>
  </si>
  <si>
    <t xml:space="preserve">طارق يقيّم → ماهر يوقع</t>
  </si>
  <si>
    <t xml:space="preserve">شهادة مشتركة (مستقبلي)</t>
  </si>
  <si>
    <t xml:space="preserve">Joint Certificate (Future)</t>
  </si>
  <si>
    <t xml:space="preserve">بعد ترخيص MTEVT وشراكات:
- كيان + MTEVT: شهادة تدريب مهني معترف بها
- كيان + Re:Coded: شهادة معسكر برمجة
- كيان + جامعة عدن: شهادة تدريب عملي
هذا يرفع قيمة الشهادة بشكل كبير.</t>
  </si>
  <si>
    <t xml:space="preserve">ماهر — بعد المرحلة 3</t>
  </si>
  <si>
    <t xml:space="preserve">ب. حفل التخرج — مهم للتسويق والممولين | B. GRADUATION CEREMONY — Marketing &amp; Donor Critical</t>
  </si>
  <si>
    <t xml:space="preserve">العنصر (AR)</t>
  </si>
  <si>
    <t xml:space="preserve">Element (EN)</t>
  </si>
  <si>
    <t xml:space="preserve">العرض التقديمي</t>
  </si>
  <si>
    <t xml:space="preserve">Final Presentations</t>
  </si>
  <si>
    <t xml:space="preserve">كل خريج يعرض مشروع التخرج (5 دقائق). أمام: مدرب + لجنة + ممول (إذا ممولة) + الأسر.</t>
  </si>
  <si>
    <t xml:space="preserve">توزيع الشهادات</t>
  </si>
  <si>
    <t xml:space="preserve">Certificate Distribution</t>
  </si>
  <si>
    <t xml:space="preserve">يد بيد. صورة مع كل خريج. شعار كيان + شعار الممول (إذا ممولة).</t>
  </si>
  <si>
    <t xml:space="preserve">التسجيل في السجل</t>
  </si>
  <si>
    <t xml:space="preserve">Registry Enrollment</t>
  </si>
  <si>
    <t xml:space="preserve">إعلان T0/T1 لكل خريج. تسجيل فوري في سجل المستقلين.</t>
  </si>
  <si>
    <t xml:space="preserve">التصوير</t>
  </si>
  <si>
    <t xml:space="preserve">Photography</t>
  </si>
  <si>
    <t xml:space="preserve">مصور محترف. صور فردية + جماعية. فيديو 2-3 دقائق. للتسويق + تقارير الأثر.</t>
  </si>
  <si>
    <t xml:space="preserve">التغطية الإعلامية</t>
  </si>
  <si>
    <t xml:space="preserve">Media</t>
  </si>
  <si>
    <t xml:space="preserve">ادعُ صحيفة الأيام + قنوات عدن. فرصة تغطية ممتازة.</t>
  </si>
  <si>
    <t xml:space="preserve">المالية والميزانية — الأكاديمية</t>
  </si>
  <si>
    <t xml:space="preserve">ACADEMY FINANCE &amp; BUDGET</t>
  </si>
  <si>
    <t xml:space="preserve">أ. نموذج إيرادات السنة 1 | A. YEAR 1 REVENUE MODEL</t>
  </si>
  <si>
    <t xml:space="preserve">المصدر | Source</t>
  </si>
  <si>
    <t xml:space="preserve">متوسط ($)</t>
  </si>
  <si>
    <t xml:space="preserve">هدف ($)</t>
  </si>
  <si>
    <t xml:space="preserve">ملاحظة</t>
  </si>
  <si>
    <t xml:space="preserve">دفعة ممولة 1 | Donor Cohort 1</t>
  </si>
  <si>
    <t xml:space="preserve">1 دفعة</t>
  </si>
  <si>
    <t xml:space="preserve">$6,000</t>
  </si>
  <si>
    <t xml:space="preserve">شهر 4-5</t>
  </si>
  <si>
    <t xml:space="preserve">GIZ/UNDP — أولوية</t>
  </si>
  <si>
    <t xml:space="preserve">دفعة ممولة 2 | Donor Cohort 2</t>
  </si>
  <si>
    <t xml:space="preserve">$8,000</t>
  </si>
  <si>
    <t xml:space="preserve">$5,200</t>
  </si>
  <si>
    <t xml:space="preserve">شهر 7-9</t>
  </si>
  <si>
    <t xml:space="preserve">هدف ثاني — قد يتأخر</t>
  </si>
  <si>
    <t xml:space="preserve">تدريب مؤسسي | Corporate</t>
  </si>
  <si>
    <t xml:space="preserve">1-2 جلسات</t>
  </si>
  <si>
    <t xml:space="preserve">بنوك + اتصالات</t>
  </si>
  <si>
    <t xml:space="preserve">ورش مفتوحة | Open Workshops</t>
  </si>
  <si>
    <t xml:space="preserve">$200/ورشة</t>
  </si>
  <si>
    <t xml:space="preserve">تراكمي</t>
  </si>
  <si>
    <t xml:space="preserve">الإجمالي | TOTAL</t>
  </si>
  <si>
    <t xml:space="preserve">ب. هيكل التكلفة — لكل دفعة ممولة (20 متدرب × 6 أسابيع) | B. COST STRUCTURE — Per Donor Cohort</t>
  </si>
  <si>
    <t xml:space="preserve">البند | Item</t>
  </si>
  <si>
    <t xml:space="preserve">الميزانية ($)</t>
  </si>
  <si>
    <t xml:space="preserve">فعلي ($)</t>
  </si>
  <si>
    <t xml:space="preserve">الفرق</t>
  </si>
  <si>
    <t xml:space="preserve">% من الإجمالي</t>
  </si>
  <si>
    <t xml:space="preserve">مدرب رئيسي | Lead Instructor</t>
  </si>
  <si>
    <t xml:space="preserve">30%</t>
  </si>
  <si>
    <t xml:space="preserve">مدرب مساعد | Teaching Assistant</t>
  </si>
  <si>
    <t xml:space="preserve">11%</t>
  </si>
  <si>
    <t xml:space="preserve">مواد تدريبية | Materials</t>
  </si>
  <si>
    <t xml:space="preserve">7%</t>
  </si>
  <si>
    <t xml:space="preserve">مرافق | Facilities</t>
  </si>
  <si>
    <t xml:space="preserve">ضيافة | Refreshments</t>
  </si>
  <si>
    <t xml:space="preserve">15%</t>
  </si>
  <si>
    <t xml:space="preserve">شهادات وتخرج | Certificates</t>
  </si>
  <si>
    <t xml:space="preserve">4%</t>
  </si>
  <si>
    <t xml:space="preserve">إدارة كيان | Kayan PM (15%)</t>
  </si>
  <si>
    <t xml:space="preserve">overhead — يغذي OPEX</t>
  </si>
  <si>
    <t xml:space="preserve">متابعة 3 أشهر | Follow-up</t>
  </si>
  <si>
    <t xml:space="preserve">5%</t>
  </si>
  <si>
    <t xml:space="preserve">تقارير أثر</t>
  </si>
  <si>
    <t xml:space="preserve">طوارئ | Contingency (10%)</t>
  </si>
  <si>
    <t xml:space="preserve">9%</t>
  </si>
  <si>
    <t xml:space="preserve">100%</t>
  </si>
  <si>
    <t xml:space="preserve">الجدول الزمني 12 شهر — الأكاديمية | 12-MONTH ACADEMY TIMELINE</t>
  </si>
  <si>
    <t xml:space="preserve">النشاط | Activity</t>
  </si>
  <si>
    <t xml:space="preserve">M1
مايو</t>
  </si>
  <si>
    <t xml:space="preserve">M2
يونيو</t>
  </si>
  <si>
    <t xml:space="preserve">M3
يوليو</t>
  </si>
  <si>
    <t xml:space="preserve">M4
أغسطس</t>
  </si>
  <si>
    <t xml:space="preserve">M5
سبتمبر</t>
  </si>
  <si>
    <t xml:space="preserve">M6
أكتوبر</t>
  </si>
  <si>
    <t xml:space="preserve">M7
نوفمبر</t>
  </si>
  <si>
    <t xml:space="preserve">M8
ديسمبر</t>
  </si>
  <si>
    <t xml:space="preserve">M9
يناير</t>
  </si>
  <si>
    <t xml:space="preserve">M10
فبراير</t>
  </si>
  <si>
    <t xml:space="preserve">M11
مارس</t>
  </si>
  <si>
    <t xml:space="preserve">M12
أبريل</t>
  </si>
  <si>
    <t xml:space="preserve">ورش مفتوحة مجانية (كل أسبوعين) | Free Open Workshops</t>
  </si>
  <si>
    <t xml:space="preserve">🔴</t>
  </si>
  <si>
    <t xml:space="preserve">يوم التحقق الشهري | Monthly Verification Day</t>
  </si>
  <si>
    <t xml:space="preserve">طارق</t>
  </si>
  <si>
    <t xml:space="preserve">جلسة نساء كيان الأسبوعية | Weekly Kayan Women</t>
  </si>
  <si>
    <t xml:space="preserve">علي</t>
  </si>
  <si>
    <t xml:space="preserve">تقديم طلب ترخيص MTEVT | Apply for MTEVT License</t>
  </si>
  <si>
    <t xml:space="preserve">زيارة EFE-Yemen — شراكة | Visit EFE-Yemen</t>
  </si>
  <si>
    <t xml:space="preserve">اتفاقية جامعة عدن | University of Aden MoU</t>
  </si>
  <si>
    <t xml:space="preserve">أول مقترح دفعة ممولة | First Donor Proposal</t>
  </si>
  <si>
    <t xml:space="preserve">محمد+ماهر</t>
  </si>
  <si>
    <t xml:space="preserve">استلام ترخيص MTEVT (هدف) | Receive MTEVT License</t>
  </si>
  <si>
    <t xml:space="preserve">أول دفعة ممولة — تنفيذ | First Donor Cohort</t>
  </si>
  <si>
    <t xml:space="preserve">تخرج الدفعة 1 + تسجيل T0 | Cohort 1 Graduation</t>
  </si>
  <si>
    <t xml:space="preserve">أول تدريب مؤسسي | First Corporate Training</t>
  </si>
  <si>
    <t xml:space="preserve">ثاني مقترح دفعة | Second Donor Proposal</t>
  </si>
  <si>
    <t xml:space="preserve">ثاني دفعة ممولة — تنفيذ | Second Donor Cohort</t>
  </si>
  <si>
    <t xml:space="preserve">شراكة Re:Coded | Re:Coded Partnership</t>
  </si>
  <si>
    <t xml:space="preserve">تخرج الدفعة 2 | Cohort 2 Graduation</t>
  </si>
  <si>
    <t xml:space="preserve">تقييم سنوي | Annual Review</t>
  </si>
  <si>
    <t xml:space="preserve">لوحة مؤشرات الأكاديمية | ACADEMY KPI DASHBOARD</t>
  </si>
  <si>
    <t xml:space="preserve">المؤشر | KPI</t>
  </si>
  <si>
    <t xml:space="preserve">هدف M3</t>
  </si>
  <si>
    <t xml:space="preserve">هدف M6</t>
  </si>
  <si>
    <t xml:space="preserve">هدف M12</t>
  </si>
  <si>
    <t xml:space="preserve">التكرار والمسؤول</t>
  </si>
  <si>
    <t xml:space="preserve">ورش مفتوحة مقدمة | Open Workshops Delivered</t>
  </si>
  <si>
    <t xml:space="preserve">12</t>
  </si>
  <si>
    <t xml:space="preserve">شهري — محمد</t>
  </si>
  <si>
    <t xml:space="preserve">حضور الورش (تراكمي) | Workshop Attendance (cumul.)</t>
  </si>
  <si>
    <t xml:space="preserve">30</t>
  </si>
  <si>
    <t xml:space="preserve">120</t>
  </si>
  <si>
    <t xml:space="preserve">350</t>
  </si>
  <si>
    <t xml:space="preserve">شهري — علي</t>
  </si>
  <si>
    <t xml:space="preserve">تسجيلات T0 جديدة | New T0 Registrations</t>
  </si>
  <si>
    <t xml:space="preserve">50</t>
  </si>
  <si>
    <t xml:space="preserve">150</t>
  </si>
  <si>
    <t xml:space="preserve">شهري — طارق</t>
  </si>
  <si>
    <t xml:space="preserve">ترقيات T0→T1 | T0→T1 Upgrades</t>
  </si>
  <si>
    <t xml:space="preserve">0</t>
  </si>
  <si>
    <t xml:space="preserve">20</t>
  </si>
  <si>
    <t xml:space="preserve">60</t>
  </si>
  <si>
    <t xml:space="preserve">دفعات ممولة مُقدم عنها | Donor Proposals Sent</t>
  </si>
  <si>
    <t xml:space="preserve">ربع سنوي — محمد</t>
  </si>
  <si>
    <t xml:space="preserve">دفعات ممولة مُنفذة | Donor Cohorts Delivered</t>
  </si>
  <si>
    <t xml:space="preserve">خريجون (تراكمي) | Graduates (cumulative)</t>
  </si>
  <si>
    <t xml:space="preserve">35</t>
  </si>
  <si>
    <t xml:space="preserve">خريجون في فرق كيان % | Graduates in Pods %</t>
  </si>
  <si>
    <t xml:space="preserve">—</t>
  </si>
  <si>
    <t xml:space="preserve">30%+</t>
  </si>
  <si>
    <t xml:space="preserve">ربع سنوي — ماهر</t>
  </si>
  <si>
    <t xml:space="preserve">نسبة النساء في الدفعات | Women in Cohorts %</t>
  </si>
  <si>
    <t xml:space="preserve">40%+</t>
  </si>
  <si>
    <t xml:space="preserve">لكل دفعة — محمد</t>
  </si>
  <si>
    <t xml:space="preserve">معدل الإكمال | Completion Rate</t>
  </si>
  <si>
    <t xml:space="preserve">80%+</t>
  </si>
  <si>
    <t xml:space="preserve">85%+</t>
  </si>
  <si>
    <t xml:space="preserve">رضا المتدربين NPS | Trainee NPS</t>
  </si>
  <si>
    <t xml:space="preserve">50+</t>
  </si>
  <si>
    <t xml:space="preserve">60+</t>
  </si>
  <si>
    <t xml:space="preserve">إيرادات الأكاديمية ($) | Academy Revenue ($)</t>
  </si>
  <si>
    <t xml:space="preserve">$4,000</t>
  </si>
  <si>
    <t xml:space="preserve">تدريب مؤسسي مُنفذ | Corporate Training Done</t>
  </si>
  <si>
    <t xml:space="preserve">مذكرات تفاهم موقعة | MoUs Signed</t>
  </si>
  <si>
    <t xml:space="preserve">ترخيص MTEVT | MTEVT License</t>
  </si>
  <si>
    <t xml:space="preserve">مُقدم</t>
  </si>
  <si>
    <t xml:space="preserve">مستلم</t>
  </si>
  <si>
    <t xml:space="preserve">نشط</t>
  </si>
  <si>
    <t xml:space="preserve">— ماهر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</si>
</sst>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C6A962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C6A962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FF3E0"/>
        <bgColor rgb="FFFFF8E1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C62828"/>
        <bgColor rgb="FFB71C1C"/>
      </patternFill>
    </fill>
    <fill>
      <patternFill patternType="solid">
        <fgColor rgb="FFB71C1C"/>
        <bgColor rgb="FFC62828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F5F5F5"/>
      </patternFill>
    </fill>
    <fill>
      <patternFill patternType="solid">
        <fgColor rgb="FFFFEBEE"/>
        <bgColor rgb="FFFFF3E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B5E20"/>
      </left>
      <right/>
      <top style="medium">
        <color rgb="FF1B5E20"/>
      </top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A68B3E"/>
      <rgbColor rgb="FF800080"/>
      <rgbColor rgb="FF008080"/>
      <rgbColor rgb="FFC0C0C0"/>
      <rgbColor rgb="FF808080"/>
      <rgbColor rgb="FF9999FF"/>
      <rgbColor rgb="FFC62828"/>
      <rgbColor rgb="FFFFF8E1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FEBE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6A962"/>
      <rgbColor rgb="FF003366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5" min="4" style="0" width="20"/>
    <col collapsed="false" customWidth="true" hidden="false" outlineLevel="0" max="7" min="6" style="0" width="18"/>
    <col collapsed="false" customWidth="true" hidden="false" outlineLevel="0" max="8" min="8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6" customFormat="false" ht="49.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</row>
    <row r="10" customFormat="false" ht="49.5" hidden="false" customHeight="true" outlineLevel="0" collapsed="false">
      <c r="A10" s="5" t="s">
        <v>5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4" customFormat="false" ht="30" hidden="false" customHeight="true" outlineLevel="0" collapsed="false">
      <c r="A14" s="6" t="s">
        <v>6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/>
      <c r="B15" s="7" t="s">
        <v>7</v>
      </c>
      <c r="C15" s="7" t="s">
        <v>8</v>
      </c>
      <c r="D15" s="7" t="s">
        <v>9</v>
      </c>
    </row>
    <row r="16" customFormat="false" ht="15" hidden="false" customHeight="false" outlineLevel="0" collapsed="false">
      <c r="A16" s="8"/>
      <c r="B16" s="9" t="s">
        <v>10</v>
      </c>
      <c r="C16" s="10" t="s">
        <v>11</v>
      </c>
      <c r="D16" s="8" t="s">
        <v>12</v>
      </c>
    </row>
    <row r="17" customFormat="false" ht="15" hidden="false" customHeight="false" outlineLevel="0" collapsed="false">
      <c r="A17" s="11"/>
      <c r="B17" s="12" t="s">
        <v>13</v>
      </c>
      <c r="C17" s="13" t="s">
        <v>14</v>
      </c>
      <c r="D17" s="11" t="s">
        <v>15</v>
      </c>
    </row>
    <row r="18" customFormat="false" ht="15" hidden="false" customHeight="false" outlineLevel="0" collapsed="false">
      <c r="A18" s="8"/>
      <c r="B18" s="9" t="s">
        <v>16</v>
      </c>
      <c r="C18" s="10" t="s">
        <v>17</v>
      </c>
      <c r="D18" s="8" t="s">
        <v>18</v>
      </c>
    </row>
    <row r="19" customFormat="false" ht="15" hidden="false" customHeight="false" outlineLevel="0" collapsed="false">
      <c r="A19" s="11"/>
      <c r="B19" s="12" t="s">
        <v>19</v>
      </c>
      <c r="C19" s="13" t="s">
        <v>20</v>
      </c>
      <c r="D19" s="11" t="s">
        <v>21</v>
      </c>
    </row>
    <row r="20" customFormat="false" ht="15" hidden="false" customHeight="false" outlineLevel="0" collapsed="false">
      <c r="A20" s="8"/>
      <c r="B20" s="9" t="s">
        <v>22</v>
      </c>
      <c r="C20" s="10" t="s">
        <v>23</v>
      </c>
      <c r="D20" s="8" t="s">
        <v>24</v>
      </c>
    </row>
    <row r="21" customFormat="false" ht="15" hidden="false" customHeight="false" outlineLevel="0" collapsed="false">
      <c r="A21" s="11"/>
      <c r="B21" s="12" t="s">
        <v>25</v>
      </c>
      <c r="C21" s="13" t="s">
        <v>26</v>
      </c>
      <c r="D21" s="11" t="s">
        <v>27</v>
      </c>
    </row>
    <row r="22" customFormat="false" ht="15" hidden="false" customHeight="false" outlineLevel="0" collapsed="false">
      <c r="A22" s="8"/>
      <c r="B22" s="9" t="s">
        <v>28</v>
      </c>
      <c r="C22" s="10" t="s">
        <v>29</v>
      </c>
      <c r="D22" s="8" t="s">
        <v>30</v>
      </c>
    </row>
    <row r="23" customFormat="false" ht="15" hidden="false" customHeight="false" outlineLevel="0" collapsed="false">
      <c r="A23" s="11"/>
      <c r="B23" s="12" t="s">
        <v>31</v>
      </c>
      <c r="C23" s="13" t="s">
        <v>32</v>
      </c>
      <c r="D23" s="11" t="s">
        <v>33</v>
      </c>
    </row>
    <row r="24" customFormat="false" ht="15" hidden="false" customHeight="false" outlineLevel="0" collapsed="false">
      <c r="A24" s="8"/>
      <c r="B24" s="9" t="s">
        <v>34</v>
      </c>
      <c r="C24" s="10" t="s">
        <v>35</v>
      </c>
      <c r="D24" s="8" t="s">
        <v>36</v>
      </c>
    </row>
    <row r="25" customFormat="false" ht="15" hidden="false" customHeight="false" outlineLevel="0" collapsed="false">
      <c r="A25" s="11"/>
      <c r="B25" s="12" t="s">
        <v>37</v>
      </c>
      <c r="C25" s="13" t="s">
        <v>38</v>
      </c>
      <c r="D25" s="11" t="s">
        <v>39</v>
      </c>
    </row>
    <row r="26" customFormat="false" ht="15" hidden="false" customHeight="false" outlineLevel="0" collapsed="false">
      <c r="A26" s="8"/>
      <c r="B26" s="9" t="s">
        <v>40</v>
      </c>
      <c r="C26" s="10" t="s">
        <v>41</v>
      </c>
      <c r="D26" s="8" t="s">
        <v>42</v>
      </c>
    </row>
    <row r="27" customFormat="false" ht="15" hidden="false" customHeight="false" outlineLevel="0" collapsed="false">
      <c r="A27" s="11"/>
      <c r="B27" s="12" t="s">
        <v>43</v>
      </c>
      <c r="C27" s="13" t="s">
        <v>44</v>
      </c>
      <c r="D27" s="11" t="s">
        <v>45</v>
      </c>
    </row>
    <row r="28" customFormat="false" ht="15" hidden="false" customHeight="false" outlineLevel="0" collapsed="false">
      <c r="A28" s="8"/>
      <c r="B28" s="9" t="s">
        <v>46</v>
      </c>
      <c r="C28" s="10" t="s">
        <v>47</v>
      </c>
      <c r="D28" s="8" t="s">
        <v>48</v>
      </c>
    </row>
    <row r="29" customFormat="false" ht="15" hidden="false" customHeight="false" outlineLevel="0" collapsed="false">
      <c r="A29" s="11"/>
      <c r="B29" s="12" t="s">
        <v>49</v>
      </c>
      <c r="C29" s="13" t="s">
        <v>50</v>
      </c>
      <c r="D29" s="11" t="s">
        <v>51</v>
      </c>
    </row>
    <row r="30" customFormat="false" ht="15" hidden="false" customHeight="false" outlineLevel="0" collapsed="false">
      <c r="A30" s="8"/>
      <c r="B30" s="9" t="s">
        <v>52</v>
      </c>
      <c r="C30" s="10" t="s">
        <v>53</v>
      </c>
      <c r="D30" s="8" t="s">
        <v>54</v>
      </c>
    </row>
    <row r="31" customFormat="false" ht="15" hidden="false" customHeight="false" outlineLevel="0" collapsed="false">
      <c r="A31" s="11"/>
      <c r="B31" s="12" t="s">
        <v>55</v>
      </c>
      <c r="C31" s="13" t="s">
        <v>56</v>
      </c>
      <c r="D31" s="11" t="s">
        <v>57</v>
      </c>
    </row>
    <row r="32" customFormat="false" ht="15" hidden="false" customHeight="false" outlineLevel="0" collapsed="false">
      <c r="A32" s="8"/>
      <c r="B32" s="9" t="s">
        <v>58</v>
      </c>
      <c r="C32" s="10" t="s">
        <v>59</v>
      </c>
      <c r="D32" s="8" t="s">
        <v>60</v>
      </c>
    </row>
    <row r="33" customFormat="false" ht="15" hidden="false" customHeight="false" outlineLevel="0" collapsed="false">
      <c r="A33" s="11"/>
      <c r="B33" s="12" t="s">
        <v>61</v>
      </c>
      <c r="C33" s="13" t="s">
        <v>62</v>
      </c>
      <c r="D33" s="11" t="s">
        <v>63</v>
      </c>
    </row>
  </sheetData>
  <mergeCells count="7">
    <mergeCell ref="A1:H1"/>
    <mergeCell ref="A2:H2"/>
    <mergeCell ref="A3:H3"/>
    <mergeCell ref="A4:H4"/>
    <mergeCell ref="A6:H7"/>
    <mergeCell ref="A10:H11"/>
    <mergeCell ref="A14:H14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30"/>
    <col collapsed="false" customWidth="true" hidden="false" outlineLevel="0" max="6" min="5" style="0" width="16"/>
  </cols>
  <sheetData>
    <row r="1" customFormat="false" ht="37.5" hidden="false" customHeight="true" outlineLevel="0" collapsed="false">
      <c r="A1" s="14" t="s">
        <v>64</v>
      </c>
      <c r="B1" s="14"/>
      <c r="C1" s="14"/>
      <c r="D1" s="14"/>
      <c r="E1" s="14"/>
      <c r="F1" s="14"/>
    </row>
    <row r="2" customFormat="false" ht="27.75" hidden="false" customHeight="true" outlineLevel="0" collapsed="false">
      <c r="A2" s="15" t="s">
        <v>65</v>
      </c>
      <c r="B2" s="15"/>
      <c r="C2" s="15"/>
      <c r="D2" s="15"/>
      <c r="E2" s="15"/>
      <c r="F2" s="15"/>
    </row>
    <row r="4" customFormat="false" ht="49.5" hidden="false" customHeight="true" outlineLevel="0" collapsed="false">
      <c r="A4" s="5" t="s">
        <v>66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</row>
    <row r="7" customFormat="false" ht="30" hidden="false" customHeight="true" outlineLevel="0" collapsed="false">
      <c r="A7" s="6" t="s">
        <v>67</v>
      </c>
      <c r="B7" s="6"/>
      <c r="C7" s="6"/>
      <c r="D7" s="6"/>
      <c r="E7" s="6"/>
      <c r="F7" s="6"/>
    </row>
    <row r="8" customFormat="false" ht="27.75" hidden="false" customHeight="true" outlineLevel="0" collapsed="false">
      <c r="A8" s="16"/>
      <c r="B8" s="16" t="s">
        <v>68</v>
      </c>
      <c r="C8" s="16" t="s">
        <v>69</v>
      </c>
      <c r="D8" s="16" t="s">
        <v>70</v>
      </c>
      <c r="E8" s="16" t="s">
        <v>71</v>
      </c>
      <c r="F8" s="16" t="s">
        <v>72</v>
      </c>
    </row>
    <row r="9" customFormat="false" ht="180" hidden="false" customHeight="true" outlineLevel="0" collapsed="false">
      <c r="A9" s="8"/>
      <c r="B9" s="17" t="s">
        <v>73</v>
      </c>
      <c r="C9" s="8" t="s">
        <v>74</v>
      </c>
      <c r="D9" s="8" t="s">
        <v>75</v>
      </c>
      <c r="E9" s="18" t="s">
        <v>76</v>
      </c>
      <c r="F9" s="18"/>
    </row>
    <row r="10" customFormat="false" ht="15" hidden="false" customHeight="false" outlineLevel="0" collapsed="false">
      <c r="E10" s="18"/>
      <c r="F10" s="18"/>
    </row>
    <row r="11" customFormat="false" ht="15" hidden="false" customHeight="false" outlineLevel="0" collapsed="false">
      <c r="E11" s="18"/>
      <c r="F11" s="18"/>
    </row>
    <row r="12" customFormat="false" ht="15" hidden="false" customHeight="false" outlineLevel="0" collapsed="false">
      <c r="E12" s="18"/>
      <c r="F12" s="18"/>
    </row>
    <row r="13" customFormat="false" ht="15" hidden="false" customHeight="false" outlineLevel="0" collapsed="false">
      <c r="E13" s="18"/>
      <c r="F13" s="18"/>
    </row>
    <row r="14" customFormat="false" ht="15" hidden="false" customHeight="false" outlineLevel="0" collapsed="false">
      <c r="E14" s="18"/>
      <c r="F14" s="18"/>
    </row>
    <row r="16" customFormat="false" ht="180" hidden="false" customHeight="true" outlineLevel="0" collapsed="false">
      <c r="A16" s="11"/>
      <c r="B16" s="19" t="s">
        <v>77</v>
      </c>
      <c r="C16" s="11" t="s">
        <v>78</v>
      </c>
      <c r="D16" s="11" t="s">
        <v>79</v>
      </c>
      <c r="E16" s="20" t="s">
        <v>80</v>
      </c>
      <c r="F16" s="20"/>
    </row>
    <row r="17" customFormat="false" ht="15" hidden="false" customHeight="false" outlineLevel="0" collapsed="false">
      <c r="E17" s="20"/>
      <c r="F17" s="20"/>
    </row>
    <row r="18" customFormat="false" ht="15" hidden="false" customHeight="false" outlineLevel="0" collapsed="false">
      <c r="E18" s="20"/>
      <c r="F18" s="20"/>
    </row>
    <row r="19" customFormat="false" ht="15" hidden="false" customHeight="false" outlineLevel="0" collapsed="false">
      <c r="E19" s="20"/>
      <c r="F19" s="20"/>
    </row>
    <row r="20" customFormat="false" ht="15" hidden="false" customHeight="false" outlineLevel="0" collapsed="false">
      <c r="E20" s="20"/>
      <c r="F20" s="20"/>
    </row>
    <row r="21" customFormat="false" ht="15" hidden="false" customHeight="false" outlineLevel="0" collapsed="false">
      <c r="E21" s="20"/>
      <c r="F21" s="20"/>
    </row>
    <row r="23" customFormat="false" ht="180" hidden="false" customHeight="true" outlineLevel="0" collapsed="false">
      <c r="A23" s="8"/>
      <c r="B23" s="17" t="s">
        <v>81</v>
      </c>
      <c r="C23" s="8" t="s">
        <v>82</v>
      </c>
      <c r="D23" s="8" t="s">
        <v>83</v>
      </c>
      <c r="E23" s="18" t="s">
        <v>84</v>
      </c>
      <c r="F23" s="18"/>
    </row>
    <row r="24" customFormat="false" ht="15" hidden="false" customHeight="false" outlineLevel="0" collapsed="false">
      <c r="E24" s="18"/>
      <c r="F24" s="18"/>
    </row>
    <row r="25" customFormat="false" ht="15" hidden="false" customHeight="false" outlineLevel="0" collapsed="false">
      <c r="E25" s="18"/>
      <c r="F25" s="18"/>
    </row>
    <row r="26" customFormat="false" ht="15" hidden="false" customHeight="false" outlineLevel="0" collapsed="false">
      <c r="E26" s="18"/>
      <c r="F26" s="18"/>
    </row>
    <row r="27" customFormat="false" ht="15" hidden="false" customHeight="false" outlineLevel="0" collapsed="false">
      <c r="E27" s="18"/>
      <c r="F27" s="18"/>
    </row>
    <row r="28" customFormat="false" ht="15" hidden="false" customHeight="false" outlineLevel="0" collapsed="false">
      <c r="E28" s="18"/>
      <c r="F28" s="18"/>
    </row>
    <row r="30" customFormat="false" ht="180" hidden="false" customHeight="true" outlineLevel="0" collapsed="false">
      <c r="A30" s="11"/>
      <c r="B30" s="19" t="s">
        <v>85</v>
      </c>
      <c r="C30" s="11" t="s">
        <v>86</v>
      </c>
      <c r="D30" s="11" t="s">
        <v>87</v>
      </c>
      <c r="E30" s="20" t="s">
        <v>88</v>
      </c>
      <c r="F30" s="20"/>
    </row>
    <row r="31" customFormat="false" ht="15" hidden="false" customHeight="false" outlineLevel="0" collapsed="false">
      <c r="E31" s="20"/>
      <c r="F31" s="20"/>
    </row>
    <row r="32" customFormat="false" ht="15" hidden="false" customHeight="false" outlineLevel="0" collapsed="false">
      <c r="E32" s="20"/>
      <c r="F32" s="20"/>
    </row>
    <row r="33" customFormat="false" ht="15" hidden="false" customHeight="false" outlineLevel="0" collapsed="false">
      <c r="E33" s="20"/>
      <c r="F33" s="20"/>
    </row>
    <row r="34" customFormat="false" ht="15" hidden="false" customHeight="false" outlineLevel="0" collapsed="false">
      <c r="E34" s="20"/>
      <c r="F34" s="20"/>
    </row>
    <row r="35" customFormat="false" ht="15" hidden="false" customHeight="false" outlineLevel="0" collapsed="false">
      <c r="E35" s="20"/>
      <c r="F35" s="20"/>
    </row>
    <row r="38" customFormat="false" ht="30" hidden="false" customHeight="true" outlineLevel="0" collapsed="false">
      <c r="A38" s="6" t="s">
        <v>89</v>
      </c>
      <c r="B38" s="6"/>
      <c r="C38" s="6"/>
      <c r="D38" s="6"/>
      <c r="E38" s="6"/>
      <c r="F38" s="6"/>
    </row>
    <row r="39" customFormat="false" ht="27.75" hidden="false" customHeight="true" outlineLevel="0" collapsed="false">
      <c r="A39" s="16"/>
      <c r="B39" s="16" t="s">
        <v>90</v>
      </c>
      <c r="C39" s="16" t="s">
        <v>91</v>
      </c>
      <c r="D39" s="16" t="s">
        <v>92</v>
      </c>
      <c r="E39" s="16" t="s">
        <v>93</v>
      </c>
    </row>
    <row r="40" customFormat="false" ht="49.5" hidden="false" customHeight="true" outlineLevel="0" collapsed="false">
      <c r="A40" s="21"/>
      <c r="B40" s="22" t="s">
        <v>94</v>
      </c>
      <c r="C40" s="21" t="s">
        <v>95</v>
      </c>
      <c r="D40" s="21" t="s">
        <v>96</v>
      </c>
      <c r="E40" s="21" t="s">
        <v>97</v>
      </c>
      <c r="F40" s="21"/>
    </row>
    <row r="41" customFormat="false" ht="49.5" hidden="false" customHeight="true" outlineLevel="0" collapsed="false">
      <c r="A41" s="23"/>
      <c r="B41" s="24" t="s">
        <v>98</v>
      </c>
      <c r="C41" s="23" t="s">
        <v>99</v>
      </c>
      <c r="D41" s="23" t="s">
        <v>100</v>
      </c>
      <c r="E41" s="23" t="s">
        <v>101</v>
      </c>
      <c r="F41" s="23"/>
    </row>
    <row r="42" customFormat="false" ht="49.5" hidden="false" customHeight="true" outlineLevel="0" collapsed="false">
      <c r="A42" s="21"/>
      <c r="B42" s="22" t="s">
        <v>102</v>
      </c>
      <c r="C42" s="21" t="s">
        <v>103</v>
      </c>
      <c r="D42" s="21" t="s">
        <v>104</v>
      </c>
      <c r="E42" s="21" t="s">
        <v>105</v>
      </c>
      <c r="F42" s="21"/>
    </row>
    <row r="43" customFormat="false" ht="49.5" hidden="false" customHeight="true" outlineLevel="0" collapsed="false">
      <c r="A43" s="23"/>
      <c r="B43" s="24" t="s">
        <v>106</v>
      </c>
      <c r="C43" s="23" t="s">
        <v>107</v>
      </c>
      <c r="D43" s="23" t="s">
        <v>108</v>
      </c>
      <c r="E43" s="23" t="s">
        <v>109</v>
      </c>
      <c r="F43" s="23"/>
    </row>
    <row r="44" customFormat="false" ht="49.5" hidden="false" customHeight="true" outlineLevel="0" collapsed="false">
      <c r="A44" s="21"/>
      <c r="B44" s="22" t="s">
        <v>110</v>
      </c>
      <c r="C44" s="21" t="s">
        <v>111</v>
      </c>
      <c r="D44" s="21" t="s">
        <v>112</v>
      </c>
      <c r="E44" s="21" t="s">
        <v>113</v>
      </c>
      <c r="F44" s="21"/>
    </row>
    <row r="46" customFormat="false" ht="30" hidden="false" customHeight="true" outlineLevel="0" collapsed="false">
      <c r="A46" s="6" t="s">
        <v>114</v>
      </c>
      <c r="B46" s="6"/>
      <c r="C46" s="6"/>
      <c r="D46" s="6"/>
      <c r="E46" s="6"/>
      <c r="F46" s="6"/>
    </row>
    <row r="47" customFormat="false" ht="27.75" hidden="false" customHeight="true" outlineLevel="0" collapsed="false">
      <c r="A47" s="16"/>
      <c r="B47" s="16" t="s">
        <v>115</v>
      </c>
      <c r="C47" s="16" t="s">
        <v>116</v>
      </c>
      <c r="D47" s="16" t="s">
        <v>117</v>
      </c>
      <c r="E47" s="16" t="s">
        <v>118</v>
      </c>
      <c r="F47" s="16"/>
    </row>
    <row r="48" customFormat="false" ht="64.5" hidden="false" customHeight="true" outlineLevel="0" collapsed="false">
      <c r="A48" s="21"/>
      <c r="B48" s="22" t="s">
        <v>119</v>
      </c>
      <c r="C48" s="21" t="s">
        <v>120</v>
      </c>
      <c r="D48" s="22" t="s">
        <v>121</v>
      </c>
      <c r="E48" s="21" t="s">
        <v>122</v>
      </c>
      <c r="F48" s="21"/>
    </row>
    <row r="49" customFormat="false" ht="64.5" hidden="false" customHeight="true" outlineLevel="0" collapsed="false">
      <c r="A49" s="23"/>
      <c r="B49" s="24" t="s">
        <v>123</v>
      </c>
      <c r="C49" s="23" t="s">
        <v>124</v>
      </c>
      <c r="D49" s="24" t="s">
        <v>125</v>
      </c>
      <c r="E49" s="23" t="s">
        <v>126</v>
      </c>
      <c r="F49" s="23"/>
    </row>
    <row r="50" customFormat="false" ht="64.5" hidden="false" customHeight="true" outlineLevel="0" collapsed="false">
      <c r="A50" s="21"/>
      <c r="B50" s="22" t="s">
        <v>127</v>
      </c>
      <c r="C50" s="21" t="s">
        <v>128</v>
      </c>
      <c r="D50" s="22" t="s">
        <v>129</v>
      </c>
      <c r="E50" s="21" t="s">
        <v>130</v>
      </c>
      <c r="F50" s="21"/>
    </row>
    <row r="51" customFormat="false" ht="64.5" hidden="false" customHeight="true" outlineLevel="0" collapsed="false">
      <c r="A51" s="23"/>
      <c r="B51" s="24" t="s">
        <v>131</v>
      </c>
      <c r="C51" s="23" t="s">
        <v>132</v>
      </c>
      <c r="D51" s="24" t="s">
        <v>133</v>
      </c>
      <c r="E51" s="23" t="s">
        <v>134</v>
      </c>
      <c r="F51" s="23"/>
    </row>
    <row r="52" customFormat="false" ht="64.5" hidden="false" customHeight="true" outlineLevel="0" collapsed="false">
      <c r="A52" s="21"/>
      <c r="B52" s="22" t="s">
        <v>135</v>
      </c>
      <c r="C52" s="21" t="s">
        <v>136</v>
      </c>
      <c r="D52" s="22" t="s">
        <v>137</v>
      </c>
      <c r="E52" s="21" t="s">
        <v>138</v>
      </c>
      <c r="F52" s="21"/>
    </row>
    <row r="53" customFormat="false" ht="64.5" hidden="false" customHeight="true" outlineLevel="0" collapsed="false">
      <c r="A53" s="23"/>
      <c r="B53" s="24" t="s">
        <v>139</v>
      </c>
      <c r="C53" s="23" t="s">
        <v>140</v>
      </c>
      <c r="D53" s="24" t="s">
        <v>141</v>
      </c>
      <c r="E53" s="23" t="s">
        <v>142</v>
      </c>
      <c r="F53" s="23"/>
    </row>
  </sheetData>
  <mergeCells count="10">
    <mergeCell ref="A1:F1"/>
    <mergeCell ref="A2:F2"/>
    <mergeCell ref="A4:F5"/>
    <mergeCell ref="A7:F7"/>
    <mergeCell ref="E9:F14"/>
    <mergeCell ref="E16:F21"/>
    <mergeCell ref="E23:F28"/>
    <mergeCell ref="E30:F35"/>
    <mergeCell ref="A38:F38"/>
    <mergeCell ref="A46:F46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8"/>
    <col collapsed="false" customWidth="true" hidden="false" outlineLevel="0" max="4" min="4" style="0" width="20"/>
    <col collapsed="false" customWidth="true" hidden="false" outlineLevel="0" max="6" min="5" style="0" width="22"/>
  </cols>
  <sheetData>
    <row r="1" customFormat="false" ht="34.5" hidden="false" customHeight="true" outlineLevel="0" collapsed="false">
      <c r="A1" s="1" t="s">
        <v>143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144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145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16"/>
      <c r="B5" s="16" t="s">
        <v>146</v>
      </c>
      <c r="C5" s="16" t="s">
        <v>147</v>
      </c>
      <c r="D5" s="16" t="s">
        <v>148</v>
      </c>
      <c r="E5" s="16" t="s">
        <v>149</v>
      </c>
      <c r="F5" s="16" t="s">
        <v>150</v>
      </c>
      <c r="G5" s="16" t="s">
        <v>151</v>
      </c>
    </row>
    <row r="6" customFormat="false" ht="30" hidden="false" customHeight="true" outlineLevel="0" collapsed="false">
      <c r="A6" s="21"/>
      <c r="B6" s="22" t="s">
        <v>152</v>
      </c>
      <c r="C6" s="21" t="s">
        <v>153</v>
      </c>
      <c r="D6" s="21" t="s">
        <v>154</v>
      </c>
      <c r="E6" s="21" t="s">
        <v>155</v>
      </c>
      <c r="F6" s="21" t="s">
        <v>156</v>
      </c>
      <c r="G6" s="21" t="s">
        <v>157</v>
      </c>
    </row>
    <row r="7" customFormat="false" ht="30" hidden="false" customHeight="true" outlineLevel="0" collapsed="false">
      <c r="A7" s="23"/>
      <c r="B7" s="24" t="s">
        <v>158</v>
      </c>
      <c r="C7" s="23" t="s">
        <v>159</v>
      </c>
      <c r="D7" s="23" t="s">
        <v>160</v>
      </c>
      <c r="E7" s="23" t="s">
        <v>155</v>
      </c>
      <c r="F7" s="23" t="s">
        <v>161</v>
      </c>
      <c r="G7" s="23" t="s">
        <v>162</v>
      </c>
    </row>
    <row r="8" customFormat="false" ht="30" hidden="false" customHeight="true" outlineLevel="0" collapsed="false">
      <c r="A8" s="21"/>
      <c r="B8" s="22" t="s">
        <v>163</v>
      </c>
      <c r="C8" s="21" t="s">
        <v>164</v>
      </c>
      <c r="D8" s="21" t="s">
        <v>165</v>
      </c>
      <c r="E8" s="21" t="s">
        <v>166</v>
      </c>
      <c r="F8" s="21" t="s">
        <v>167</v>
      </c>
      <c r="G8" s="21" t="s">
        <v>168</v>
      </c>
    </row>
    <row r="9" customFormat="false" ht="30" hidden="false" customHeight="true" outlineLevel="0" collapsed="false">
      <c r="A9" s="23"/>
      <c r="B9" s="24" t="s">
        <v>169</v>
      </c>
      <c r="C9" s="23" t="s">
        <v>170</v>
      </c>
      <c r="D9" s="23" t="s">
        <v>171</v>
      </c>
      <c r="E9" s="23" t="s">
        <v>172</v>
      </c>
      <c r="F9" s="23" t="s">
        <v>173</v>
      </c>
      <c r="G9" s="23" t="s">
        <v>174</v>
      </c>
    </row>
    <row r="10" customFormat="false" ht="30" hidden="false" customHeight="true" outlineLevel="0" collapsed="false">
      <c r="A10" s="21"/>
      <c r="B10" s="22" t="s">
        <v>175</v>
      </c>
      <c r="C10" s="21" t="s">
        <v>176</v>
      </c>
      <c r="D10" s="21" t="s">
        <v>177</v>
      </c>
      <c r="E10" s="21" t="s">
        <v>178</v>
      </c>
      <c r="F10" s="21" t="s">
        <v>179</v>
      </c>
      <c r="G10" s="21" t="s">
        <v>180</v>
      </c>
    </row>
    <row r="11" customFormat="false" ht="30" hidden="false" customHeight="true" outlineLevel="0" collapsed="false">
      <c r="A11" s="23"/>
      <c r="B11" s="24" t="s">
        <v>181</v>
      </c>
      <c r="C11" s="23" t="s">
        <v>182</v>
      </c>
      <c r="D11" s="23" t="s">
        <v>183</v>
      </c>
      <c r="E11" s="23" t="s">
        <v>155</v>
      </c>
      <c r="F11" s="23" t="s">
        <v>184</v>
      </c>
      <c r="G11" s="23" t="s">
        <v>185</v>
      </c>
    </row>
    <row r="13" customFormat="false" ht="30" hidden="false" customHeight="true" outlineLevel="0" collapsed="false">
      <c r="A13" s="6" t="s">
        <v>186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16"/>
      <c r="B14" s="16" t="s">
        <v>146</v>
      </c>
      <c r="C14" s="16" t="s">
        <v>187</v>
      </c>
      <c r="D14" s="16" t="s">
        <v>188</v>
      </c>
      <c r="E14" s="16" t="s">
        <v>189</v>
      </c>
      <c r="F14" s="16" t="s">
        <v>190</v>
      </c>
      <c r="G14" s="16" t="s">
        <v>191</v>
      </c>
    </row>
    <row r="15" customFormat="false" ht="27.75" hidden="false" customHeight="true" outlineLevel="0" collapsed="false">
      <c r="A15" s="21"/>
      <c r="B15" s="22" t="s">
        <v>192</v>
      </c>
      <c r="C15" s="21" t="s">
        <v>193</v>
      </c>
      <c r="D15" s="21" t="s">
        <v>194</v>
      </c>
      <c r="E15" s="21" t="s">
        <v>195</v>
      </c>
      <c r="F15" s="21" t="s">
        <v>196</v>
      </c>
      <c r="G15" s="21" t="s">
        <v>197</v>
      </c>
    </row>
    <row r="16" customFormat="false" ht="27.75" hidden="false" customHeight="true" outlineLevel="0" collapsed="false">
      <c r="A16" s="23"/>
      <c r="B16" s="24" t="s">
        <v>169</v>
      </c>
      <c r="C16" s="23" t="s">
        <v>170</v>
      </c>
      <c r="D16" s="23" t="s">
        <v>194</v>
      </c>
      <c r="E16" s="23" t="s">
        <v>173</v>
      </c>
      <c r="F16" s="23" t="s">
        <v>198</v>
      </c>
      <c r="G16" s="23" t="s">
        <v>199</v>
      </c>
    </row>
    <row r="17" customFormat="false" ht="27.75" hidden="false" customHeight="true" outlineLevel="0" collapsed="false">
      <c r="A17" s="21"/>
      <c r="B17" s="22" t="s">
        <v>200</v>
      </c>
      <c r="C17" s="21" t="s">
        <v>36</v>
      </c>
      <c r="D17" s="21" t="s">
        <v>201</v>
      </c>
      <c r="E17" s="21" t="s">
        <v>202</v>
      </c>
      <c r="F17" s="21" t="s">
        <v>203</v>
      </c>
      <c r="G17" s="21" t="s">
        <v>204</v>
      </c>
    </row>
    <row r="18" customFormat="false" ht="27.75" hidden="false" customHeight="true" outlineLevel="0" collapsed="false">
      <c r="A18" s="23"/>
      <c r="B18" s="24" t="s">
        <v>205</v>
      </c>
      <c r="C18" s="23" t="s">
        <v>206</v>
      </c>
      <c r="D18" s="23"/>
      <c r="E18" s="23"/>
      <c r="F18" s="24" t="s">
        <v>207</v>
      </c>
      <c r="G18" s="23"/>
    </row>
    <row r="20" customFormat="false" ht="30" hidden="false" customHeight="true" outlineLevel="0" collapsed="false">
      <c r="A20" s="6" t="s">
        <v>208</v>
      </c>
      <c r="B20" s="6"/>
      <c r="C20" s="6"/>
      <c r="D20" s="6"/>
      <c r="E20" s="6"/>
      <c r="F20" s="6"/>
    </row>
    <row r="21" customFormat="false" ht="27.75" hidden="false" customHeight="true" outlineLevel="0" collapsed="false">
      <c r="A21" s="16"/>
      <c r="B21" s="16" t="s">
        <v>209</v>
      </c>
      <c r="C21" s="16" t="s">
        <v>210</v>
      </c>
      <c r="D21" s="16" t="s">
        <v>211</v>
      </c>
      <c r="E21" s="16" t="s">
        <v>212</v>
      </c>
    </row>
    <row r="22" customFormat="false" ht="54.75" hidden="false" customHeight="true" outlineLevel="0" collapsed="false">
      <c r="A22" s="21"/>
      <c r="B22" s="22" t="s">
        <v>213</v>
      </c>
      <c r="C22" s="21" t="s">
        <v>214</v>
      </c>
      <c r="D22" s="22" t="s">
        <v>215</v>
      </c>
      <c r="E22" s="21" t="s">
        <v>216</v>
      </c>
      <c r="F22" s="21"/>
    </row>
    <row r="23" customFormat="false" ht="54.75" hidden="false" customHeight="true" outlineLevel="0" collapsed="false">
      <c r="A23" s="23"/>
      <c r="B23" s="24" t="s">
        <v>217</v>
      </c>
      <c r="C23" s="23" t="s">
        <v>218</v>
      </c>
      <c r="D23" s="24" t="s">
        <v>219</v>
      </c>
      <c r="E23" s="23" t="s">
        <v>220</v>
      </c>
      <c r="F23" s="23"/>
    </row>
    <row r="24" customFormat="false" ht="54.75" hidden="false" customHeight="true" outlineLevel="0" collapsed="false">
      <c r="A24" s="21"/>
      <c r="B24" s="22" t="s">
        <v>221</v>
      </c>
      <c r="C24" s="21" t="s">
        <v>222</v>
      </c>
      <c r="D24" s="22" t="s">
        <v>223</v>
      </c>
      <c r="E24" s="21" t="s">
        <v>224</v>
      </c>
      <c r="F24" s="21"/>
    </row>
    <row r="25" customFormat="false" ht="54.75" hidden="false" customHeight="true" outlineLevel="0" collapsed="false">
      <c r="A25" s="23"/>
      <c r="B25" s="24" t="s">
        <v>225</v>
      </c>
      <c r="C25" s="23" t="s">
        <v>226</v>
      </c>
      <c r="D25" s="24" t="s">
        <v>227</v>
      </c>
      <c r="E25" s="23" t="s">
        <v>228</v>
      </c>
      <c r="F25" s="23"/>
    </row>
    <row r="26" customFormat="false" ht="54.75" hidden="false" customHeight="true" outlineLevel="0" collapsed="false">
      <c r="A26" s="21"/>
      <c r="B26" s="22" t="s">
        <v>229</v>
      </c>
      <c r="C26" s="21" t="s">
        <v>230</v>
      </c>
      <c r="D26" s="22" t="s">
        <v>231</v>
      </c>
      <c r="E26" s="21" t="s">
        <v>232</v>
      </c>
      <c r="F26" s="21"/>
    </row>
    <row r="27" customFormat="false" ht="54.75" hidden="false" customHeight="true" outlineLevel="0" collapsed="false">
      <c r="A27" s="23"/>
      <c r="B27" s="24" t="s">
        <v>233</v>
      </c>
      <c r="C27" s="23" t="s">
        <v>234</v>
      </c>
      <c r="D27" s="24" t="s">
        <v>231</v>
      </c>
      <c r="E27" s="23" t="s">
        <v>235</v>
      </c>
      <c r="F27" s="23"/>
    </row>
    <row r="28" customFormat="false" ht="54.75" hidden="false" customHeight="true" outlineLevel="0" collapsed="false">
      <c r="A28" s="21"/>
      <c r="B28" s="22" t="s">
        <v>236</v>
      </c>
      <c r="C28" s="21" t="s">
        <v>237</v>
      </c>
      <c r="D28" s="22" t="s">
        <v>238</v>
      </c>
      <c r="E28" s="21" t="s">
        <v>239</v>
      </c>
      <c r="F28" s="21"/>
    </row>
    <row r="29" customFormat="false" ht="54.75" hidden="false" customHeight="true" outlineLevel="0" collapsed="false">
      <c r="A29" s="23"/>
      <c r="B29" s="24" t="s">
        <v>240</v>
      </c>
      <c r="C29" s="23" t="s">
        <v>241</v>
      </c>
      <c r="D29" s="24" t="s">
        <v>242</v>
      </c>
      <c r="E29" s="23" t="s">
        <v>243</v>
      </c>
      <c r="F29" s="23"/>
    </row>
  </sheetData>
  <mergeCells count="5">
    <mergeCell ref="A1:F1"/>
    <mergeCell ref="A2:F2"/>
    <mergeCell ref="A4:F4"/>
    <mergeCell ref="A13:F13"/>
    <mergeCell ref="A20:F20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962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30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" t="s">
        <v>244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16"/>
      <c r="B3" s="16" t="s">
        <v>117</v>
      </c>
      <c r="C3" s="16" t="s">
        <v>245</v>
      </c>
      <c r="D3" s="16" t="s">
        <v>246</v>
      </c>
      <c r="E3" s="16" t="s">
        <v>247</v>
      </c>
      <c r="F3" s="16" t="s">
        <v>248</v>
      </c>
    </row>
    <row r="4" customFormat="false" ht="69.75" hidden="false" customHeight="true" outlineLevel="0" collapsed="false">
      <c r="A4" s="21"/>
      <c r="B4" s="22" t="s">
        <v>249</v>
      </c>
      <c r="C4" s="22" t="s">
        <v>250</v>
      </c>
      <c r="D4" s="21" t="s">
        <v>251</v>
      </c>
      <c r="E4" s="21" t="s">
        <v>252</v>
      </c>
      <c r="F4" s="21" t="s">
        <v>253</v>
      </c>
    </row>
    <row r="5" customFormat="false" ht="69.75" hidden="false" customHeight="true" outlineLevel="0" collapsed="false">
      <c r="A5" s="23"/>
      <c r="B5" s="24" t="s">
        <v>254</v>
      </c>
      <c r="C5" s="24" t="s">
        <v>255</v>
      </c>
      <c r="D5" s="23" t="s">
        <v>256</v>
      </c>
      <c r="E5" s="23" t="s">
        <v>257</v>
      </c>
      <c r="F5" s="23" t="s">
        <v>258</v>
      </c>
    </row>
    <row r="6" customFormat="false" ht="69.75" hidden="false" customHeight="true" outlineLevel="0" collapsed="false">
      <c r="A6" s="21"/>
      <c r="B6" s="22" t="s">
        <v>259</v>
      </c>
      <c r="C6" s="22" t="s">
        <v>260</v>
      </c>
      <c r="D6" s="21" t="s">
        <v>261</v>
      </c>
      <c r="E6" s="21" t="s">
        <v>262</v>
      </c>
      <c r="F6" s="21" t="s">
        <v>263</v>
      </c>
    </row>
    <row r="7" customFormat="false" ht="69.75" hidden="false" customHeight="true" outlineLevel="0" collapsed="false">
      <c r="A7" s="23"/>
      <c r="B7" s="24" t="s">
        <v>264</v>
      </c>
      <c r="C7" s="24" t="s">
        <v>265</v>
      </c>
      <c r="D7" s="23" t="s">
        <v>266</v>
      </c>
      <c r="E7" s="23" t="s">
        <v>267</v>
      </c>
      <c r="F7" s="23" t="s">
        <v>268</v>
      </c>
    </row>
    <row r="8" customFormat="false" ht="69.75" hidden="false" customHeight="true" outlineLevel="0" collapsed="false">
      <c r="A8" s="21"/>
      <c r="B8" s="22" t="s">
        <v>269</v>
      </c>
      <c r="C8" s="22" t="s">
        <v>270</v>
      </c>
      <c r="D8" s="21" t="s">
        <v>271</v>
      </c>
      <c r="E8" s="21" t="s">
        <v>272</v>
      </c>
      <c r="F8" s="21" t="s">
        <v>273</v>
      </c>
    </row>
    <row r="10" customFormat="false" ht="30" hidden="false" customHeight="true" outlineLevel="0" collapsed="false">
      <c r="A10" s="6" t="s">
        <v>274</v>
      </c>
      <c r="B10" s="6"/>
      <c r="C10" s="6"/>
      <c r="D10" s="6"/>
      <c r="E10" s="6"/>
      <c r="F10" s="6"/>
    </row>
    <row r="11" customFormat="false" ht="27.75" hidden="false" customHeight="true" outlineLevel="0" collapsed="false">
      <c r="A11" s="16"/>
      <c r="B11" s="16" t="s">
        <v>275</v>
      </c>
      <c r="C11" s="16" t="s">
        <v>276</v>
      </c>
      <c r="D11" s="16" t="s">
        <v>277</v>
      </c>
      <c r="E11" s="16" t="s">
        <v>278</v>
      </c>
      <c r="F11" s="16" t="s">
        <v>279</v>
      </c>
    </row>
    <row r="12" customFormat="false" ht="39.75" hidden="false" customHeight="true" outlineLevel="0" collapsed="false">
      <c r="A12" s="22" t="s">
        <v>280</v>
      </c>
      <c r="B12" s="22" t="s">
        <v>281</v>
      </c>
      <c r="C12" s="21" t="s">
        <v>282</v>
      </c>
      <c r="D12" s="21" t="s">
        <v>283</v>
      </c>
      <c r="E12" s="21" t="s">
        <v>284</v>
      </c>
      <c r="F12" s="21" t="s">
        <v>285</v>
      </c>
    </row>
    <row r="13" customFormat="false" ht="39.75" hidden="false" customHeight="true" outlineLevel="0" collapsed="false">
      <c r="A13" s="24" t="s">
        <v>286</v>
      </c>
      <c r="B13" s="24" t="s">
        <v>287</v>
      </c>
      <c r="C13" s="23" t="s">
        <v>288</v>
      </c>
      <c r="D13" s="23" t="s">
        <v>289</v>
      </c>
      <c r="E13" s="23" t="s">
        <v>290</v>
      </c>
      <c r="F13" s="23" t="s">
        <v>291</v>
      </c>
    </row>
    <row r="14" customFormat="false" ht="39.75" hidden="false" customHeight="true" outlineLevel="0" collapsed="false">
      <c r="A14" s="22" t="s">
        <v>292</v>
      </c>
      <c r="B14" s="22" t="s">
        <v>293</v>
      </c>
      <c r="C14" s="21" t="s">
        <v>294</v>
      </c>
      <c r="D14" s="21" t="s">
        <v>295</v>
      </c>
      <c r="E14" s="21" t="s">
        <v>296</v>
      </c>
      <c r="F14" s="21" t="s">
        <v>297</v>
      </c>
    </row>
    <row r="15" customFormat="false" ht="39.75" hidden="false" customHeight="true" outlineLevel="0" collapsed="false">
      <c r="A15" s="24" t="s">
        <v>298</v>
      </c>
      <c r="B15" s="24" t="s">
        <v>299</v>
      </c>
      <c r="C15" s="23" t="s">
        <v>300</v>
      </c>
      <c r="D15" s="23" t="s">
        <v>301</v>
      </c>
      <c r="E15" s="23" t="s">
        <v>302</v>
      </c>
      <c r="F15" s="23" t="s">
        <v>303</v>
      </c>
    </row>
    <row r="16" customFormat="false" ht="39.75" hidden="false" customHeight="true" outlineLevel="0" collapsed="false">
      <c r="A16" s="22" t="s">
        <v>304</v>
      </c>
      <c r="B16" s="22" t="s">
        <v>305</v>
      </c>
      <c r="C16" s="21" t="s">
        <v>306</v>
      </c>
      <c r="D16" s="21" t="s">
        <v>307</v>
      </c>
      <c r="E16" s="21" t="s">
        <v>308</v>
      </c>
      <c r="F16" s="21" t="s">
        <v>309</v>
      </c>
    </row>
    <row r="17" customFormat="false" ht="39.75" hidden="false" customHeight="true" outlineLevel="0" collapsed="false">
      <c r="A17" s="24" t="s">
        <v>310</v>
      </c>
      <c r="B17" s="24" t="s">
        <v>311</v>
      </c>
      <c r="C17" s="23" t="s">
        <v>312</v>
      </c>
      <c r="D17" s="23" t="s">
        <v>313</v>
      </c>
      <c r="E17" s="23" t="s">
        <v>314</v>
      </c>
      <c r="F17" s="23" t="s">
        <v>315</v>
      </c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30"/>
  </cols>
  <sheetData>
    <row r="1" customFormat="false" ht="34.5" hidden="false" customHeight="true" outlineLevel="0" collapsed="false">
      <c r="A1" s="1" t="s">
        <v>316</v>
      </c>
      <c r="B1" s="1"/>
      <c r="C1" s="1"/>
      <c r="D1" s="1"/>
      <c r="E1" s="1"/>
      <c r="F1" s="1"/>
    </row>
    <row r="3" customFormat="false" ht="49.5" hidden="false" customHeight="true" outlineLevel="0" collapsed="false">
      <c r="A3" s="5" t="s">
        <v>317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7" customFormat="false" ht="30" hidden="false" customHeight="true" outlineLevel="0" collapsed="false">
      <c r="A7" s="6" t="s">
        <v>318</v>
      </c>
      <c r="B7" s="6"/>
      <c r="C7" s="6"/>
      <c r="D7" s="6"/>
      <c r="E7" s="6"/>
      <c r="F7" s="6"/>
    </row>
    <row r="8" customFormat="false" ht="249.75" hidden="false" customHeight="true" outlineLevel="0" collapsed="false">
      <c r="A8" s="25" t="s">
        <v>319</v>
      </c>
      <c r="B8" s="25"/>
      <c r="C8" s="25"/>
      <c r="D8" s="25"/>
      <c r="E8" s="25"/>
      <c r="F8" s="25"/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5"/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5"/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5"/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</row>
    <row r="17" customFormat="false" ht="30" hidden="false" customHeight="true" outlineLevel="0" collapsed="false">
      <c r="A17" s="6" t="s">
        <v>320</v>
      </c>
      <c r="B17" s="6"/>
      <c r="C17" s="6"/>
      <c r="D17" s="6"/>
      <c r="E17" s="6"/>
      <c r="F17" s="6"/>
    </row>
    <row r="18" customFormat="false" ht="249.75" hidden="false" customHeight="true" outlineLevel="0" collapsed="false">
      <c r="A18" s="26" t="s">
        <v>321</v>
      </c>
      <c r="B18" s="26"/>
      <c r="C18" s="26"/>
      <c r="D18" s="26"/>
      <c r="E18" s="26"/>
      <c r="F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</row>
    <row r="20" customFormat="false" ht="15" hidden="false" customHeight="false" outlineLevel="0" collapsed="false">
      <c r="A20" s="26"/>
      <c r="B20" s="26"/>
      <c r="C20" s="26"/>
      <c r="D20" s="26"/>
      <c r="E20" s="26"/>
      <c r="F20" s="26"/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</row>
    <row r="22" customFormat="false" ht="15" hidden="false" customHeight="false" outlineLevel="0" collapsed="false">
      <c r="A22" s="26"/>
      <c r="B22" s="26"/>
      <c r="C22" s="26"/>
      <c r="D22" s="26"/>
      <c r="E22" s="26"/>
      <c r="F22" s="26"/>
    </row>
    <row r="23" customFormat="false" ht="15" hidden="false" customHeight="false" outlineLevel="0" collapsed="false">
      <c r="A23" s="26"/>
      <c r="B23" s="26"/>
      <c r="C23" s="26"/>
      <c r="D23" s="26"/>
      <c r="E23" s="26"/>
      <c r="F23" s="26"/>
    </row>
    <row r="24" customFormat="false" ht="15" hidden="false" customHeight="false" outlineLevel="0" collapsed="false">
      <c r="A24" s="26"/>
      <c r="B24" s="26"/>
      <c r="C24" s="26"/>
      <c r="D24" s="26"/>
      <c r="E24" s="26"/>
      <c r="F24" s="26"/>
    </row>
    <row r="27" customFormat="false" ht="30" hidden="false" customHeight="true" outlineLevel="0" collapsed="false">
      <c r="A27" s="6" t="s">
        <v>322</v>
      </c>
      <c r="B27" s="6"/>
      <c r="C27" s="6"/>
      <c r="D27" s="6"/>
      <c r="E27" s="6"/>
      <c r="F27" s="6"/>
    </row>
    <row r="28" customFormat="false" ht="249.75" hidden="false" customHeight="true" outlineLevel="0" collapsed="false">
      <c r="A28" s="25" t="s">
        <v>323</v>
      </c>
      <c r="B28" s="25"/>
      <c r="C28" s="25"/>
      <c r="D28" s="25"/>
      <c r="E28" s="25"/>
      <c r="F28" s="25"/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5"/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5"/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5"/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</row>
    <row r="37" customFormat="false" ht="30" hidden="false" customHeight="true" outlineLevel="0" collapsed="false">
      <c r="A37" s="6" t="s">
        <v>324</v>
      </c>
      <c r="B37" s="6"/>
      <c r="C37" s="6"/>
      <c r="D37" s="6"/>
      <c r="E37" s="6"/>
      <c r="F37" s="6"/>
    </row>
    <row r="38" customFormat="false" ht="249.75" hidden="false" customHeight="true" outlineLevel="0" collapsed="false">
      <c r="A38" s="26" t="s">
        <v>325</v>
      </c>
      <c r="B38" s="26"/>
      <c r="C38" s="26"/>
      <c r="D38" s="26"/>
      <c r="E38" s="26"/>
      <c r="F38" s="26"/>
    </row>
    <row r="39" customFormat="false" ht="15" hidden="false" customHeight="false" outlineLevel="0" collapsed="false">
      <c r="A39" s="26"/>
      <c r="B39" s="26"/>
      <c r="C39" s="26"/>
      <c r="D39" s="26"/>
      <c r="E39" s="26"/>
      <c r="F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6"/>
    </row>
    <row r="47" customFormat="false" ht="30" hidden="false" customHeight="true" outlineLevel="0" collapsed="false">
      <c r="A47" s="6" t="s">
        <v>326</v>
      </c>
      <c r="B47" s="6"/>
      <c r="C47" s="6"/>
      <c r="D47" s="6"/>
      <c r="E47" s="6"/>
      <c r="F47" s="6"/>
    </row>
    <row r="48" customFormat="false" ht="249.75" hidden="false" customHeight="true" outlineLevel="0" collapsed="false">
      <c r="A48" s="25" t="s">
        <v>327</v>
      </c>
      <c r="B48" s="25"/>
      <c r="C48" s="25"/>
      <c r="D48" s="25"/>
      <c r="E48" s="25"/>
      <c r="F48" s="25"/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5"/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5"/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5"/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5"/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5"/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5"/>
    </row>
    <row r="57" customFormat="false" ht="30" hidden="false" customHeight="true" outlineLevel="0" collapsed="false">
      <c r="A57" s="6" t="s">
        <v>328</v>
      </c>
      <c r="B57" s="6"/>
      <c r="C57" s="6"/>
      <c r="D57" s="6"/>
      <c r="E57" s="6"/>
      <c r="F57" s="6"/>
    </row>
    <row r="58" customFormat="false" ht="249.75" hidden="false" customHeight="true" outlineLevel="0" collapsed="false">
      <c r="A58" s="26" t="s">
        <v>329</v>
      </c>
      <c r="B58" s="26"/>
      <c r="C58" s="26"/>
      <c r="D58" s="26"/>
      <c r="E58" s="26"/>
      <c r="F58" s="26"/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6"/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6"/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6"/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6"/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6"/>
    </row>
  </sheetData>
  <mergeCells count="14">
    <mergeCell ref="A1:F1"/>
    <mergeCell ref="A3:F4"/>
    <mergeCell ref="A7:F7"/>
    <mergeCell ref="A8:F14"/>
    <mergeCell ref="A17:F17"/>
    <mergeCell ref="A18:F24"/>
    <mergeCell ref="A27:F27"/>
    <mergeCell ref="A28:F34"/>
    <mergeCell ref="A37:F37"/>
    <mergeCell ref="A38:F44"/>
    <mergeCell ref="A47:F47"/>
    <mergeCell ref="A48:F54"/>
    <mergeCell ref="A57:F57"/>
    <mergeCell ref="A58:F64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8B3E"/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8" min="7" style="0" width="14"/>
  </cols>
  <sheetData>
    <row r="1" customFormat="false" ht="34.5" hidden="false" customHeight="true" outlineLevel="0" collapsed="false">
      <c r="A1" s="1" t="s">
        <v>330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331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332</v>
      </c>
      <c r="B4" s="6"/>
      <c r="C4" s="6"/>
      <c r="D4" s="6"/>
      <c r="E4" s="6"/>
      <c r="F4" s="6"/>
      <c r="G4" s="6"/>
      <c r="H4" s="6"/>
    </row>
    <row r="5" customFormat="false" ht="27.75" hidden="false" customHeight="true" outlineLevel="0" collapsed="false">
      <c r="A5" s="16"/>
      <c r="B5" s="16" t="s">
        <v>333</v>
      </c>
      <c r="C5" s="16" t="s">
        <v>334</v>
      </c>
      <c r="D5" s="16" t="s">
        <v>335</v>
      </c>
      <c r="E5" s="16" t="s">
        <v>336</v>
      </c>
      <c r="F5" s="16" t="s">
        <v>337</v>
      </c>
      <c r="G5" s="16" t="s">
        <v>338</v>
      </c>
      <c r="H5" s="16" t="s">
        <v>339</v>
      </c>
    </row>
    <row r="6" customFormat="false" ht="27.75" hidden="false" customHeight="true" outlineLevel="0" collapsed="false">
      <c r="A6" s="23"/>
      <c r="B6" s="23" t="s">
        <v>340</v>
      </c>
      <c r="C6" s="27"/>
      <c r="D6" s="27"/>
      <c r="E6" s="27"/>
      <c r="F6" s="27"/>
      <c r="G6" s="27"/>
      <c r="H6" s="27"/>
    </row>
    <row r="7" customFormat="false" ht="27.75" hidden="false" customHeight="true" outlineLevel="0" collapsed="false">
      <c r="A7" s="21"/>
      <c r="B7" s="21" t="s">
        <v>341</v>
      </c>
      <c r="C7" s="27"/>
      <c r="D7" s="27"/>
      <c r="E7" s="27"/>
      <c r="F7" s="27"/>
      <c r="G7" s="27"/>
      <c r="H7" s="27"/>
    </row>
    <row r="8" customFormat="false" ht="27.75" hidden="false" customHeight="true" outlineLevel="0" collapsed="false">
      <c r="A8" s="23"/>
      <c r="B8" s="23" t="s">
        <v>342</v>
      </c>
      <c r="C8" s="27"/>
      <c r="D8" s="27"/>
      <c r="E8" s="27"/>
      <c r="F8" s="27"/>
      <c r="G8" s="27"/>
      <c r="H8" s="27"/>
    </row>
    <row r="9" customFormat="false" ht="27.75" hidden="false" customHeight="true" outlineLevel="0" collapsed="false">
      <c r="A9" s="21"/>
      <c r="B9" s="21" t="s">
        <v>343</v>
      </c>
      <c r="C9" s="27"/>
      <c r="D9" s="27"/>
      <c r="E9" s="27"/>
      <c r="F9" s="27"/>
      <c r="G9" s="27"/>
      <c r="H9" s="27"/>
    </row>
    <row r="10" customFormat="false" ht="27.75" hidden="false" customHeight="true" outlineLevel="0" collapsed="false">
      <c r="A10" s="23"/>
      <c r="B10" s="23" t="s">
        <v>344</v>
      </c>
      <c r="C10" s="27"/>
      <c r="D10" s="27"/>
      <c r="E10" s="27"/>
      <c r="F10" s="27"/>
      <c r="G10" s="27"/>
      <c r="H10" s="27"/>
    </row>
    <row r="11" customFormat="false" ht="27.75" hidden="false" customHeight="true" outlineLevel="0" collapsed="false">
      <c r="A11" s="21"/>
      <c r="B11" s="21" t="s">
        <v>345</v>
      </c>
      <c r="C11" s="27"/>
      <c r="D11" s="27"/>
      <c r="E11" s="27"/>
      <c r="F11" s="27"/>
      <c r="G11" s="27"/>
      <c r="H11" s="27"/>
    </row>
    <row r="12" customFormat="false" ht="27.75" hidden="false" customHeight="true" outlineLevel="0" collapsed="false">
      <c r="A12" s="23"/>
      <c r="B12" s="23" t="s">
        <v>346</v>
      </c>
      <c r="C12" s="27"/>
      <c r="D12" s="27"/>
      <c r="E12" s="27"/>
      <c r="F12" s="27"/>
      <c r="G12" s="27"/>
      <c r="H12" s="27"/>
    </row>
    <row r="13" customFormat="false" ht="27.75" hidden="false" customHeight="true" outlineLevel="0" collapsed="false">
      <c r="A13" s="21"/>
      <c r="B13" s="21" t="s">
        <v>347</v>
      </c>
      <c r="C13" s="27"/>
      <c r="D13" s="27"/>
      <c r="E13" s="27"/>
      <c r="F13" s="27"/>
      <c r="G13" s="27"/>
      <c r="H13" s="27"/>
    </row>
    <row r="14" customFormat="false" ht="27.75" hidden="false" customHeight="true" outlineLevel="0" collapsed="false">
      <c r="A14" s="23"/>
      <c r="B14" s="23" t="s">
        <v>348</v>
      </c>
      <c r="C14" s="27"/>
      <c r="D14" s="27"/>
      <c r="E14" s="27"/>
      <c r="F14" s="27"/>
      <c r="G14" s="27"/>
      <c r="H14" s="27"/>
    </row>
    <row r="15" customFormat="false" ht="27.75" hidden="false" customHeight="true" outlineLevel="0" collapsed="false">
      <c r="A15" s="21"/>
      <c r="B15" s="21" t="s">
        <v>349</v>
      </c>
      <c r="C15" s="27"/>
      <c r="D15" s="27"/>
      <c r="E15" s="27"/>
      <c r="F15" s="27"/>
      <c r="G15" s="27"/>
      <c r="H15" s="27"/>
    </row>
    <row r="17" customFormat="false" ht="30" hidden="false" customHeight="true" outlineLevel="0" collapsed="false">
      <c r="A17" s="6" t="s">
        <v>350</v>
      </c>
      <c r="B17" s="6"/>
      <c r="C17" s="6"/>
      <c r="D17" s="6"/>
      <c r="E17" s="6"/>
      <c r="F17" s="6"/>
      <c r="G17" s="6"/>
      <c r="H17" s="6"/>
    </row>
    <row r="18" customFormat="false" ht="27.75" hidden="false" customHeight="true" outlineLevel="0" collapsed="false">
      <c r="A18" s="16"/>
      <c r="B18" s="16" t="s">
        <v>351</v>
      </c>
      <c r="C18" s="16" t="s">
        <v>352</v>
      </c>
      <c r="D18" s="16" t="s">
        <v>353</v>
      </c>
      <c r="E18" s="16" t="s">
        <v>354</v>
      </c>
      <c r="F18" s="16" t="s">
        <v>355</v>
      </c>
      <c r="G18" s="16" t="s">
        <v>356</v>
      </c>
      <c r="H18" s="16" t="s">
        <v>357</v>
      </c>
    </row>
    <row r="19" customFormat="false" ht="24.75" hidden="false" customHeight="true" outlineLevel="0" collapsed="false">
      <c r="A19" s="23"/>
      <c r="B19" s="23" t="n">
        <v>1</v>
      </c>
      <c r="C19" s="27"/>
      <c r="D19" s="27"/>
      <c r="E19" s="27"/>
      <c r="F19" s="27"/>
      <c r="G19" s="27"/>
      <c r="H19" s="27"/>
    </row>
    <row r="20" customFormat="false" ht="24.75" hidden="false" customHeight="true" outlineLevel="0" collapsed="false">
      <c r="A20" s="21"/>
      <c r="B20" s="21" t="n">
        <v>2</v>
      </c>
      <c r="C20" s="27"/>
      <c r="D20" s="27"/>
      <c r="E20" s="27"/>
      <c r="F20" s="27"/>
      <c r="G20" s="27"/>
      <c r="H20" s="27"/>
    </row>
    <row r="21" customFormat="false" ht="24.75" hidden="false" customHeight="true" outlineLevel="0" collapsed="false">
      <c r="A21" s="23"/>
      <c r="B21" s="23" t="n">
        <v>3</v>
      </c>
      <c r="C21" s="27"/>
      <c r="D21" s="27"/>
      <c r="E21" s="27"/>
      <c r="F21" s="27"/>
      <c r="G21" s="27"/>
      <c r="H21" s="27"/>
    </row>
    <row r="22" customFormat="false" ht="24.75" hidden="false" customHeight="true" outlineLevel="0" collapsed="false">
      <c r="A22" s="21"/>
      <c r="B22" s="21" t="n">
        <v>4</v>
      </c>
      <c r="C22" s="27"/>
      <c r="D22" s="27"/>
      <c r="E22" s="27"/>
      <c r="F22" s="27"/>
      <c r="G22" s="27"/>
      <c r="H22" s="27"/>
    </row>
    <row r="23" customFormat="false" ht="24.75" hidden="false" customHeight="true" outlineLevel="0" collapsed="false">
      <c r="A23" s="23"/>
      <c r="B23" s="23" t="n">
        <v>5</v>
      </c>
      <c r="C23" s="27"/>
      <c r="D23" s="27"/>
      <c r="E23" s="27"/>
      <c r="F23" s="27"/>
      <c r="G23" s="27"/>
      <c r="H23" s="27"/>
    </row>
    <row r="24" customFormat="false" ht="24.75" hidden="false" customHeight="true" outlineLevel="0" collapsed="false">
      <c r="A24" s="21"/>
      <c r="B24" s="21" t="n">
        <v>6</v>
      </c>
      <c r="C24" s="27"/>
      <c r="D24" s="27"/>
      <c r="E24" s="27"/>
      <c r="F24" s="27"/>
      <c r="G24" s="27"/>
      <c r="H24" s="27"/>
    </row>
    <row r="25" customFormat="false" ht="24.75" hidden="false" customHeight="true" outlineLevel="0" collapsed="false">
      <c r="A25" s="23"/>
      <c r="B25" s="23" t="n">
        <v>7</v>
      </c>
      <c r="C25" s="27"/>
      <c r="D25" s="27"/>
      <c r="E25" s="27"/>
      <c r="F25" s="27"/>
      <c r="G25" s="27"/>
      <c r="H25" s="27"/>
    </row>
    <row r="26" customFormat="false" ht="24.75" hidden="false" customHeight="true" outlineLevel="0" collapsed="false">
      <c r="A26" s="21"/>
      <c r="B26" s="21" t="n">
        <v>8</v>
      </c>
      <c r="C26" s="27"/>
      <c r="D26" s="27"/>
      <c r="E26" s="27"/>
      <c r="F26" s="27"/>
      <c r="G26" s="27"/>
      <c r="H26" s="27"/>
    </row>
    <row r="27" customFormat="false" ht="24.75" hidden="false" customHeight="true" outlineLevel="0" collapsed="false">
      <c r="A27" s="23"/>
      <c r="B27" s="23" t="n">
        <v>9</v>
      </c>
      <c r="C27" s="27"/>
      <c r="D27" s="27"/>
      <c r="E27" s="27"/>
      <c r="F27" s="27"/>
      <c r="G27" s="27"/>
      <c r="H27" s="27"/>
    </row>
    <row r="28" customFormat="false" ht="24.75" hidden="false" customHeight="true" outlineLevel="0" collapsed="false">
      <c r="A28" s="21"/>
      <c r="B28" s="21" t="n">
        <v>10</v>
      </c>
      <c r="C28" s="27"/>
      <c r="D28" s="27"/>
      <c r="E28" s="27"/>
      <c r="F28" s="27"/>
      <c r="G28" s="27"/>
      <c r="H28" s="27"/>
    </row>
    <row r="29" customFormat="false" ht="24.75" hidden="false" customHeight="true" outlineLevel="0" collapsed="false">
      <c r="A29" s="23"/>
      <c r="B29" s="23" t="n">
        <v>11</v>
      </c>
      <c r="C29" s="27"/>
      <c r="D29" s="27"/>
      <c r="E29" s="27"/>
      <c r="F29" s="27"/>
      <c r="G29" s="27"/>
      <c r="H29" s="27"/>
    </row>
    <row r="30" customFormat="false" ht="24.75" hidden="false" customHeight="true" outlineLevel="0" collapsed="false">
      <c r="A30" s="21"/>
      <c r="B30" s="21" t="n">
        <v>12</v>
      </c>
      <c r="C30" s="27"/>
      <c r="D30" s="27"/>
      <c r="E30" s="27"/>
      <c r="F30" s="27"/>
      <c r="G30" s="27"/>
      <c r="H30" s="27"/>
    </row>
    <row r="31" customFormat="false" ht="24.75" hidden="false" customHeight="true" outlineLevel="0" collapsed="false">
      <c r="A31" s="23"/>
      <c r="B31" s="23" t="n">
        <v>13</v>
      </c>
      <c r="C31" s="27"/>
      <c r="D31" s="27"/>
      <c r="E31" s="27"/>
      <c r="F31" s="27"/>
      <c r="G31" s="27"/>
      <c r="H31" s="27"/>
    </row>
    <row r="32" customFormat="false" ht="24.75" hidden="false" customHeight="true" outlineLevel="0" collapsed="false">
      <c r="A32" s="21"/>
      <c r="B32" s="21" t="n">
        <v>14</v>
      </c>
      <c r="C32" s="27"/>
      <c r="D32" s="27"/>
      <c r="E32" s="27"/>
      <c r="F32" s="27"/>
      <c r="G32" s="27"/>
      <c r="H32" s="27"/>
    </row>
    <row r="33" customFormat="false" ht="24.75" hidden="false" customHeight="true" outlineLevel="0" collapsed="false">
      <c r="A33" s="23"/>
      <c r="B33" s="23" t="n">
        <v>15</v>
      </c>
      <c r="C33" s="27"/>
      <c r="D33" s="27"/>
      <c r="E33" s="27"/>
      <c r="F33" s="27"/>
      <c r="G33" s="27"/>
      <c r="H33" s="27"/>
    </row>
    <row r="34" customFormat="false" ht="24.75" hidden="false" customHeight="true" outlineLevel="0" collapsed="false">
      <c r="A34" s="21"/>
      <c r="B34" s="21" t="n">
        <v>16</v>
      </c>
      <c r="C34" s="27"/>
      <c r="D34" s="27"/>
      <c r="E34" s="27"/>
      <c r="F34" s="27"/>
      <c r="G34" s="27"/>
      <c r="H34" s="27"/>
    </row>
    <row r="35" customFormat="false" ht="24.75" hidden="false" customHeight="true" outlineLevel="0" collapsed="false">
      <c r="A35" s="23"/>
      <c r="B35" s="23" t="n">
        <v>17</v>
      </c>
      <c r="C35" s="27"/>
      <c r="D35" s="27"/>
      <c r="E35" s="27"/>
      <c r="F35" s="27"/>
      <c r="G35" s="27"/>
      <c r="H35" s="27"/>
    </row>
    <row r="36" customFormat="false" ht="24.75" hidden="false" customHeight="true" outlineLevel="0" collapsed="false">
      <c r="A36" s="21"/>
      <c r="B36" s="21" t="n">
        <v>18</v>
      </c>
      <c r="C36" s="27"/>
      <c r="D36" s="27"/>
      <c r="E36" s="27"/>
      <c r="F36" s="27"/>
      <c r="G36" s="27"/>
      <c r="H36" s="27"/>
    </row>
    <row r="37" customFormat="false" ht="24.75" hidden="false" customHeight="true" outlineLevel="0" collapsed="false">
      <c r="A37" s="23"/>
      <c r="B37" s="23" t="n">
        <v>19</v>
      </c>
      <c r="C37" s="27"/>
      <c r="D37" s="27"/>
      <c r="E37" s="27"/>
      <c r="F37" s="27"/>
      <c r="G37" s="27"/>
      <c r="H37" s="27"/>
    </row>
    <row r="38" customFormat="false" ht="24.75" hidden="false" customHeight="true" outlineLevel="0" collapsed="false">
      <c r="A38" s="21"/>
      <c r="B38" s="21" t="n">
        <v>20</v>
      </c>
      <c r="C38" s="27"/>
      <c r="D38" s="27"/>
      <c r="E38" s="27"/>
      <c r="F38" s="27"/>
      <c r="G38" s="27"/>
      <c r="H38" s="27"/>
    </row>
    <row r="40" customFormat="false" ht="30" hidden="false" customHeight="true" outlineLevel="0" collapsed="false">
      <c r="A40" s="6" t="s">
        <v>358</v>
      </c>
      <c r="B40" s="6"/>
      <c r="C40" s="6"/>
      <c r="D40" s="6"/>
      <c r="E40" s="6"/>
      <c r="F40" s="6"/>
      <c r="G40" s="6"/>
      <c r="H40" s="6"/>
    </row>
    <row r="41" customFormat="false" ht="27.75" hidden="false" customHeight="true" outlineLevel="0" collapsed="false">
      <c r="A41" s="16"/>
      <c r="B41" s="16" t="s">
        <v>359</v>
      </c>
      <c r="C41" s="16" t="s">
        <v>276</v>
      </c>
      <c r="D41" s="16" t="s">
        <v>277</v>
      </c>
      <c r="E41" s="16" t="s">
        <v>278</v>
      </c>
      <c r="F41" s="16" t="s">
        <v>69</v>
      </c>
      <c r="G41" s="16" t="s">
        <v>279</v>
      </c>
    </row>
    <row r="42" customFormat="false" ht="49.5" hidden="false" customHeight="true" outlineLevel="0" collapsed="false">
      <c r="A42" s="21"/>
      <c r="B42" s="22" t="s">
        <v>280</v>
      </c>
      <c r="C42" s="22" t="s">
        <v>360</v>
      </c>
      <c r="D42" s="21" t="s">
        <v>361</v>
      </c>
      <c r="E42" s="21" t="s">
        <v>362</v>
      </c>
      <c r="F42" s="21" t="s">
        <v>363</v>
      </c>
      <c r="G42" s="21" t="s">
        <v>284</v>
      </c>
    </row>
    <row r="43" customFormat="false" ht="49.5" hidden="false" customHeight="true" outlineLevel="0" collapsed="false">
      <c r="A43" s="23"/>
      <c r="B43" s="24" t="s">
        <v>286</v>
      </c>
      <c r="C43" s="24" t="s">
        <v>364</v>
      </c>
      <c r="D43" s="23" t="s">
        <v>365</v>
      </c>
      <c r="E43" s="23" t="s">
        <v>366</v>
      </c>
      <c r="F43" s="23" t="s">
        <v>367</v>
      </c>
      <c r="G43" s="23" t="s">
        <v>368</v>
      </c>
    </row>
    <row r="44" customFormat="false" ht="49.5" hidden="false" customHeight="true" outlineLevel="0" collapsed="false">
      <c r="A44" s="21"/>
      <c r="B44" s="22" t="s">
        <v>292</v>
      </c>
      <c r="C44" s="22" t="s">
        <v>369</v>
      </c>
      <c r="D44" s="21" t="s">
        <v>370</v>
      </c>
      <c r="E44" s="21" t="s">
        <v>371</v>
      </c>
      <c r="F44" s="21" t="s">
        <v>372</v>
      </c>
      <c r="G44" s="21" t="s">
        <v>284</v>
      </c>
    </row>
    <row r="45" customFormat="false" ht="49.5" hidden="false" customHeight="true" outlineLevel="0" collapsed="false">
      <c r="A45" s="23"/>
      <c r="B45" s="24" t="s">
        <v>298</v>
      </c>
      <c r="C45" s="24" t="s">
        <v>373</v>
      </c>
      <c r="D45" s="23" t="s">
        <v>374</v>
      </c>
      <c r="E45" s="23" t="s">
        <v>375</v>
      </c>
      <c r="F45" s="23" t="s">
        <v>376</v>
      </c>
      <c r="G45" s="23" t="s">
        <v>284</v>
      </c>
    </row>
    <row r="46" customFormat="false" ht="49.5" hidden="false" customHeight="true" outlineLevel="0" collapsed="false">
      <c r="A46" s="21"/>
      <c r="B46" s="22" t="s">
        <v>304</v>
      </c>
      <c r="C46" s="22" t="s">
        <v>377</v>
      </c>
      <c r="D46" s="21" t="s">
        <v>378</v>
      </c>
      <c r="E46" s="21" t="s">
        <v>379</v>
      </c>
      <c r="F46" s="21" t="s">
        <v>380</v>
      </c>
      <c r="G46" s="21" t="s">
        <v>290</v>
      </c>
    </row>
    <row r="47" customFormat="false" ht="49.5" hidden="false" customHeight="true" outlineLevel="0" collapsed="false">
      <c r="A47" s="23"/>
      <c r="B47" s="24" t="s">
        <v>310</v>
      </c>
      <c r="C47" s="24" t="s">
        <v>381</v>
      </c>
      <c r="D47" s="23" t="s">
        <v>382</v>
      </c>
      <c r="E47" s="23" t="s">
        <v>383</v>
      </c>
      <c r="F47" s="23" t="s">
        <v>384</v>
      </c>
      <c r="G47" s="23" t="s">
        <v>296</v>
      </c>
    </row>
    <row r="48" customFormat="false" ht="49.5" hidden="false" customHeight="true" outlineLevel="0" collapsed="false">
      <c r="A48" s="21"/>
      <c r="B48" s="22" t="s">
        <v>385</v>
      </c>
      <c r="C48" s="22" t="s">
        <v>386</v>
      </c>
      <c r="D48" s="21" t="s">
        <v>387</v>
      </c>
      <c r="E48" s="21" t="s">
        <v>388</v>
      </c>
      <c r="F48" s="21" t="s">
        <v>389</v>
      </c>
      <c r="G48" s="21" t="s">
        <v>390</v>
      </c>
    </row>
    <row r="49" customFormat="false" ht="49.5" hidden="false" customHeight="true" outlineLevel="0" collapsed="false">
      <c r="A49" s="23"/>
      <c r="B49" s="24" t="s">
        <v>391</v>
      </c>
      <c r="C49" s="24" t="s">
        <v>392</v>
      </c>
      <c r="D49" s="23" t="s">
        <v>393</v>
      </c>
      <c r="E49" s="23" t="s">
        <v>394</v>
      </c>
      <c r="F49" s="23" t="s">
        <v>395</v>
      </c>
      <c r="G49" s="23" t="s">
        <v>284</v>
      </c>
    </row>
  </sheetData>
  <mergeCells count="5">
    <mergeCell ref="A1:H1"/>
    <mergeCell ref="A2:H2"/>
    <mergeCell ref="A4:H4"/>
    <mergeCell ref="A17:H17"/>
    <mergeCell ref="A40:H40"/>
  </mergeCells>
  <dataValidations count="4">
    <dataValidation allowBlank="true" errorStyle="stop" operator="between" showDropDown="false" showErrorMessage="false" showInputMessage="false" sqref="H6:H15" type="list">
      <formula1>"مخطط,تسجيل مفتوح,جاري,مكتمل,ملغي"</formula1>
      <formula2>0</formula2>
    </dataValidation>
    <dataValidation allowBlank="true" errorStyle="stop" operator="between" showDropDown="false" showErrorMessage="false" showInputMessage="false" sqref="C6:C15" type="list">
      <formula1>"عمل حر,بيانات,تصميم,ويب,محتوى عربي,إدارة مشاريع,مخصص"</formula1>
      <formula2>0</formula2>
    </dataValidation>
    <dataValidation allowBlank="true" errorStyle="stop" operator="between" showDropDown="false" showErrorMessage="false" showInputMessage="false" sqref="D19:D38" type="list">
      <formula1>"ذكر,أنثى"</formula1>
      <formula2>0</formula2>
    </dataValidation>
    <dataValidation allowBlank="true" errorStyle="stop" operator="between" showDropDown="false" showErrorMessage="false" showInputMessage="false" sqref="H19:H38" type="list">
      <formula1>"ناجح T0→T1,ناجح T0,راسب,منسحب,غائب&gt;20%"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962"/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30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34.5" hidden="false" customHeight="true" outlineLevel="0" collapsed="false">
      <c r="A1" s="1" t="s">
        <v>396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397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398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16"/>
      <c r="B5" s="16" t="s">
        <v>399</v>
      </c>
      <c r="C5" s="16" t="s">
        <v>400</v>
      </c>
      <c r="D5" s="16" t="s">
        <v>401</v>
      </c>
      <c r="E5" s="16" t="s">
        <v>402</v>
      </c>
      <c r="F5" s="16" t="s">
        <v>403</v>
      </c>
      <c r="G5" s="16" t="s">
        <v>69</v>
      </c>
    </row>
    <row r="6" customFormat="false" ht="64.5" hidden="false" customHeight="true" outlineLevel="0" collapsed="false">
      <c r="A6" s="21"/>
      <c r="B6" s="22" t="s">
        <v>404</v>
      </c>
      <c r="C6" s="21" t="s">
        <v>405</v>
      </c>
      <c r="D6" s="21" t="s">
        <v>406</v>
      </c>
      <c r="E6" s="21" t="s">
        <v>407</v>
      </c>
      <c r="F6" s="22" t="s">
        <v>408</v>
      </c>
    </row>
    <row r="7" customFormat="false" ht="64.5" hidden="false" customHeight="true" outlineLevel="0" collapsed="false">
      <c r="A7" s="23"/>
      <c r="B7" s="24" t="s">
        <v>409</v>
      </c>
      <c r="C7" s="23" t="s">
        <v>410</v>
      </c>
      <c r="D7" s="23" t="s">
        <v>411</v>
      </c>
      <c r="E7" s="23" t="s">
        <v>412</v>
      </c>
      <c r="F7" s="24" t="s">
        <v>408</v>
      </c>
    </row>
    <row r="8" customFormat="false" ht="64.5" hidden="false" customHeight="true" outlineLevel="0" collapsed="false">
      <c r="A8" s="21"/>
      <c r="B8" s="22" t="s">
        <v>413</v>
      </c>
      <c r="C8" s="21" t="s">
        <v>414</v>
      </c>
      <c r="D8" s="21" t="s">
        <v>415</v>
      </c>
      <c r="E8" s="21" t="s">
        <v>416</v>
      </c>
      <c r="F8" s="22" t="s">
        <v>417</v>
      </c>
    </row>
    <row r="9" customFormat="false" ht="64.5" hidden="false" customHeight="true" outlineLevel="0" collapsed="false">
      <c r="A9" s="23"/>
      <c r="B9" s="24" t="s">
        <v>418</v>
      </c>
      <c r="C9" s="23" t="s">
        <v>419</v>
      </c>
      <c r="D9" s="23" t="s">
        <v>420</v>
      </c>
      <c r="E9" s="23" t="s">
        <v>421</v>
      </c>
      <c r="F9" s="24" t="s">
        <v>417</v>
      </c>
    </row>
    <row r="10" customFormat="false" ht="64.5" hidden="false" customHeight="true" outlineLevel="0" collapsed="false">
      <c r="A10" s="21"/>
      <c r="B10" s="22" t="s">
        <v>422</v>
      </c>
      <c r="C10" s="21" t="s">
        <v>422</v>
      </c>
      <c r="D10" s="21" t="s">
        <v>423</v>
      </c>
      <c r="E10" s="21" t="s">
        <v>424</v>
      </c>
      <c r="F10" s="22" t="s">
        <v>408</v>
      </c>
    </row>
    <row r="11" customFormat="false" ht="64.5" hidden="false" customHeight="true" outlineLevel="0" collapsed="false">
      <c r="A11" s="23"/>
      <c r="B11" s="24" t="s">
        <v>425</v>
      </c>
      <c r="C11" s="23" t="s">
        <v>426</v>
      </c>
      <c r="D11" s="23" t="s">
        <v>427</v>
      </c>
      <c r="E11" s="23" t="s">
        <v>428</v>
      </c>
      <c r="F11" s="24" t="s">
        <v>417</v>
      </c>
    </row>
    <row r="12" customFormat="false" ht="64.5" hidden="false" customHeight="true" outlineLevel="0" collapsed="false">
      <c r="A12" s="21"/>
      <c r="B12" s="22" t="s">
        <v>429</v>
      </c>
      <c r="C12" s="21" t="s">
        <v>429</v>
      </c>
      <c r="D12" s="21" t="s">
        <v>430</v>
      </c>
      <c r="E12" s="21" t="s">
        <v>431</v>
      </c>
      <c r="F12" s="22" t="s">
        <v>408</v>
      </c>
    </row>
    <row r="13" customFormat="false" ht="64.5" hidden="false" customHeight="true" outlineLevel="0" collapsed="false">
      <c r="A13" s="23"/>
      <c r="B13" s="24" t="s">
        <v>432</v>
      </c>
      <c r="C13" s="23" t="s">
        <v>433</v>
      </c>
      <c r="D13" s="23" t="s">
        <v>434</v>
      </c>
      <c r="E13" s="23" t="s">
        <v>435</v>
      </c>
      <c r="F13" s="24" t="s">
        <v>417</v>
      </c>
    </row>
    <row r="14" customFormat="false" ht="64.5" hidden="false" customHeight="true" outlineLevel="0" collapsed="false">
      <c r="A14" s="21"/>
      <c r="B14" s="22" t="s">
        <v>436</v>
      </c>
      <c r="C14" s="21" t="s">
        <v>437</v>
      </c>
      <c r="D14" s="21" t="s">
        <v>438</v>
      </c>
      <c r="E14" s="21" t="s">
        <v>439</v>
      </c>
      <c r="F14" s="22" t="s">
        <v>417</v>
      </c>
    </row>
    <row r="16" customFormat="false" ht="30" hidden="false" customHeight="true" outlineLevel="0" collapsed="false">
      <c r="A16" s="6" t="s">
        <v>440</v>
      </c>
      <c r="B16" s="6"/>
      <c r="C16" s="6"/>
      <c r="D16" s="6"/>
      <c r="E16" s="6"/>
      <c r="F16" s="6"/>
    </row>
    <row r="17" customFormat="false" ht="27.75" hidden="false" customHeight="true" outlineLevel="0" collapsed="false">
      <c r="A17" s="16"/>
      <c r="B17" s="16" t="s">
        <v>359</v>
      </c>
      <c r="C17" s="16" t="s">
        <v>441</v>
      </c>
      <c r="D17" s="16" t="s">
        <v>442</v>
      </c>
      <c r="E17" s="16" t="s">
        <v>278</v>
      </c>
      <c r="F17" s="16"/>
    </row>
    <row r="18" customFormat="false" ht="45" hidden="false" customHeight="true" outlineLevel="0" collapsed="false">
      <c r="A18" s="21"/>
      <c r="B18" s="22" t="s">
        <v>280</v>
      </c>
      <c r="C18" s="22" t="s">
        <v>443</v>
      </c>
      <c r="D18" s="21" t="s">
        <v>444</v>
      </c>
      <c r="E18" s="21" t="s">
        <v>445</v>
      </c>
      <c r="F18" s="21"/>
    </row>
    <row r="19" customFormat="false" ht="45" hidden="false" customHeight="true" outlineLevel="0" collapsed="false">
      <c r="A19" s="23"/>
      <c r="B19" s="24" t="s">
        <v>286</v>
      </c>
      <c r="C19" s="24" t="s">
        <v>446</v>
      </c>
      <c r="D19" s="23" t="s">
        <v>447</v>
      </c>
      <c r="E19" s="23" t="s">
        <v>448</v>
      </c>
      <c r="F19" s="23"/>
    </row>
    <row r="20" customFormat="false" ht="45" hidden="false" customHeight="true" outlineLevel="0" collapsed="false">
      <c r="A20" s="21"/>
      <c r="B20" s="22" t="s">
        <v>292</v>
      </c>
      <c r="C20" s="22" t="s">
        <v>449</v>
      </c>
      <c r="D20" s="21" t="s">
        <v>450</v>
      </c>
      <c r="E20" s="21" t="s">
        <v>451</v>
      </c>
      <c r="F20" s="21"/>
    </row>
    <row r="21" customFormat="false" ht="45" hidden="false" customHeight="true" outlineLevel="0" collapsed="false">
      <c r="A21" s="23"/>
      <c r="B21" s="24" t="s">
        <v>298</v>
      </c>
      <c r="C21" s="24" t="s">
        <v>452</v>
      </c>
      <c r="D21" s="23" t="s">
        <v>453</v>
      </c>
      <c r="E21" s="23" t="s">
        <v>454</v>
      </c>
      <c r="F21" s="23"/>
    </row>
    <row r="22" customFormat="false" ht="45" hidden="false" customHeight="true" outlineLevel="0" collapsed="false">
      <c r="A22" s="21"/>
      <c r="B22" s="22" t="s">
        <v>304</v>
      </c>
      <c r="C22" s="22" t="s">
        <v>455</v>
      </c>
      <c r="D22" s="21" t="s">
        <v>456</v>
      </c>
      <c r="E22" s="21" t="s">
        <v>457</v>
      </c>
      <c r="F22" s="21"/>
    </row>
    <row r="23" customFormat="false" ht="45" hidden="false" customHeight="true" outlineLevel="0" collapsed="false">
      <c r="A23" s="23"/>
      <c r="B23" s="24" t="s">
        <v>310</v>
      </c>
      <c r="C23" s="24" t="s">
        <v>458</v>
      </c>
      <c r="D23" s="23" t="s">
        <v>459</v>
      </c>
      <c r="E23" s="23" t="s">
        <v>460</v>
      </c>
      <c r="F23" s="23"/>
    </row>
    <row r="24" customFormat="false" ht="45" hidden="false" customHeight="true" outlineLevel="0" collapsed="false">
      <c r="A24" s="21"/>
      <c r="B24" s="22" t="s">
        <v>385</v>
      </c>
      <c r="C24" s="22" t="s">
        <v>461</v>
      </c>
      <c r="D24" s="21" t="s">
        <v>462</v>
      </c>
      <c r="E24" s="21" t="s">
        <v>463</v>
      </c>
      <c r="F24" s="21"/>
    </row>
    <row r="25" customFormat="false" ht="45" hidden="false" customHeight="true" outlineLevel="0" collapsed="false">
      <c r="A25" s="23"/>
      <c r="B25" s="24" t="s">
        <v>391</v>
      </c>
      <c r="C25" s="24" t="s">
        <v>464</v>
      </c>
      <c r="D25" s="23" t="s">
        <v>465</v>
      </c>
      <c r="E25" s="23" t="s">
        <v>466</v>
      </c>
      <c r="F25" s="23"/>
    </row>
    <row r="26" customFormat="false" ht="45" hidden="false" customHeight="true" outlineLevel="0" collapsed="false">
      <c r="A26" s="21"/>
      <c r="B26" s="22" t="s">
        <v>467</v>
      </c>
      <c r="C26" s="22" t="s">
        <v>468</v>
      </c>
      <c r="D26" s="21" t="s">
        <v>469</v>
      </c>
      <c r="E26" s="21" t="s">
        <v>470</v>
      </c>
      <c r="F26" s="21"/>
    </row>
    <row r="28" customFormat="false" ht="30" hidden="false" customHeight="true" outlineLevel="0" collapsed="false">
      <c r="A28" s="6" t="s">
        <v>471</v>
      </c>
      <c r="B28" s="6"/>
      <c r="C28" s="6"/>
      <c r="D28" s="6"/>
      <c r="E28" s="6"/>
      <c r="F28" s="6"/>
    </row>
    <row r="29" customFormat="false" ht="27.75" hidden="false" customHeight="true" outlineLevel="0" collapsed="false">
      <c r="A29" s="16"/>
      <c r="B29" s="16" t="s">
        <v>472</v>
      </c>
      <c r="C29" s="16" t="s">
        <v>473</v>
      </c>
      <c r="D29" s="16" t="s">
        <v>474</v>
      </c>
      <c r="E29" s="16" t="s">
        <v>475</v>
      </c>
      <c r="F29" s="16"/>
    </row>
    <row r="30" customFormat="false" ht="27.75" hidden="false" customHeight="true" outlineLevel="0" collapsed="false">
      <c r="A30" s="21"/>
      <c r="B30" s="22" t="s">
        <v>476</v>
      </c>
      <c r="C30" s="21" t="s">
        <v>477</v>
      </c>
      <c r="D30" s="21" t="s">
        <v>478</v>
      </c>
      <c r="E30" s="21" t="s">
        <v>479</v>
      </c>
      <c r="F30" s="21"/>
    </row>
    <row r="31" customFormat="false" ht="27.75" hidden="false" customHeight="true" outlineLevel="0" collapsed="false">
      <c r="A31" s="23"/>
      <c r="B31" s="24" t="s">
        <v>480</v>
      </c>
      <c r="C31" s="23" t="s">
        <v>481</v>
      </c>
      <c r="D31" s="23" t="s">
        <v>482</v>
      </c>
      <c r="E31" s="23" t="s">
        <v>483</v>
      </c>
      <c r="F31" s="23"/>
    </row>
    <row r="32" customFormat="false" ht="27.75" hidden="false" customHeight="true" outlineLevel="0" collapsed="false">
      <c r="A32" s="21"/>
      <c r="B32" s="22" t="s">
        <v>484</v>
      </c>
      <c r="C32" s="21" t="s">
        <v>485</v>
      </c>
      <c r="D32" s="21" t="s">
        <v>486</v>
      </c>
      <c r="E32" s="21" t="s">
        <v>487</v>
      </c>
      <c r="F32" s="21"/>
    </row>
    <row r="33" customFormat="false" ht="27.75" hidden="false" customHeight="true" outlineLevel="0" collapsed="false">
      <c r="A33" s="23"/>
      <c r="B33" s="24" t="s">
        <v>488</v>
      </c>
      <c r="C33" s="23" t="s">
        <v>489</v>
      </c>
      <c r="D33" s="23" t="s">
        <v>490</v>
      </c>
      <c r="E33" s="23" t="s">
        <v>487</v>
      </c>
      <c r="F33" s="23"/>
    </row>
    <row r="34" customFormat="false" ht="27.75" hidden="false" customHeight="true" outlineLevel="0" collapsed="false">
      <c r="A34" s="21"/>
      <c r="B34" s="22" t="s">
        <v>491</v>
      </c>
      <c r="C34" s="21" t="s">
        <v>492</v>
      </c>
      <c r="D34" s="21" t="s">
        <v>493</v>
      </c>
      <c r="E34" s="21" t="s">
        <v>494</v>
      </c>
      <c r="F34" s="21"/>
    </row>
    <row r="35" customFormat="false" ht="27.75" hidden="false" customHeight="true" outlineLevel="0" collapsed="false">
      <c r="A35" s="23"/>
      <c r="B35" s="24" t="s">
        <v>495</v>
      </c>
      <c r="C35" s="23" t="s">
        <v>54</v>
      </c>
      <c r="D35" s="23" t="s">
        <v>496</v>
      </c>
      <c r="E35" s="23" t="s">
        <v>497</v>
      </c>
      <c r="F35" s="23"/>
    </row>
    <row r="36" customFormat="false" ht="27.75" hidden="false" customHeight="true" outlineLevel="0" collapsed="false">
      <c r="A36" s="21"/>
      <c r="B36" s="22" t="s">
        <v>498</v>
      </c>
      <c r="C36" s="21" t="s">
        <v>499</v>
      </c>
      <c r="D36" s="21" t="s">
        <v>500</v>
      </c>
      <c r="E36" s="21" t="s">
        <v>483</v>
      </c>
      <c r="F36" s="21"/>
    </row>
    <row r="37" customFormat="false" ht="27.75" hidden="false" customHeight="true" outlineLevel="0" collapsed="false">
      <c r="A37" s="23"/>
      <c r="B37" s="24" t="s">
        <v>501</v>
      </c>
      <c r="C37" s="23" t="s">
        <v>502</v>
      </c>
      <c r="D37" s="23" t="s">
        <v>503</v>
      </c>
      <c r="E37" s="23" t="s">
        <v>504</v>
      </c>
      <c r="F37" s="23"/>
    </row>
    <row r="38" customFormat="false" ht="27.75" hidden="false" customHeight="true" outlineLevel="0" collapsed="false">
      <c r="A38" s="21"/>
      <c r="B38" s="22" t="s">
        <v>505</v>
      </c>
      <c r="C38" s="21" t="s">
        <v>506</v>
      </c>
      <c r="D38" s="21" t="s">
        <v>507</v>
      </c>
      <c r="E38" s="21" t="s">
        <v>508</v>
      </c>
      <c r="F38" s="21"/>
    </row>
    <row r="39" customFormat="false" ht="27.75" hidden="false" customHeight="true" outlineLevel="0" collapsed="false">
      <c r="A39" s="23"/>
      <c r="B39" s="24" t="s">
        <v>205</v>
      </c>
      <c r="C39" s="23" t="s">
        <v>206</v>
      </c>
      <c r="D39" s="23"/>
      <c r="E39" s="24" t="s">
        <v>509</v>
      </c>
      <c r="F39" s="23"/>
    </row>
  </sheetData>
  <mergeCells count="5">
    <mergeCell ref="A1:F1"/>
    <mergeCell ref="A2:F2"/>
    <mergeCell ref="A4:F4"/>
    <mergeCell ref="A16:F16"/>
    <mergeCell ref="A28:F28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4"/>
    <col collapsed="false" customWidth="true" hidden="false" outlineLevel="0" max="5" min="4" style="0" width="16"/>
    <col collapsed="false" customWidth="true" hidden="false" outlineLevel="0" max="6" min="6" style="0" width="30"/>
  </cols>
  <sheetData>
    <row r="1" customFormat="false" ht="34.5" hidden="false" customHeight="true" outlineLevel="0" collapsed="false">
      <c r="A1" s="1" t="s">
        <v>510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6" t="s">
        <v>511</v>
      </c>
      <c r="B3" s="6"/>
      <c r="C3" s="6"/>
      <c r="D3" s="6"/>
      <c r="E3" s="6"/>
      <c r="F3" s="6"/>
    </row>
    <row r="5" customFormat="false" ht="30" hidden="false" customHeight="true" outlineLevel="0" collapsed="false">
      <c r="A5" s="6" t="s">
        <v>512</v>
      </c>
      <c r="B5" s="6"/>
      <c r="C5" s="6"/>
      <c r="D5" s="6"/>
      <c r="E5" s="6"/>
      <c r="F5" s="6"/>
    </row>
    <row r="6" customFormat="false" ht="99.75" hidden="false" customHeight="true" outlineLevel="0" collapsed="false">
      <c r="A6" s="25" t="s">
        <v>513</v>
      </c>
      <c r="B6" s="25"/>
      <c r="C6" s="25"/>
      <c r="D6" s="25"/>
      <c r="E6" s="25"/>
      <c r="F6" s="25"/>
    </row>
    <row r="7" customFormat="false" ht="15" hidden="false" customHeight="false" outlineLevel="0" collapsed="false">
      <c r="A7" s="25"/>
      <c r="B7" s="25"/>
      <c r="C7" s="25"/>
      <c r="D7" s="25"/>
      <c r="E7" s="25"/>
      <c r="F7" s="25"/>
    </row>
    <row r="8" customFormat="false" ht="15" hidden="false" customHeight="false" outlineLevel="0" collapsed="false">
      <c r="A8" s="25"/>
      <c r="B8" s="25"/>
      <c r="C8" s="25"/>
      <c r="D8" s="25"/>
      <c r="E8" s="25"/>
      <c r="F8" s="25"/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</row>
    <row r="12" customFormat="false" ht="30" hidden="false" customHeight="true" outlineLevel="0" collapsed="false">
      <c r="A12" s="6" t="s">
        <v>514</v>
      </c>
      <c r="B12" s="6"/>
      <c r="C12" s="6"/>
      <c r="D12" s="6"/>
      <c r="E12" s="6"/>
      <c r="F12" s="6"/>
    </row>
    <row r="13" customFormat="false" ht="99.75" hidden="false" customHeight="true" outlineLevel="0" collapsed="false">
      <c r="A13" s="26" t="s">
        <v>515</v>
      </c>
      <c r="B13" s="26"/>
      <c r="C13" s="26"/>
      <c r="D13" s="26"/>
      <c r="E13" s="26"/>
      <c r="F13" s="26"/>
    </row>
    <row r="14" customFormat="false" ht="15" hidden="false" customHeight="false" outlineLevel="0" collapsed="false">
      <c r="A14" s="26"/>
      <c r="B14" s="26"/>
      <c r="C14" s="26"/>
      <c r="D14" s="26"/>
      <c r="E14" s="26"/>
      <c r="F14" s="26"/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6"/>
    </row>
    <row r="16" customFormat="false" ht="15" hidden="false" customHeight="false" outlineLevel="0" collapsed="false">
      <c r="A16" s="26"/>
      <c r="B16" s="26"/>
      <c r="C16" s="26"/>
      <c r="D16" s="26"/>
      <c r="E16" s="26"/>
      <c r="F16" s="26"/>
    </row>
    <row r="19" customFormat="false" ht="30" hidden="false" customHeight="true" outlineLevel="0" collapsed="false">
      <c r="A19" s="6" t="s">
        <v>516</v>
      </c>
      <c r="B19" s="6"/>
      <c r="C19" s="6"/>
      <c r="D19" s="6"/>
      <c r="E19" s="6"/>
      <c r="F19" s="6"/>
    </row>
    <row r="20" customFormat="false" ht="99.75" hidden="false" customHeight="true" outlineLevel="0" collapsed="false">
      <c r="A20" s="25" t="s">
        <v>517</v>
      </c>
      <c r="B20" s="25"/>
      <c r="C20" s="25"/>
      <c r="D20" s="25"/>
      <c r="E20" s="25"/>
      <c r="F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</row>
    <row r="26" customFormat="false" ht="30" hidden="false" customHeight="true" outlineLevel="0" collapsed="false">
      <c r="A26" s="6" t="s">
        <v>518</v>
      </c>
      <c r="B26" s="6"/>
      <c r="C26" s="6"/>
      <c r="D26" s="6"/>
      <c r="E26" s="6"/>
      <c r="F26" s="6"/>
    </row>
    <row r="27" customFormat="false" ht="99.75" hidden="false" customHeight="true" outlineLevel="0" collapsed="false">
      <c r="A27" s="26" t="s">
        <v>519</v>
      </c>
      <c r="B27" s="26"/>
      <c r="C27" s="26"/>
      <c r="D27" s="26"/>
      <c r="E27" s="26"/>
      <c r="F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</row>
  </sheetData>
  <mergeCells count="10">
    <mergeCell ref="A1:F1"/>
    <mergeCell ref="A3:F3"/>
    <mergeCell ref="A5:F5"/>
    <mergeCell ref="A6:F9"/>
    <mergeCell ref="A12:F12"/>
    <mergeCell ref="A13:F16"/>
    <mergeCell ref="A19:F19"/>
    <mergeCell ref="A20:F23"/>
    <mergeCell ref="A26:F26"/>
    <mergeCell ref="A27:F30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8B3E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4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34.5" hidden="false" customHeight="true" outlineLevel="0" collapsed="false">
      <c r="A1" s="1" t="s">
        <v>520</v>
      </c>
      <c r="B1" s="1"/>
      <c r="C1" s="1"/>
      <c r="D1" s="1"/>
      <c r="E1" s="1"/>
      <c r="F1" s="1"/>
    </row>
    <row r="3" customFormat="false" ht="49.5" hidden="false" customHeight="true" outlineLevel="0" collapsed="false">
      <c r="A3" s="5" t="s">
        <v>521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6" customFormat="false" ht="27.75" hidden="false" customHeight="true" outlineLevel="0" collapsed="false">
      <c r="A6" s="16"/>
      <c r="B6" s="16" t="s">
        <v>522</v>
      </c>
      <c r="C6" s="16" t="s">
        <v>523</v>
      </c>
      <c r="D6" s="16" t="s">
        <v>148</v>
      </c>
      <c r="E6" s="16" t="s">
        <v>524</v>
      </c>
      <c r="F6" s="16" t="s">
        <v>149</v>
      </c>
      <c r="G6" s="16" t="s">
        <v>525</v>
      </c>
    </row>
    <row r="7" customFormat="false" ht="30" hidden="false" customHeight="true" outlineLevel="0" collapsed="false">
      <c r="A7" s="21"/>
      <c r="B7" s="22" t="s">
        <v>526</v>
      </c>
      <c r="C7" s="21" t="s">
        <v>527</v>
      </c>
      <c r="D7" s="21" t="s">
        <v>528</v>
      </c>
      <c r="E7" s="21" t="s">
        <v>529</v>
      </c>
      <c r="F7" s="21" t="s">
        <v>178</v>
      </c>
      <c r="G7" s="21" t="s">
        <v>530</v>
      </c>
    </row>
    <row r="8" customFormat="false" ht="30" hidden="false" customHeight="true" outlineLevel="0" collapsed="false">
      <c r="A8" s="23"/>
      <c r="B8" s="24" t="s">
        <v>531</v>
      </c>
      <c r="C8" s="23" t="s">
        <v>532</v>
      </c>
      <c r="D8" s="23" t="s">
        <v>533</v>
      </c>
      <c r="E8" s="23" t="s">
        <v>529</v>
      </c>
      <c r="F8" s="23" t="s">
        <v>155</v>
      </c>
      <c r="G8" s="23" t="s">
        <v>534</v>
      </c>
    </row>
    <row r="9" customFormat="false" ht="30" hidden="false" customHeight="true" outlineLevel="0" collapsed="false">
      <c r="A9" s="21"/>
      <c r="B9" s="22" t="s">
        <v>535</v>
      </c>
      <c r="C9" s="21" t="s">
        <v>536</v>
      </c>
      <c r="D9" s="21" t="s">
        <v>528</v>
      </c>
      <c r="E9" s="21" t="s">
        <v>529</v>
      </c>
      <c r="F9" s="21" t="s">
        <v>155</v>
      </c>
      <c r="G9" s="21" t="s">
        <v>534</v>
      </c>
    </row>
    <row r="10" customFormat="false" ht="30" hidden="false" customHeight="true" outlineLevel="0" collapsed="false">
      <c r="A10" s="23"/>
      <c r="B10" s="24" t="s">
        <v>537</v>
      </c>
      <c r="C10" s="23" t="s">
        <v>538</v>
      </c>
      <c r="D10" s="23" t="s">
        <v>533</v>
      </c>
      <c r="E10" s="23" t="s">
        <v>539</v>
      </c>
      <c r="F10" s="23" t="s">
        <v>540</v>
      </c>
      <c r="G10" s="23" t="s">
        <v>534</v>
      </c>
    </row>
    <row r="11" customFormat="false" ht="30" hidden="false" customHeight="true" outlineLevel="0" collapsed="false">
      <c r="A11" s="21"/>
      <c r="B11" s="22" t="s">
        <v>541</v>
      </c>
      <c r="C11" s="21" t="s">
        <v>542</v>
      </c>
      <c r="D11" s="21" t="s">
        <v>543</v>
      </c>
      <c r="E11" s="21" t="s">
        <v>544</v>
      </c>
      <c r="F11" s="21" t="s">
        <v>545</v>
      </c>
      <c r="G11" s="21" t="s">
        <v>534</v>
      </c>
    </row>
    <row r="12" customFormat="false" ht="30" hidden="false" customHeight="true" outlineLevel="0" collapsed="false">
      <c r="A12" s="23"/>
      <c r="B12" s="24" t="s">
        <v>546</v>
      </c>
      <c r="C12" s="23" t="s">
        <v>547</v>
      </c>
      <c r="D12" s="23" t="s">
        <v>533</v>
      </c>
      <c r="E12" s="23" t="s">
        <v>539</v>
      </c>
      <c r="F12" s="23" t="s">
        <v>540</v>
      </c>
      <c r="G12" s="23" t="s">
        <v>530</v>
      </c>
    </row>
    <row r="13" customFormat="false" ht="30" hidden="false" customHeight="true" outlineLevel="0" collapsed="false">
      <c r="A13" s="21"/>
      <c r="B13" s="22" t="s">
        <v>548</v>
      </c>
      <c r="C13" s="21" t="s">
        <v>549</v>
      </c>
      <c r="D13" s="21" t="s">
        <v>528</v>
      </c>
      <c r="E13" s="21" t="s">
        <v>529</v>
      </c>
      <c r="F13" s="21" t="s">
        <v>550</v>
      </c>
      <c r="G13" s="21" t="s">
        <v>551</v>
      </c>
    </row>
    <row r="14" customFormat="false" ht="30" hidden="false" customHeight="true" outlineLevel="0" collapsed="false">
      <c r="A14" s="23"/>
      <c r="B14" s="24" t="s">
        <v>552</v>
      </c>
      <c r="C14" s="23" t="s">
        <v>553</v>
      </c>
      <c r="D14" s="23" t="s">
        <v>533</v>
      </c>
      <c r="E14" s="23" t="s">
        <v>529</v>
      </c>
      <c r="F14" s="23" t="s">
        <v>540</v>
      </c>
      <c r="G14" s="23" t="s">
        <v>554</v>
      </c>
    </row>
  </sheetData>
  <mergeCells count="2">
    <mergeCell ref="A1:F1"/>
    <mergeCell ref="A3:F4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962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" t="s">
        <v>555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6" t="s">
        <v>556</v>
      </c>
      <c r="B3" s="6"/>
      <c r="C3" s="6"/>
      <c r="D3" s="6"/>
      <c r="E3" s="6"/>
      <c r="F3" s="6"/>
    </row>
    <row r="4" customFormat="false" ht="27.75" hidden="false" customHeight="true" outlineLevel="0" collapsed="false">
      <c r="A4" s="16"/>
      <c r="B4" s="16" t="s">
        <v>557</v>
      </c>
      <c r="C4" s="16" t="s">
        <v>558</v>
      </c>
      <c r="D4" s="16" t="s">
        <v>559</v>
      </c>
      <c r="E4" s="16" t="s">
        <v>278</v>
      </c>
      <c r="F4" s="16" t="s">
        <v>279</v>
      </c>
    </row>
    <row r="5" customFormat="false" ht="79.5" hidden="false" customHeight="true" outlineLevel="0" collapsed="false">
      <c r="A5" s="21"/>
      <c r="B5" s="22" t="s">
        <v>560</v>
      </c>
      <c r="C5" s="21" t="s">
        <v>561</v>
      </c>
      <c r="D5" s="21" t="s">
        <v>562</v>
      </c>
      <c r="E5" s="21" t="s">
        <v>563</v>
      </c>
      <c r="F5" s="21" t="s">
        <v>302</v>
      </c>
    </row>
    <row r="6" customFormat="false" ht="79.5" hidden="false" customHeight="true" outlineLevel="0" collapsed="false">
      <c r="A6" s="23"/>
      <c r="B6" s="24" t="s">
        <v>564</v>
      </c>
      <c r="C6" s="23" t="s">
        <v>565</v>
      </c>
      <c r="D6" s="23" t="s">
        <v>566</v>
      </c>
      <c r="E6" s="23" t="s">
        <v>567</v>
      </c>
      <c r="F6" s="23" t="s">
        <v>308</v>
      </c>
    </row>
    <row r="7" customFormat="false" ht="79.5" hidden="false" customHeight="true" outlineLevel="0" collapsed="false">
      <c r="A7" s="21"/>
      <c r="B7" s="22" t="s">
        <v>568</v>
      </c>
      <c r="C7" s="21" t="s">
        <v>569</v>
      </c>
      <c r="D7" s="21" t="s">
        <v>570</v>
      </c>
      <c r="E7" s="21" t="s">
        <v>571</v>
      </c>
      <c r="F7" s="21" t="s">
        <v>308</v>
      </c>
    </row>
    <row r="9" customFormat="false" ht="30" hidden="false" customHeight="true" outlineLevel="0" collapsed="false">
      <c r="A9" s="6" t="s">
        <v>572</v>
      </c>
      <c r="B9" s="6"/>
      <c r="C9" s="6"/>
      <c r="D9" s="6"/>
      <c r="E9" s="6"/>
      <c r="F9" s="6"/>
    </row>
    <row r="10" customFormat="false" ht="27.75" hidden="false" customHeight="true" outlineLevel="0" collapsed="false">
      <c r="A10" s="16"/>
      <c r="B10" s="16" t="s">
        <v>573</v>
      </c>
      <c r="C10" s="16" t="s">
        <v>574</v>
      </c>
      <c r="D10" s="16" t="s">
        <v>575</v>
      </c>
      <c r="E10" s="16"/>
      <c r="F10" s="16"/>
    </row>
    <row r="11" customFormat="false" ht="45" hidden="false" customHeight="true" outlineLevel="0" collapsed="false">
      <c r="A11" s="21"/>
      <c r="B11" s="22" t="s">
        <v>576</v>
      </c>
      <c r="C11" s="21" t="s">
        <v>577</v>
      </c>
      <c r="D11" s="21" t="s">
        <v>578</v>
      </c>
      <c r="E11" s="21"/>
      <c r="F11" s="21"/>
    </row>
    <row r="12" customFormat="false" ht="45" hidden="false" customHeight="true" outlineLevel="0" collapsed="false">
      <c r="A12" s="23"/>
      <c r="B12" s="24" t="s">
        <v>579</v>
      </c>
      <c r="C12" s="23" t="s">
        <v>580</v>
      </c>
      <c r="D12" s="23" t="s">
        <v>581</v>
      </c>
      <c r="E12" s="23"/>
      <c r="F12" s="23"/>
    </row>
    <row r="13" customFormat="false" ht="45" hidden="false" customHeight="true" outlineLevel="0" collapsed="false">
      <c r="A13" s="21"/>
      <c r="B13" s="22" t="s">
        <v>582</v>
      </c>
      <c r="C13" s="21" t="s">
        <v>583</v>
      </c>
      <c r="D13" s="21" t="s">
        <v>584</v>
      </c>
      <c r="E13" s="21"/>
      <c r="F13" s="21"/>
    </row>
    <row r="14" customFormat="false" ht="45" hidden="false" customHeight="true" outlineLevel="0" collapsed="false">
      <c r="A14" s="23"/>
      <c r="B14" s="24" t="s">
        <v>585</v>
      </c>
      <c r="C14" s="23" t="s">
        <v>586</v>
      </c>
      <c r="D14" s="23" t="s">
        <v>587</v>
      </c>
      <c r="E14" s="23"/>
      <c r="F14" s="23"/>
    </row>
    <row r="15" customFormat="false" ht="45" hidden="false" customHeight="true" outlineLevel="0" collapsed="false">
      <c r="A15" s="21"/>
      <c r="B15" s="22" t="s">
        <v>588</v>
      </c>
      <c r="C15" s="21" t="s">
        <v>589</v>
      </c>
      <c r="D15" s="21" t="s">
        <v>590</v>
      </c>
      <c r="E15" s="21"/>
      <c r="F15" s="21"/>
    </row>
  </sheetData>
  <mergeCells count="3">
    <mergeCell ref="A1:F1"/>
    <mergeCell ref="A3:F3"/>
    <mergeCell ref="A9:F9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5" min="4" style="0" width="16"/>
    <col collapsed="false" customWidth="true" hidden="false" outlineLevel="0" max="7" min="6" style="0" width="22"/>
  </cols>
  <sheetData>
    <row r="1" customFormat="false" ht="34.5" hidden="false" customHeight="true" outlineLevel="0" collapsed="false">
      <c r="A1" s="1" t="s">
        <v>591</v>
      </c>
      <c r="B1" s="1"/>
      <c r="C1" s="1"/>
      <c r="D1" s="1"/>
      <c r="E1" s="1"/>
      <c r="F1" s="1"/>
      <c r="G1" s="1"/>
    </row>
    <row r="3" customFormat="false" ht="49.5" hidden="false" customHeight="true" outlineLevel="0" collapsed="false">
      <c r="A3" s="5" t="s">
        <v>592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6" t="s">
        <v>593</v>
      </c>
      <c r="B6" s="6"/>
      <c r="C6" s="6"/>
      <c r="D6" s="6"/>
      <c r="E6" s="6"/>
      <c r="F6" s="6"/>
      <c r="G6" s="6"/>
    </row>
    <row r="7" customFormat="false" ht="27.75" hidden="false" customHeight="true" outlineLevel="0" collapsed="false">
      <c r="A7" s="16"/>
      <c r="B7" s="16" t="s">
        <v>594</v>
      </c>
      <c r="C7" s="16" t="s">
        <v>595</v>
      </c>
      <c r="D7" s="16" t="s">
        <v>596</v>
      </c>
      <c r="E7" s="16" t="s">
        <v>597</v>
      </c>
      <c r="F7" s="16" t="s">
        <v>598</v>
      </c>
      <c r="G7" s="16" t="s">
        <v>599</v>
      </c>
    </row>
    <row r="8" customFormat="false" ht="39.75" hidden="false" customHeight="true" outlineLevel="0" collapsed="false">
      <c r="A8" s="21"/>
      <c r="B8" s="22" t="s">
        <v>600</v>
      </c>
      <c r="C8" s="21" t="s">
        <v>601</v>
      </c>
      <c r="D8" s="21" t="s">
        <v>602</v>
      </c>
      <c r="E8" s="21" t="s">
        <v>603</v>
      </c>
      <c r="F8" s="21" t="s">
        <v>604</v>
      </c>
      <c r="G8" s="21" t="s">
        <v>223</v>
      </c>
    </row>
    <row r="9" customFormat="false" ht="39.75" hidden="false" customHeight="true" outlineLevel="0" collapsed="false">
      <c r="A9" s="23"/>
      <c r="B9" s="24" t="s">
        <v>480</v>
      </c>
      <c r="C9" s="23" t="s">
        <v>481</v>
      </c>
      <c r="D9" s="23" t="s">
        <v>605</v>
      </c>
      <c r="E9" s="23" t="s">
        <v>606</v>
      </c>
      <c r="F9" s="23" t="s">
        <v>607</v>
      </c>
      <c r="G9" s="23" t="s">
        <v>284</v>
      </c>
    </row>
    <row r="10" customFormat="false" ht="39.75" hidden="false" customHeight="true" outlineLevel="0" collapsed="false">
      <c r="A10" s="21"/>
      <c r="B10" s="22" t="s">
        <v>608</v>
      </c>
      <c r="C10" s="21" t="s">
        <v>609</v>
      </c>
      <c r="D10" s="21" t="s">
        <v>610</v>
      </c>
      <c r="E10" s="21" t="s">
        <v>611</v>
      </c>
      <c r="F10" s="21" t="s">
        <v>612</v>
      </c>
      <c r="G10" s="21" t="s">
        <v>284</v>
      </c>
    </row>
    <row r="11" customFormat="false" ht="39.75" hidden="false" customHeight="true" outlineLevel="0" collapsed="false">
      <c r="A11" s="23"/>
      <c r="B11" s="24" t="s">
        <v>613</v>
      </c>
      <c r="C11" s="23" t="s">
        <v>614</v>
      </c>
      <c r="D11" s="23" t="s">
        <v>615</v>
      </c>
      <c r="E11" s="23" t="s">
        <v>616</v>
      </c>
      <c r="F11" s="23" t="s">
        <v>617</v>
      </c>
      <c r="G11" s="23" t="s">
        <v>284</v>
      </c>
    </row>
    <row r="13" customFormat="false" ht="30" hidden="false" customHeight="true" outlineLevel="0" collapsed="false">
      <c r="A13" s="6" t="s">
        <v>618</v>
      </c>
      <c r="B13" s="6"/>
      <c r="C13" s="6"/>
      <c r="D13" s="6"/>
      <c r="E13" s="6"/>
      <c r="F13" s="6"/>
      <c r="G13" s="6"/>
    </row>
    <row r="14" customFormat="false" ht="27.75" hidden="false" customHeight="true" outlineLevel="0" collapsed="false">
      <c r="A14" s="16"/>
      <c r="B14" s="16" t="s">
        <v>619</v>
      </c>
      <c r="C14" s="16" t="s">
        <v>620</v>
      </c>
      <c r="D14" s="16" t="s">
        <v>621</v>
      </c>
      <c r="E14" s="16" t="s">
        <v>622</v>
      </c>
      <c r="F14" s="16" t="s">
        <v>623</v>
      </c>
      <c r="G14" s="16" t="s">
        <v>339</v>
      </c>
    </row>
    <row r="15" customFormat="false" ht="24.75" hidden="false" customHeight="true" outlineLevel="0" collapsed="false">
      <c r="A15" s="23"/>
      <c r="B15" s="23" t="s">
        <v>624</v>
      </c>
      <c r="C15" s="27"/>
      <c r="D15" s="27"/>
      <c r="E15" s="27"/>
      <c r="F15" s="27"/>
      <c r="G15" s="27"/>
    </row>
    <row r="16" customFormat="false" ht="24.75" hidden="false" customHeight="true" outlineLevel="0" collapsed="false">
      <c r="A16" s="21"/>
      <c r="B16" s="21" t="s">
        <v>625</v>
      </c>
      <c r="C16" s="27"/>
      <c r="D16" s="27"/>
      <c r="E16" s="27"/>
      <c r="F16" s="27"/>
      <c r="G16" s="27"/>
    </row>
    <row r="17" customFormat="false" ht="24.75" hidden="false" customHeight="true" outlineLevel="0" collapsed="false">
      <c r="A17" s="23"/>
      <c r="B17" s="23" t="s">
        <v>626</v>
      </c>
      <c r="C17" s="27"/>
      <c r="D17" s="27"/>
      <c r="E17" s="27"/>
      <c r="F17" s="27"/>
      <c r="G17" s="27"/>
    </row>
    <row r="18" customFormat="false" ht="24.75" hidden="false" customHeight="true" outlineLevel="0" collapsed="false">
      <c r="A18" s="21"/>
      <c r="B18" s="21" t="s">
        <v>627</v>
      </c>
      <c r="C18" s="27"/>
      <c r="D18" s="27"/>
      <c r="E18" s="27"/>
      <c r="F18" s="27"/>
      <c r="G18" s="27"/>
    </row>
    <row r="19" customFormat="false" ht="24.75" hidden="false" customHeight="true" outlineLevel="0" collapsed="false">
      <c r="A19" s="23"/>
      <c r="B19" s="23" t="s">
        <v>628</v>
      </c>
      <c r="C19" s="27"/>
      <c r="D19" s="27"/>
      <c r="E19" s="27"/>
      <c r="F19" s="27"/>
      <c r="G19" s="27"/>
    </row>
    <row r="20" customFormat="false" ht="24.75" hidden="false" customHeight="true" outlineLevel="0" collapsed="false">
      <c r="A20" s="21"/>
      <c r="B20" s="21" t="s">
        <v>629</v>
      </c>
      <c r="C20" s="27"/>
      <c r="D20" s="27"/>
      <c r="E20" s="27"/>
      <c r="F20" s="27"/>
      <c r="G20" s="27"/>
    </row>
    <row r="21" customFormat="false" ht="24.75" hidden="false" customHeight="true" outlineLevel="0" collapsed="false">
      <c r="A21" s="23"/>
      <c r="B21" s="23" t="s">
        <v>630</v>
      </c>
      <c r="C21" s="27"/>
      <c r="D21" s="27"/>
      <c r="E21" s="27"/>
      <c r="F21" s="27"/>
      <c r="G21" s="27"/>
    </row>
    <row r="22" customFormat="false" ht="24.75" hidden="false" customHeight="true" outlineLevel="0" collapsed="false">
      <c r="A22" s="21"/>
      <c r="B22" s="21" t="s">
        <v>631</v>
      </c>
      <c r="C22" s="27"/>
      <c r="D22" s="27"/>
      <c r="E22" s="27"/>
      <c r="F22" s="27"/>
      <c r="G22" s="27"/>
    </row>
    <row r="23" customFormat="false" ht="24.75" hidden="false" customHeight="true" outlineLevel="0" collapsed="false">
      <c r="A23" s="23"/>
      <c r="B23" s="23" t="s">
        <v>632</v>
      </c>
      <c r="C23" s="27"/>
      <c r="D23" s="27"/>
      <c r="E23" s="27"/>
      <c r="F23" s="27"/>
      <c r="G23" s="27"/>
    </row>
    <row r="24" customFormat="false" ht="24.75" hidden="false" customHeight="true" outlineLevel="0" collapsed="false">
      <c r="A24" s="21"/>
      <c r="B24" s="21" t="s">
        <v>633</v>
      </c>
      <c r="C24" s="27"/>
      <c r="D24" s="27"/>
      <c r="E24" s="27"/>
      <c r="F24" s="27"/>
      <c r="G24" s="27"/>
    </row>
  </sheetData>
  <mergeCells count="4">
    <mergeCell ref="A1:G1"/>
    <mergeCell ref="A3:G4"/>
    <mergeCell ref="A6:G6"/>
    <mergeCell ref="A13:G13"/>
  </mergeCells>
  <dataValidations count="1">
    <dataValidation allowBlank="true" errorStyle="stop" operator="between" showDropDown="false" showErrorMessage="false" showInputMessage="false" sqref="G15:G24" type="list">
      <formula1>"نشط,غير نشط,قيد التقييم,مؤهل MTEVT"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962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8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" t="s">
        <v>634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6" t="s">
        <v>635</v>
      </c>
      <c r="B3" s="6"/>
      <c r="C3" s="6"/>
      <c r="D3" s="6"/>
      <c r="E3" s="6"/>
      <c r="F3" s="6"/>
    </row>
    <row r="4" customFormat="false" ht="27.75" hidden="false" customHeight="true" outlineLevel="0" collapsed="false">
      <c r="A4" s="16"/>
      <c r="B4" s="16" t="s">
        <v>636</v>
      </c>
      <c r="C4" s="16" t="s">
        <v>637</v>
      </c>
      <c r="D4" s="16" t="s">
        <v>638</v>
      </c>
      <c r="E4" s="16" t="s">
        <v>639</v>
      </c>
      <c r="F4" s="16" t="s">
        <v>640</v>
      </c>
    </row>
    <row r="5" customFormat="false" ht="27.75" hidden="false" customHeight="true" outlineLevel="0" collapsed="false">
      <c r="A5" s="21"/>
      <c r="B5" s="22" t="s">
        <v>641</v>
      </c>
      <c r="C5" s="21" t="s">
        <v>642</v>
      </c>
      <c r="D5" s="21" t="s">
        <v>643</v>
      </c>
      <c r="E5" s="21" t="s">
        <v>644</v>
      </c>
      <c r="F5" s="21" t="s">
        <v>645</v>
      </c>
      <c r="G5" s="21" t="s">
        <v>646</v>
      </c>
    </row>
    <row r="6" customFormat="false" ht="27.75" hidden="false" customHeight="true" outlineLevel="0" collapsed="false">
      <c r="A6" s="23"/>
      <c r="B6" s="23"/>
      <c r="C6" s="23"/>
      <c r="D6" s="23" t="s">
        <v>647</v>
      </c>
      <c r="E6" s="23" t="s">
        <v>648</v>
      </c>
      <c r="F6" s="23" t="s">
        <v>649</v>
      </c>
      <c r="G6" s="23" t="s">
        <v>646</v>
      </c>
    </row>
    <row r="7" customFormat="false" ht="27.75" hidden="false" customHeight="true" outlineLevel="0" collapsed="false">
      <c r="A7" s="21"/>
      <c r="B7" s="21"/>
      <c r="C7" s="21"/>
      <c r="D7" s="21" t="s">
        <v>650</v>
      </c>
      <c r="E7" s="21" t="s">
        <v>651</v>
      </c>
      <c r="F7" s="21" t="s">
        <v>652</v>
      </c>
      <c r="G7" s="21" t="s">
        <v>646</v>
      </c>
    </row>
    <row r="8" customFormat="false" ht="27.75" hidden="false" customHeight="true" outlineLevel="0" collapsed="false">
      <c r="A8" s="23"/>
      <c r="B8" s="23"/>
      <c r="C8" s="23"/>
      <c r="D8" s="23" t="s">
        <v>653</v>
      </c>
      <c r="E8" s="23" t="s">
        <v>654</v>
      </c>
      <c r="F8" s="23" t="s">
        <v>655</v>
      </c>
      <c r="G8" s="23" t="s">
        <v>656</v>
      </c>
    </row>
    <row r="9" customFormat="false" ht="27.75" hidden="false" customHeight="true" outlineLevel="0" collapsed="false">
      <c r="A9" s="21"/>
      <c r="B9" s="21"/>
      <c r="C9" s="21"/>
      <c r="D9" s="21" t="s">
        <v>657</v>
      </c>
      <c r="E9" s="21" t="s">
        <v>658</v>
      </c>
      <c r="F9" s="21" t="s">
        <v>645</v>
      </c>
      <c r="G9" s="21" t="s">
        <v>656</v>
      </c>
    </row>
    <row r="10" customFormat="false" ht="27.75" hidden="false" customHeight="true" outlineLevel="0" collapsed="false">
      <c r="A10" s="23"/>
      <c r="B10" s="24" t="s">
        <v>659</v>
      </c>
      <c r="C10" s="23" t="s">
        <v>660</v>
      </c>
      <c r="D10" s="23" t="s">
        <v>661</v>
      </c>
      <c r="E10" s="23" t="s">
        <v>662</v>
      </c>
      <c r="F10" s="23" t="s">
        <v>663</v>
      </c>
      <c r="G10" s="23" t="s">
        <v>664</v>
      </c>
    </row>
    <row r="11" customFormat="false" ht="27.75" hidden="false" customHeight="true" outlineLevel="0" collapsed="false">
      <c r="A11" s="21"/>
      <c r="B11" s="21"/>
      <c r="C11" s="21"/>
      <c r="D11" s="21" t="s">
        <v>665</v>
      </c>
      <c r="E11" s="21" t="s">
        <v>666</v>
      </c>
      <c r="F11" s="21" t="s">
        <v>667</v>
      </c>
      <c r="G11" s="21" t="s">
        <v>668</v>
      </c>
    </row>
    <row r="12" customFormat="false" ht="27.75" hidden="false" customHeight="true" outlineLevel="0" collapsed="false">
      <c r="A12" s="23"/>
      <c r="B12" s="23"/>
      <c r="C12" s="23"/>
      <c r="D12" s="23" t="s">
        <v>669</v>
      </c>
      <c r="E12" s="23" t="s">
        <v>670</v>
      </c>
      <c r="F12" s="23" t="s">
        <v>671</v>
      </c>
      <c r="G12" s="23" t="s">
        <v>672</v>
      </c>
    </row>
    <row r="13" customFormat="false" ht="27.75" hidden="false" customHeight="true" outlineLevel="0" collapsed="false">
      <c r="A13" s="21"/>
      <c r="B13" s="21"/>
      <c r="C13" s="21"/>
      <c r="D13" s="21" t="s">
        <v>673</v>
      </c>
      <c r="E13" s="21" t="s">
        <v>674</v>
      </c>
      <c r="F13" s="21" t="s">
        <v>675</v>
      </c>
      <c r="G13" s="21" t="s">
        <v>672</v>
      </c>
    </row>
    <row r="14" customFormat="false" ht="27.75" hidden="false" customHeight="true" outlineLevel="0" collapsed="false">
      <c r="A14" s="23"/>
      <c r="B14" s="23"/>
      <c r="C14" s="23"/>
      <c r="D14" s="23" t="s">
        <v>676</v>
      </c>
      <c r="E14" s="23" t="s">
        <v>677</v>
      </c>
      <c r="F14" s="23" t="s">
        <v>678</v>
      </c>
      <c r="G14" s="23" t="s">
        <v>656</v>
      </c>
    </row>
    <row r="15" customFormat="false" ht="27.75" hidden="false" customHeight="true" outlineLevel="0" collapsed="false">
      <c r="A15" s="21"/>
      <c r="B15" s="22" t="s">
        <v>679</v>
      </c>
      <c r="C15" s="21" t="s">
        <v>680</v>
      </c>
      <c r="D15" s="21" t="s">
        <v>681</v>
      </c>
      <c r="E15" s="21" t="s">
        <v>682</v>
      </c>
      <c r="F15" s="21" t="s">
        <v>683</v>
      </c>
      <c r="G15" s="21" t="s">
        <v>684</v>
      </c>
    </row>
    <row r="16" customFormat="false" ht="27.75" hidden="false" customHeight="true" outlineLevel="0" collapsed="false">
      <c r="A16" s="23"/>
      <c r="B16" s="23"/>
      <c r="C16" s="23"/>
      <c r="D16" s="23" t="s">
        <v>685</v>
      </c>
      <c r="E16" s="23" t="s">
        <v>686</v>
      </c>
      <c r="F16" s="23" t="s">
        <v>687</v>
      </c>
      <c r="G16" s="23" t="s">
        <v>684</v>
      </c>
    </row>
    <row r="17" customFormat="false" ht="27.75" hidden="false" customHeight="true" outlineLevel="0" collapsed="false">
      <c r="A17" s="21"/>
      <c r="B17" s="21"/>
      <c r="C17" s="21"/>
      <c r="D17" s="21" t="s">
        <v>688</v>
      </c>
      <c r="E17" s="21" t="s">
        <v>689</v>
      </c>
      <c r="F17" s="21" t="s">
        <v>690</v>
      </c>
      <c r="G17" s="21" t="s">
        <v>684</v>
      </c>
    </row>
    <row r="18" customFormat="false" ht="27.75" hidden="false" customHeight="true" outlineLevel="0" collapsed="false">
      <c r="A18" s="23"/>
      <c r="B18" s="23"/>
      <c r="C18" s="23"/>
      <c r="D18" s="23" t="s">
        <v>691</v>
      </c>
      <c r="E18" s="23" t="s">
        <v>692</v>
      </c>
      <c r="F18" s="23" t="s">
        <v>693</v>
      </c>
      <c r="G18" s="23" t="s">
        <v>684</v>
      </c>
    </row>
    <row r="19" customFormat="false" ht="27.75" hidden="false" customHeight="true" outlineLevel="0" collapsed="false">
      <c r="A19" s="21"/>
      <c r="B19" s="21"/>
      <c r="C19" s="21"/>
      <c r="D19" s="21" t="s">
        <v>694</v>
      </c>
      <c r="E19" s="21" t="s">
        <v>695</v>
      </c>
      <c r="F19" s="21" t="s">
        <v>696</v>
      </c>
      <c r="G19" s="21" t="s">
        <v>684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34.5" hidden="false" customHeight="true" outlineLevel="0" collapsed="false">
      <c r="A1" s="1" t="s">
        <v>697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16"/>
      <c r="B3" s="16" t="s">
        <v>698</v>
      </c>
      <c r="C3" s="16" t="s">
        <v>699</v>
      </c>
      <c r="D3" s="16" t="s">
        <v>700</v>
      </c>
      <c r="E3" s="16" t="s">
        <v>701</v>
      </c>
      <c r="F3" s="16" t="s">
        <v>279</v>
      </c>
    </row>
    <row r="4" customFormat="false" ht="64.5" hidden="false" customHeight="true" outlineLevel="0" collapsed="false">
      <c r="A4" s="21"/>
      <c r="B4" s="22" t="s">
        <v>702</v>
      </c>
      <c r="C4" s="21" t="s">
        <v>703</v>
      </c>
      <c r="D4" s="21" t="s">
        <v>704</v>
      </c>
      <c r="E4" s="21" t="s">
        <v>705</v>
      </c>
      <c r="F4" s="21" t="s">
        <v>284</v>
      </c>
    </row>
    <row r="5" customFormat="false" ht="64.5" hidden="false" customHeight="true" outlineLevel="0" collapsed="false">
      <c r="A5" s="23"/>
      <c r="B5" s="24" t="s">
        <v>422</v>
      </c>
      <c r="C5" s="23" t="s">
        <v>422</v>
      </c>
      <c r="D5" s="23" t="s">
        <v>706</v>
      </c>
      <c r="E5" s="23" t="s">
        <v>707</v>
      </c>
      <c r="F5" s="23" t="s">
        <v>708</v>
      </c>
    </row>
    <row r="6" customFormat="false" ht="64.5" hidden="false" customHeight="true" outlineLevel="0" collapsed="false">
      <c r="A6" s="21"/>
      <c r="B6" s="22" t="s">
        <v>429</v>
      </c>
      <c r="C6" s="21" t="s">
        <v>429</v>
      </c>
      <c r="D6" s="21" t="s">
        <v>709</v>
      </c>
      <c r="E6" s="21" t="s">
        <v>710</v>
      </c>
      <c r="F6" s="21" t="s">
        <v>284</v>
      </c>
    </row>
    <row r="7" customFormat="false" ht="64.5" hidden="false" customHeight="true" outlineLevel="0" collapsed="false">
      <c r="A7" s="23"/>
      <c r="B7" s="24" t="s">
        <v>404</v>
      </c>
      <c r="C7" s="23" t="s">
        <v>405</v>
      </c>
      <c r="D7" s="23" t="s">
        <v>711</v>
      </c>
      <c r="E7" s="23" t="s">
        <v>712</v>
      </c>
      <c r="F7" s="23" t="s">
        <v>308</v>
      </c>
    </row>
    <row r="8" customFormat="false" ht="64.5" hidden="false" customHeight="true" outlineLevel="0" collapsed="false">
      <c r="A8" s="21"/>
      <c r="B8" s="22" t="s">
        <v>713</v>
      </c>
      <c r="C8" s="21" t="s">
        <v>713</v>
      </c>
      <c r="D8" s="21" t="s">
        <v>714</v>
      </c>
      <c r="E8" s="21" t="s">
        <v>715</v>
      </c>
      <c r="F8" s="21" t="s">
        <v>308</v>
      </c>
    </row>
    <row r="9" customFormat="false" ht="64.5" hidden="false" customHeight="true" outlineLevel="0" collapsed="false">
      <c r="A9" s="23"/>
      <c r="B9" s="24" t="s">
        <v>716</v>
      </c>
      <c r="C9" s="23" t="s">
        <v>717</v>
      </c>
      <c r="D9" s="23" t="s">
        <v>704</v>
      </c>
      <c r="E9" s="23" t="s">
        <v>718</v>
      </c>
      <c r="F9" s="23" t="s">
        <v>284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962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" t="s">
        <v>719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720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6"/>
      <c r="B4" s="16" t="s">
        <v>275</v>
      </c>
      <c r="C4" s="16" t="s">
        <v>721</v>
      </c>
      <c r="D4" s="16" t="s">
        <v>246</v>
      </c>
      <c r="E4" s="16" t="s">
        <v>722</v>
      </c>
      <c r="F4" s="16" t="s">
        <v>279</v>
      </c>
    </row>
    <row r="5" customFormat="false" ht="99.75" hidden="false" customHeight="true" outlineLevel="0" collapsed="false">
      <c r="A5" s="21"/>
      <c r="B5" s="22" t="s">
        <v>280</v>
      </c>
      <c r="C5" s="22" t="s">
        <v>723</v>
      </c>
      <c r="D5" s="21" t="s">
        <v>724</v>
      </c>
      <c r="E5" s="21" t="s">
        <v>725</v>
      </c>
      <c r="F5" s="21" t="s">
        <v>284</v>
      </c>
      <c r="G5" s="21" t="s">
        <v>726</v>
      </c>
    </row>
    <row r="6" customFormat="false" ht="99.75" hidden="false" customHeight="true" outlineLevel="0" collapsed="false">
      <c r="A6" s="23"/>
      <c r="B6" s="24" t="s">
        <v>286</v>
      </c>
      <c r="C6" s="24" t="s">
        <v>727</v>
      </c>
      <c r="D6" s="23" t="s">
        <v>728</v>
      </c>
      <c r="E6" s="23" t="s">
        <v>729</v>
      </c>
      <c r="F6" s="23" t="s">
        <v>302</v>
      </c>
      <c r="G6" s="23" t="s">
        <v>730</v>
      </c>
    </row>
    <row r="7" customFormat="false" ht="99.75" hidden="false" customHeight="true" outlineLevel="0" collapsed="false">
      <c r="A7" s="21"/>
      <c r="B7" s="22" t="s">
        <v>292</v>
      </c>
      <c r="C7" s="22" t="s">
        <v>731</v>
      </c>
      <c r="D7" s="21" t="s">
        <v>732</v>
      </c>
      <c r="E7" s="21" t="s">
        <v>733</v>
      </c>
      <c r="F7" s="21" t="s">
        <v>390</v>
      </c>
      <c r="G7" s="21" t="s">
        <v>734</v>
      </c>
    </row>
    <row r="8" customFormat="false" ht="99.75" hidden="false" customHeight="true" outlineLevel="0" collapsed="false">
      <c r="A8" s="23"/>
      <c r="B8" s="24" t="s">
        <v>298</v>
      </c>
      <c r="C8" s="24" t="s">
        <v>735</v>
      </c>
      <c r="D8" s="23" t="s">
        <v>736</v>
      </c>
      <c r="E8" s="23" t="s">
        <v>737</v>
      </c>
      <c r="F8" s="23" t="s">
        <v>308</v>
      </c>
      <c r="G8" s="23" t="s">
        <v>738</v>
      </c>
    </row>
    <row r="9" customFormat="false" ht="99.75" hidden="false" customHeight="true" outlineLevel="0" collapsed="false">
      <c r="A9" s="21"/>
      <c r="B9" s="22" t="s">
        <v>304</v>
      </c>
      <c r="C9" s="22" t="s">
        <v>739</v>
      </c>
      <c r="D9" s="21" t="s">
        <v>740</v>
      </c>
      <c r="E9" s="21" t="s">
        <v>741</v>
      </c>
      <c r="F9" s="21" t="s">
        <v>314</v>
      </c>
      <c r="G9" s="21" t="s">
        <v>742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8B3E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30"/>
    <col collapsed="false" customWidth="true" hidden="false" outlineLevel="0" max="5" min="5" style="0" width="16"/>
  </cols>
  <sheetData>
    <row r="1" customFormat="false" ht="34.5" hidden="false" customHeight="true" outlineLevel="0" collapsed="false">
      <c r="A1" s="1" t="s">
        <v>743</v>
      </c>
      <c r="B1" s="1"/>
      <c r="C1" s="1"/>
      <c r="D1" s="1"/>
      <c r="E1" s="1"/>
    </row>
    <row r="3" customFormat="false" ht="49.5" hidden="false" customHeight="true" outlineLevel="0" collapsed="false">
      <c r="A3" s="5" t="s">
        <v>744</v>
      </c>
      <c r="B3" s="5"/>
      <c r="C3" s="5"/>
      <c r="D3" s="5"/>
      <c r="E3" s="5"/>
    </row>
    <row r="4" customFormat="false" ht="15" hidden="false" customHeight="false" outlineLevel="0" collapsed="false">
      <c r="A4" s="5"/>
      <c r="B4" s="5"/>
      <c r="C4" s="5"/>
      <c r="D4" s="5"/>
      <c r="E4" s="5"/>
    </row>
    <row r="6" customFormat="false" ht="30" hidden="false" customHeight="true" outlineLevel="0" collapsed="false">
      <c r="A6" s="6" t="s">
        <v>745</v>
      </c>
      <c r="B6" s="6"/>
      <c r="C6" s="6"/>
      <c r="D6" s="6"/>
      <c r="E6" s="6"/>
    </row>
    <row r="7" customFormat="false" ht="27.75" hidden="false" customHeight="true" outlineLevel="0" collapsed="false">
      <c r="A7" s="16"/>
      <c r="B7" s="16" t="s">
        <v>594</v>
      </c>
      <c r="C7" s="16" t="s">
        <v>595</v>
      </c>
      <c r="D7" s="16" t="s">
        <v>746</v>
      </c>
      <c r="E7" s="16" t="s">
        <v>747</v>
      </c>
    </row>
    <row r="8" customFormat="false" ht="139.5" hidden="false" customHeight="true" outlineLevel="0" collapsed="false">
      <c r="A8" s="21"/>
      <c r="B8" s="22" t="s">
        <v>748</v>
      </c>
      <c r="C8" s="21" t="s">
        <v>749</v>
      </c>
      <c r="D8" s="21" t="s">
        <v>750</v>
      </c>
      <c r="E8" s="21" t="s">
        <v>238</v>
      </c>
    </row>
    <row r="9" customFormat="false" ht="139.5" hidden="false" customHeight="true" outlineLevel="0" collapsed="false">
      <c r="A9" s="23"/>
      <c r="B9" s="24" t="s">
        <v>751</v>
      </c>
      <c r="C9" s="23" t="s">
        <v>752</v>
      </c>
      <c r="D9" s="23" t="s">
        <v>753</v>
      </c>
      <c r="E9" s="23" t="s">
        <v>754</v>
      </c>
    </row>
    <row r="10" customFormat="false" ht="139.5" hidden="false" customHeight="true" outlineLevel="0" collapsed="false">
      <c r="A10" s="21"/>
      <c r="B10" s="22" t="s">
        <v>755</v>
      </c>
      <c r="C10" s="21" t="s">
        <v>756</v>
      </c>
      <c r="D10" s="21" t="s">
        <v>757</v>
      </c>
      <c r="E10" s="21" t="s">
        <v>758</v>
      </c>
    </row>
    <row r="12" customFormat="false" ht="30" hidden="false" customHeight="true" outlineLevel="0" collapsed="false">
      <c r="A12" s="6" t="s">
        <v>759</v>
      </c>
      <c r="B12" s="6"/>
      <c r="C12" s="6"/>
      <c r="D12" s="6"/>
      <c r="E12" s="6"/>
    </row>
    <row r="13" customFormat="false" ht="27.75" hidden="false" customHeight="true" outlineLevel="0" collapsed="false">
      <c r="A13" s="16"/>
      <c r="B13" s="16" t="s">
        <v>760</v>
      </c>
      <c r="C13" s="16" t="s">
        <v>761</v>
      </c>
      <c r="D13" s="16" t="s">
        <v>278</v>
      </c>
      <c r="E13" s="16"/>
    </row>
    <row r="14" customFormat="false" ht="39.75" hidden="false" customHeight="true" outlineLevel="0" collapsed="false">
      <c r="A14" s="21"/>
      <c r="B14" s="22" t="s">
        <v>762</v>
      </c>
      <c r="C14" s="21" t="s">
        <v>763</v>
      </c>
      <c r="D14" s="21" t="s">
        <v>764</v>
      </c>
      <c r="E14" s="21"/>
    </row>
    <row r="15" customFormat="false" ht="39.75" hidden="false" customHeight="true" outlineLevel="0" collapsed="false">
      <c r="A15" s="23"/>
      <c r="B15" s="24" t="s">
        <v>765</v>
      </c>
      <c r="C15" s="23" t="s">
        <v>766</v>
      </c>
      <c r="D15" s="23" t="s">
        <v>767</v>
      </c>
      <c r="E15" s="23"/>
    </row>
    <row r="16" customFormat="false" ht="39.75" hidden="false" customHeight="true" outlineLevel="0" collapsed="false">
      <c r="A16" s="21"/>
      <c r="B16" s="22" t="s">
        <v>768</v>
      </c>
      <c r="C16" s="21" t="s">
        <v>769</v>
      </c>
      <c r="D16" s="21" t="s">
        <v>770</v>
      </c>
      <c r="E16" s="21"/>
    </row>
    <row r="17" customFormat="false" ht="39.75" hidden="false" customHeight="true" outlineLevel="0" collapsed="false">
      <c r="A17" s="23"/>
      <c r="B17" s="24" t="s">
        <v>771</v>
      </c>
      <c r="C17" s="23" t="s">
        <v>772</v>
      </c>
      <c r="D17" s="23" t="s">
        <v>773</v>
      </c>
      <c r="E17" s="23"/>
    </row>
    <row r="18" customFormat="false" ht="39.75" hidden="false" customHeight="true" outlineLevel="0" collapsed="false">
      <c r="A18" s="21"/>
      <c r="B18" s="22" t="s">
        <v>774</v>
      </c>
      <c r="C18" s="21" t="s">
        <v>775</v>
      </c>
      <c r="D18" s="21" t="s">
        <v>776</v>
      </c>
      <c r="E18" s="21"/>
    </row>
  </sheetData>
  <mergeCells count="4">
    <mergeCell ref="A1:E1"/>
    <mergeCell ref="A3:E4"/>
    <mergeCell ref="A6:E6"/>
    <mergeCell ref="A12:E1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6"/>
    <col collapsed="false" customWidth="true" hidden="false" outlineLevel="0" max="8" min="8" style="0" width="20"/>
  </cols>
  <sheetData>
    <row r="1" customFormat="false" ht="34.5" hidden="false" customHeight="true" outlineLevel="0" collapsed="false">
      <c r="A1" s="1" t="s">
        <v>777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778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779</v>
      </c>
      <c r="B4" s="6"/>
      <c r="C4" s="6"/>
      <c r="D4" s="6"/>
      <c r="E4" s="6"/>
      <c r="F4" s="6"/>
      <c r="G4" s="6"/>
      <c r="H4" s="6"/>
    </row>
    <row r="5" customFormat="false" ht="27.75" hidden="false" customHeight="true" outlineLevel="0" collapsed="false">
      <c r="A5" s="16"/>
      <c r="B5" s="16" t="s">
        <v>780</v>
      </c>
      <c r="C5" s="16" t="s">
        <v>188</v>
      </c>
      <c r="D5" s="16" t="s">
        <v>781</v>
      </c>
      <c r="E5" s="16" t="s">
        <v>782</v>
      </c>
      <c r="F5" s="16" t="s">
        <v>69</v>
      </c>
      <c r="G5" s="16" t="s">
        <v>71</v>
      </c>
      <c r="H5" s="16" t="s">
        <v>783</v>
      </c>
    </row>
    <row r="6" customFormat="false" ht="27.75" hidden="false" customHeight="true" outlineLevel="0" collapsed="false">
      <c r="A6" s="21"/>
      <c r="B6" s="22" t="s">
        <v>784</v>
      </c>
      <c r="C6" s="21" t="s">
        <v>785</v>
      </c>
      <c r="D6" s="21" t="s">
        <v>786</v>
      </c>
      <c r="E6" s="21" t="s">
        <v>786</v>
      </c>
      <c r="F6" s="21" t="s">
        <v>787</v>
      </c>
      <c r="G6" s="21"/>
      <c r="H6" s="21" t="s">
        <v>788</v>
      </c>
    </row>
    <row r="7" customFormat="false" ht="27.75" hidden="false" customHeight="true" outlineLevel="0" collapsed="false">
      <c r="A7" s="23"/>
      <c r="B7" s="24" t="s">
        <v>789</v>
      </c>
      <c r="C7" s="23" t="s">
        <v>785</v>
      </c>
      <c r="D7" s="23" t="s">
        <v>790</v>
      </c>
      <c r="E7" s="23" t="s">
        <v>791</v>
      </c>
      <c r="F7" s="23" t="s">
        <v>792</v>
      </c>
      <c r="G7" s="23"/>
      <c r="H7" s="23" t="s">
        <v>793</v>
      </c>
    </row>
    <row r="8" customFormat="false" ht="27.75" hidden="false" customHeight="true" outlineLevel="0" collapsed="false">
      <c r="A8" s="21"/>
      <c r="B8" s="22" t="s">
        <v>794</v>
      </c>
      <c r="C8" s="21" t="s">
        <v>795</v>
      </c>
      <c r="D8" s="21" t="s">
        <v>198</v>
      </c>
      <c r="E8" s="21" t="s">
        <v>198</v>
      </c>
      <c r="F8" s="21" t="s">
        <v>199</v>
      </c>
      <c r="G8" s="21"/>
      <c r="H8" s="21" t="s">
        <v>796</v>
      </c>
    </row>
    <row r="9" customFormat="false" ht="27.75" hidden="false" customHeight="true" outlineLevel="0" collapsed="false">
      <c r="A9" s="23"/>
      <c r="B9" s="24" t="s">
        <v>797</v>
      </c>
      <c r="C9" s="23" t="s">
        <v>201</v>
      </c>
      <c r="D9" s="23" t="s">
        <v>798</v>
      </c>
      <c r="E9" s="23" t="s">
        <v>203</v>
      </c>
      <c r="F9" s="23" t="s">
        <v>204</v>
      </c>
      <c r="G9" s="23"/>
      <c r="H9" s="23" t="s">
        <v>799</v>
      </c>
    </row>
    <row r="10" customFormat="false" ht="27.75" hidden="false" customHeight="true" outlineLevel="0" collapsed="false">
      <c r="A10" s="21"/>
      <c r="B10" s="22" t="s">
        <v>800</v>
      </c>
      <c r="C10" s="21"/>
      <c r="D10" s="21"/>
      <c r="E10" s="22" t="s">
        <v>207</v>
      </c>
      <c r="F10" s="21"/>
      <c r="G10" s="21"/>
      <c r="H10" s="21"/>
    </row>
    <row r="12" customFormat="false" ht="30" hidden="false" customHeight="true" outlineLevel="0" collapsed="false">
      <c r="A12" s="6" t="s">
        <v>801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6"/>
      <c r="B13" s="16" t="s">
        <v>802</v>
      </c>
      <c r="C13" s="16" t="s">
        <v>803</v>
      </c>
      <c r="D13" s="16" t="s">
        <v>804</v>
      </c>
      <c r="E13" s="16" t="s">
        <v>805</v>
      </c>
      <c r="F13" s="16" t="s">
        <v>806</v>
      </c>
      <c r="G13" s="16" t="s">
        <v>783</v>
      </c>
      <c r="H13" s="16"/>
    </row>
    <row r="14" customFormat="false" ht="15" hidden="false" customHeight="false" outlineLevel="0" collapsed="false">
      <c r="A14" s="28"/>
      <c r="B14" s="22" t="s">
        <v>807</v>
      </c>
      <c r="C14" s="29" t="n">
        <v>1200</v>
      </c>
      <c r="D14" s="30"/>
      <c r="E14" s="29" t="n">
        <f aca="false">D14-C14</f>
        <v>-1200</v>
      </c>
      <c r="F14" s="8" t="s">
        <v>808</v>
      </c>
      <c r="G14" s="8"/>
      <c r="H14" s="28"/>
    </row>
    <row r="15" customFormat="false" ht="15" hidden="false" customHeight="false" outlineLevel="0" collapsed="false">
      <c r="A15" s="31"/>
      <c r="B15" s="24" t="s">
        <v>809</v>
      </c>
      <c r="C15" s="32" t="n">
        <v>450</v>
      </c>
      <c r="D15" s="30"/>
      <c r="E15" s="32" t="n">
        <f aca="false">D15-C15</f>
        <v>-450</v>
      </c>
      <c r="F15" s="11" t="s">
        <v>810</v>
      </c>
      <c r="G15" s="11"/>
      <c r="H15" s="31"/>
    </row>
    <row r="16" customFormat="false" ht="15" hidden="false" customHeight="false" outlineLevel="0" collapsed="false">
      <c r="A16" s="28"/>
      <c r="B16" s="22" t="s">
        <v>811</v>
      </c>
      <c r="C16" s="29" t="n">
        <v>300</v>
      </c>
      <c r="D16" s="30"/>
      <c r="E16" s="29" t="n">
        <f aca="false">D16-C16</f>
        <v>-300</v>
      </c>
      <c r="F16" s="8" t="s">
        <v>812</v>
      </c>
      <c r="G16" s="8"/>
      <c r="H16" s="28"/>
    </row>
    <row r="17" customFormat="false" ht="15" hidden="false" customHeight="false" outlineLevel="0" collapsed="false">
      <c r="A17" s="31"/>
      <c r="B17" s="24" t="s">
        <v>813</v>
      </c>
      <c r="C17" s="32" t="n">
        <v>300</v>
      </c>
      <c r="D17" s="30"/>
      <c r="E17" s="32" t="n">
        <f aca="false">D17-C17</f>
        <v>-300</v>
      </c>
      <c r="F17" s="11" t="s">
        <v>812</v>
      </c>
      <c r="G17" s="11"/>
      <c r="H17" s="31"/>
    </row>
    <row r="18" customFormat="false" ht="15" hidden="false" customHeight="false" outlineLevel="0" collapsed="false">
      <c r="A18" s="28"/>
      <c r="B18" s="22" t="s">
        <v>814</v>
      </c>
      <c r="C18" s="29" t="n">
        <v>600</v>
      </c>
      <c r="D18" s="30"/>
      <c r="E18" s="29" t="n">
        <f aca="false">D18-C18</f>
        <v>-600</v>
      </c>
      <c r="F18" s="8" t="s">
        <v>815</v>
      </c>
      <c r="G18" s="8"/>
      <c r="H18" s="28"/>
    </row>
    <row r="19" customFormat="false" ht="15" hidden="false" customHeight="false" outlineLevel="0" collapsed="false">
      <c r="A19" s="31"/>
      <c r="B19" s="24" t="s">
        <v>816</v>
      </c>
      <c r="C19" s="32" t="n">
        <v>150</v>
      </c>
      <c r="D19" s="30"/>
      <c r="E19" s="32" t="n">
        <f aca="false">D19-C19</f>
        <v>-150</v>
      </c>
      <c r="F19" s="11" t="s">
        <v>817</v>
      </c>
      <c r="G19" s="11"/>
      <c r="H19" s="31"/>
    </row>
    <row r="20" customFormat="false" ht="15" hidden="false" customHeight="false" outlineLevel="0" collapsed="false">
      <c r="A20" s="28"/>
      <c r="B20" s="22" t="s">
        <v>818</v>
      </c>
      <c r="C20" s="29" t="n">
        <v>450</v>
      </c>
      <c r="D20" s="30"/>
      <c r="E20" s="29" t="n">
        <f aca="false">D20-C20</f>
        <v>-450</v>
      </c>
      <c r="F20" s="8" t="s">
        <v>810</v>
      </c>
      <c r="G20" s="8" t="s">
        <v>819</v>
      </c>
      <c r="H20" s="28"/>
    </row>
    <row r="21" customFormat="false" ht="15" hidden="false" customHeight="false" outlineLevel="0" collapsed="false">
      <c r="A21" s="31"/>
      <c r="B21" s="24" t="s">
        <v>820</v>
      </c>
      <c r="C21" s="32" t="n">
        <v>200</v>
      </c>
      <c r="D21" s="30"/>
      <c r="E21" s="32" t="n">
        <f aca="false">D21-C21</f>
        <v>-200</v>
      </c>
      <c r="F21" s="11" t="s">
        <v>821</v>
      </c>
      <c r="G21" s="11" t="s">
        <v>822</v>
      </c>
      <c r="H21" s="31"/>
    </row>
    <row r="22" customFormat="false" ht="15" hidden="false" customHeight="false" outlineLevel="0" collapsed="false">
      <c r="A22" s="28"/>
      <c r="B22" s="22" t="s">
        <v>823</v>
      </c>
      <c r="C22" s="29" t="n">
        <v>365</v>
      </c>
      <c r="D22" s="30"/>
      <c r="E22" s="29" t="n">
        <f aca="false">D22-C22</f>
        <v>-365</v>
      </c>
      <c r="F22" s="8" t="s">
        <v>824</v>
      </c>
      <c r="G22" s="8"/>
      <c r="H22" s="28"/>
    </row>
    <row r="23" customFormat="false" ht="15" hidden="false" customHeight="false" outlineLevel="0" collapsed="false">
      <c r="A23" s="31"/>
      <c r="B23" s="24" t="s">
        <v>800</v>
      </c>
      <c r="C23" s="32" t="n">
        <v>4015</v>
      </c>
      <c r="D23" s="30"/>
      <c r="E23" s="33" t="n">
        <f aca="false">SUM(E14:E22)</f>
        <v>-4015</v>
      </c>
      <c r="F23" s="11" t="s">
        <v>825</v>
      </c>
      <c r="G23" s="11"/>
      <c r="H23" s="31"/>
    </row>
  </sheetData>
  <mergeCells count="4">
    <mergeCell ref="A1:H1"/>
    <mergeCell ref="A2:H2"/>
    <mergeCell ref="A4:H4"/>
    <mergeCell ref="A12:H1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8B3E"/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15" min="4" style="0" width="10"/>
  </cols>
  <sheetData>
    <row r="1" customFormat="false" ht="34.5" hidden="false" customHeight="true" outlineLevel="0" collapsed="false">
      <c r="A1" s="1" t="s">
        <v>826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7.75" hidden="false" customHeight="true" outlineLevel="0" collapsed="false">
      <c r="A3" s="16"/>
      <c r="B3" s="16" t="s">
        <v>827</v>
      </c>
      <c r="C3" s="16" t="s">
        <v>279</v>
      </c>
      <c r="D3" s="16" t="s">
        <v>828</v>
      </c>
      <c r="E3" s="16" t="s">
        <v>829</v>
      </c>
      <c r="F3" s="16" t="s">
        <v>830</v>
      </c>
      <c r="G3" s="16" t="s">
        <v>831</v>
      </c>
      <c r="H3" s="16" t="s">
        <v>832</v>
      </c>
      <c r="I3" s="16" t="s">
        <v>833</v>
      </c>
      <c r="J3" s="16" t="s">
        <v>834</v>
      </c>
      <c r="K3" s="16" t="s">
        <v>835</v>
      </c>
      <c r="L3" s="16" t="s">
        <v>836</v>
      </c>
      <c r="M3" s="16" t="s">
        <v>837</v>
      </c>
      <c r="N3" s="16" t="s">
        <v>838</v>
      </c>
      <c r="O3" s="16" t="s">
        <v>839</v>
      </c>
    </row>
    <row r="4" customFormat="false" ht="30" hidden="false" customHeight="true" outlineLevel="0" collapsed="false">
      <c r="A4" s="28"/>
      <c r="B4" s="22" t="s">
        <v>840</v>
      </c>
      <c r="C4" s="8" t="s">
        <v>284</v>
      </c>
      <c r="D4" s="34" t="s">
        <v>841</v>
      </c>
      <c r="E4" s="34" t="s">
        <v>841</v>
      </c>
      <c r="F4" s="34" t="s">
        <v>841</v>
      </c>
      <c r="G4" s="34" t="s">
        <v>841</v>
      </c>
      <c r="H4" s="34" t="s">
        <v>841</v>
      </c>
      <c r="I4" s="34" t="s">
        <v>841</v>
      </c>
      <c r="J4" s="34" t="s">
        <v>841</v>
      </c>
      <c r="K4" s="34" t="s">
        <v>841</v>
      </c>
      <c r="L4" s="34" t="s">
        <v>841</v>
      </c>
      <c r="M4" s="34" t="s">
        <v>841</v>
      </c>
      <c r="N4" s="34" t="s">
        <v>841</v>
      </c>
      <c r="O4" s="34" t="s">
        <v>841</v>
      </c>
    </row>
    <row r="5" customFormat="false" ht="30" hidden="false" customHeight="true" outlineLevel="0" collapsed="false">
      <c r="A5" s="31"/>
      <c r="B5" s="24" t="s">
        <v>842</v>
      </c>
      <c r="C5" s="11" t="s">
        <v>843</v>
      </c>
      <c r="D5" s="34" t="s">
        <v>841</v>
      </c>
      <c r="E5" s="34" t="s">
        <v>841</v>
      </c>
      <c r="F5" s="34" t="s">
        <v>841</v>
      </c>
      <c r="G5" s="34" t="s">
        <v>841</v>
      </c>
      <c r="H5" s="34" t="s">
        <v>841</v>
      </c>
      <c r="I5" s="34" t="s">
        <v>841</v>
      </c>
      <c r="J5" s="34" t="s">
        <v>841</v>
      </c>
      <c r="K5" s="34" t="s">
        <v>841</v>
      </c>
      <c r="L5" s="34" t="s">
        <v>841</v>
      </c>
      <c r="M5" s="34" t="s">
        <v>841</v>
      </c>
      <c r="N5" s="34" t="s">
        <v>841</v>
      </c>
      <c r="O5" s="34" t="s">
        <v>841</v>
      </c>
    </row>
    <row r="6" customFormat="false" ht="30" hidden="false" customHeight="true" outlineLevel="0" collapsed="false">
      <c r="A6" s="28"/>
      <c r="B6" s="22" t="s">
        <v>844</v>
      </c>
      <c r="C6" s="8" t="s">
        <v>845</v>
      </c>
      <c r="D6" s="34" t="s">
        <v>841</v>
      </c>
      <c r="E6" s="34" t="s">
        <v>841</v>
      </c>
      <c r="F6" s="34" t="s">
        <v>841</v>
      </c>
      <c r="G6" s="34" t="s">
        <v>841</v>
      </c>
      <c r="H6" s="34" t="s">
        <v>841</v>
      </c>
      <c r="I6" s="34" t="s">
        <v>841</v>
      </c>
      <c r="J6" s="34" t="s">
        <v>841</v>
      </c>
      <c r="K6" s="34" t="s">
        <v>841</v>
      </c>
      <c r="L6" s="34" t="s">
        <v>841</v>
      </c>
      <c r="M6" s="34" t="s">
        <v>841</v>
      </c>
      <c r="N6" s="34" t="s">
        <v>841</v>
      </c>
      <c r="O6" s="34" t="s">
        <v>841</v>
      </c>
    </row>
    <row r="7" customFormat="false" ht="30" hidden="false" customHeight="true" outlineLevel="0" collapsed="false">
      <c r="A7" s="31"/>
      <c r="B7" s="24" t="s">
        <v>846</v>
      </c>
      <c r="C7" s="11" t="s">
        <v>308</v>
      </c>
      <c r="D7" s="35"/>
      <c r="E7" s="34" t="s">
        <v>841</v>
      </c>
      <c r="F7" s="34" t="s">
        <v>841</v>
      </c>
      <c r="G7" s="35"/>
      <c r="H7" s="35"/>
      <c r="I7" s="35"/>
      <c r="J7" s="35"/>
      <c r="K7" s="35"/>
      <c r="L7" s="35"/>
      <c r="M7" s="35"/>
      <c r="N7" s="35"/>
      <c r="O7" s="35"/>
    </row>
    <row r="8" customFormat="false" ht="30" hidden="false" customHeight="true" outlineLevel="0" collapsed="false">
      <c r="A8" s="28"/>
      <c r="B8" s="22" t="s">
        <v>847</v>
      </c>
      <c r="C8" s="8" t="s">
        <v>284</v>
      </c>
      <c r="D8" s="34" t="s">
        <v>841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customFormat="false" ht="30" hidden="false" customHeight="true" outlineLevel="0" collapsed="false">
      <c r="A9" s="31"/>
      <c r="B9" s="24" t="s">
        <v>848</v>
      </c>
      <c r="C9" s="11" t="s">
        <v>284</v>
      </c>
      <c r="D9" s="35"/>
      <c r="E9" s="34" t="s">
        <v>841</v>
      </c>
      <c r="F9" s="34" t="s">
        <v>841</v>
      </c>
      <c r="G9" s="35"/>
      <c r="H9" s="35"/>
      <c r="I9" s="35"/>
      <c r="J9" s="35"/>
      <c r="K9" s="35"/>
      <c r="L9" s="35"/>
      <c r="M9" s="35"/>
      <c r="N9" s="35"/>
      <c r="O9" s="35"/>
    </row>
    <row r="10" customFormat="false" ht="30" hidden="false" customHeight="true" outlineLevel="0" collapsed="false">
      <c r="A10" s="28"/>
      <c r="B10" s="22" t="s">
        <v>849</v>
      </c>
      <c r="C10" s="8" t="s">
        <v>850</v>
      </c>
      <c r="D10" s="36"/>
      <c r="E10" s="36"/>
      <c r="F10" s="34" t="s">
        <v>841</v>
      </c>
      <c r="G10" s="36"/>
      <c r="H10" s="36"/>
      <c r="I10" s="36"/>
      <c r="J10" s="36"/>
      <c r="K10" s="36"/>
      <c r="L10" s="36"/>
      <c r="M10" s="36"/>
      <c r="N10" s="36"/>
      <c r="O10" s="36"/>
    </row>
    <row r="11" customFormat="false" ht="30" hidden="false" customHeight="true" outlineLevel="0" collapsed="false">
      <c r="A11" s="31"/>
      <c r="B11" s="24" t="s">
        <v>851</v>
      </c>
      <c r="C11" s="11" t="s">
        <v>308</v>
      </c>
      <c r="D11" s="35"/>
      <c r="E11" s="35"/>
      <c r="F11" s="35"/>
      <c r="G11" s="34" t="s">
        <v>841</v>
      </c>
      <c r="H11" s="35"/>
      <c r="I11" s="35"/>
      <c r="J11" s="35"/>
      <c r="K11" s="35"/>
      <c r="L11" s="35"/>
      <c r="M11" s="35"/>
      <c r="N11" s="35"/>
      <c r="O11" s="35"/>
    </row>
    <row r="12" customFormat="false" ht="30" hidden="false" customHeight="true" outlineLevel="0" collapsed="false">
      <c r="A12" s="28"/>
      <c r="B12" s="22" t="s">
        <v>852</v>
      </c>
      <c r="C12" s="8" t="s">
        <v>284</v>
      </c>
      <c r="D12" s="36"/>
      <c r="E12" s="36"/>
      <c r="F12" s="36"/>
      <c r="G12" s="34" t="s">
        <v>841</v>
      </c>
      <c r="H12" s="34" t="s">
        <v>841</v>
      </c>
      <c r="I12" s="36"/>
      <c r="J12" s="36"/>
      <c r="K12" s="36"/>
      <c r="L12" s="36"/>
      <c r="M12" s="36"/>
      <c r="N12" s="36"/>
      <c r="O12" s="36"/>
    </row>
    <row r="13" customFormat="false" ht="30" hidden="false" customHeight="true" outlineLevel="0" collapsed="false">
      <c r="A13" s="31"/>
      <c r="B13" s="24" t="s">
        <v>853</v>
      </c>
      <c r="C13" s="11" t="s">
        <v>284</v>
      </c>
      <c r="D13" s="35"/>
      <c r="E13" s="35"/>
      <c r="F13" s="35"/>
      <c r="G13" s="35"/>
      <c r="H13" s="34" t="s">
        <v>841</v>
      </c>
      <c r="I13" s="35"/>
      <c r="J13" s="35"/>
      <c r="K13" s="35"/>
      <c r="L13" s="35"/>
      <c r="M13" s="35"/>
      <c r="N13" s="35"/>
      <c r="O13" s="35"/>
    </row>
    <row r="14" customFormat="false" ht="30" hidden="false" customHeight="true" outlineLevel="0" collapsed="false">
      <c r="A14" s="28"/>
      <c r="B14" s="22" t="s">
        <v>854</v>
      </c>
      <c r="C14" s="8" t="s">
        <v>284</v>
      </c>
      <c r="D14" s="36"/>
      <c r="E14" s="36"/>
      <c r="F14" s="36"/>
      <c r="G14" s="36"/>
      <c r="H14" s="36"/>
      <c r="I14" s="34" t="s">
        <v>841</v>
      </c>
      <c r="J14" s="36"/>
      <c r="K14" s="36"/>
      <c r="L14" s="36"/>
      <c r="M14" s="36"/>
      <c r="N14" s="36"/>
      <c r="O14" s="36"/>
    </row>
    <row r="15" customFormat="false" ht="30" hidden="false" customHeight="true" outlineLevel="0" collapsed="false">
      <c r="A15" s="31"/>
      <c r="B15" s="24" t="s">
        <v>855</v>
      </c>
      <c r="C15" s="11" t="s">
        <v>284</v>
      </c>
      <c r="D15" s="35"/>
      <c r="E15" s="35"/>
      <c r="F15" s="35"/>
      <c r="G15" s="35"/>
      <c r="H15" s="35"/>
      <c r="I15" s="34" t="s">
        <v>841</v>
      </c>
      <c r="J15" s="35"/>
      <c r="K15" s="35"/>
      <c r="L15" s="35"/>
      <c r="M15" s="35"/>
      <c r="N15" s="35"/>
      <c r="O15" s="35"/>
    </row>
    <row r="16" customFormat="false" ht="30" hidden="false" customHeight="true" outlineLevel="0" collapsed="false">
      <c r="A16" s="28"/>
      <c r="B16" s="22" t="s">
        <v>856</v>
      </c>
      <c r="C16" s="8" t="s">
        <v>284</v>
      </c>
      <c r="D16" s="36"/>
      <c r="E16" s="36"/>
      <c r="F16" s="36"/>
      <c r="G16" s="36"/>
      <c r="H16" s="36"/>
      <c r="I16" s="36"/>
      <c r="J16" s="34" t="s">
        <v>841</v>
      </c>
      <c r="K16" s="34" t="s">
        <v>841</v>
      </c>
      <c r="L16" s="36"/>
      <c r="M16" s="36"/>
      <c r="N16" s="36"/>
      <c r="O16" s="36"/>
    </row>
    <row r="17" customFormat="false" ht="30" hidden="false" customHeight="true" outlineLevel="0" collapsed="false">
      <c r="A17" s="31"/>
      <c r="B17" s="24" t="s">
        <v>857</v>
      </c>
      <c r="C17" s="11" t="s">
        <v>850</v>
      </c>
      <c r="D17" s="35"/>
      <c r="E17" s="35"/>
      <c r="F17" s="35"/>
      <c r="G17" s="35"/>
      <c r="H17" s="35"/>
      <c r="I17" s="35"/>
      <c r="J17" s="35"/>
      <c r="K17" s="35"/>
      <c r="L17" s="34" t="s">
        <v>841</v>
      </c>
      <c r="M17" s="35"/>
      <c r="N17" s="35"/>
      <c r="O17" s="35"/>
    </row>
    <row r="18" customFormat="false" ht="30" hidden="false" customHeight="true" outlineLevel="0" collapsed="false">
      <c r="A18" s="28"/>
      <c r="B18" s="22" t="s">
        <v>858</v>
      </c>
      <c r="C18" s="8" t="s">
        <v>284</v>
      </c>
      <c r="D18" s="36"/>
      <c r="E18" s="36"/>
      <c r="F18" s="36"/>
      <c r="G18" s="36"/>
      <c r="H18" s="36"/>
      <c r="I18" s="36"/>
      <c r="J18" s="36"/>
      <c r="K18" s="34" t="s">
        <v>841</v>
      </c>
      <c r="L18" s="36"/>
      <c r="M18" s="36"/>
      <c r="N18" s="36"/>
      <c r="O18" s="36"/>
    </row>
    <row r="19" customFormat="false" ht="30" hidden="false" customHeight="true" outlineLevel="0" collapsed="false">
      <c r="A19" s="31"/>
      <c r="B19" s="24" t="s">
        <v>859</v>
      </c>
      <c r="C19" s="11" t="s">
        <v>308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4" t="s">
        <v>841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22"/>
  </cols>
  <sheetData>
    <row r="1" customFormat="false" ht="34.5" hidden="false" customHeight="true" outlineLevel="0" collapsed="false">
      <c r="A1" s="1" t="s">
        <v>860</v>
      </c>
      <c r="B1" s="1"/>
      <c r="C1" s="1"/>
      <c r="D1" s="1"/>
      <c r="E1" s="1"/>
      <c r="F1" s="1"/>
      <c r="G1" s="1"/>
    </row>
    <row r="3" customFormat="false" ht="27.75" hidden="false" customHeight="true" outlineLevel="0" collapsed="false">
      <c r="A3" s="16"/>
      <c r="B3" s="16" t="s">
        <v>861</v>
      </c>
      <c r="C3" s="16" t="s">
        <v>862</v>
      </c>
      <c r="D3" s="16" t="s">
        <v>863</v>
      </c>
      <c r="E3" s="16" t="s">
        <v>864</v>
      </c>
      <c r="F3" s="16" t="s">
        <v>865</v>
      </c>
      <c r="G3" s="16" t="s">
        <v>71</v>
      </c>
    </row>
    <row r="4" customFormat="false" ht="23.85" hidden="false" customHeight="false" outlineLevel="0" collapsed="false">
      <c r="A4" s="28"/>
      <c r="B4" s="22" t="s">
        <v>866</v>
      </c>
      <c r="C4" s="37" t="s">
        <v>286</v>
      </c>
      <c r="D4" s="37" t="s">
        <v>310</v>
      </c>
      <c r="E4" s="37" t="s">
        <v>867</v>
      </c>
      <c r="F4" s="21" t="s">
        <v>868</v>
      </c>
      <c r="G4" s="38"/>
    </row>
    <row r="5" customFormat="false" ht="23.85" hidden="false" customHeight="false" outlineLevel="0" collapsed="false">
      <c r="A5" s="31"/>
      <c r="B5" s="24" t="s">
        <v>869</v>
      </c>
      <c r="C5" s="39" t="s">
        <v>870</v>
      </c>
      <c r="D5" s="39" t="s">
        <v>871</v>
      </c>
      <c r="E5" s="39" t="s">
        <v>872</v>
      </c>
      <c r="F5" s="23" t="s">
        <v>873</v>
      </c>
      <c r="G5" s="38"/>
    </row>
    <row r="6" customFormat="false" ht="23.85" hidden="false" customHeight="false" outlineLevel="0" collapsed="false">
      <c r="A6" s="28"/>
      <c r="B6" s="22" t="s">
        <v>874</v>
      </c>
      <c r="C6" s="37" t="s">
        <v>540</v>
      </c>
      <c r="D6" s="37" t="s">
        <v>875</v>
      </c>
      <c r="E6" s="37" t="s">
        <v>876</v>
      </c>
      <c r="F6" s="21" t="s">
        <v>877</v>
      </c>
      <c r="G6" s="38"/>
    </row>
    <row r="7" customFormat="false" ht="15" hidden="false" customHeight="false" outlineLevel="0" collapsed="false">
      <c r="A7" s="31"/>
      <c r="B7" s="24" t="s">
        <v>878</v>
      </c>
      <c r="C7" s="39" t="s">
        <v>879</v>
      </c>
      <c r="D7" s="39" t="s">
        <v>880</v>
      </c>
      <c r="E7" s="39" t="s">
        <v>881</v>
      </c>
      <c r="F7" s="23" t="s">
        <v>877</v>
      </c>
      <c r="G7" s="38"/>
    </row>
    <row r="8" customFormat="false" ht="23.85" hidden="false" customHeight="false" outlineLevel="0" collapsed="false">
      <c r="A8" s="28"/>
      <c r="B8" s="22" t="s">
        <v>882</v>
      </c>
      <c r="C8" s="37" t="s">
        <v>879</v>
      </c>
      <c r="D8" s="37" t="s">
        <v>286</v>
      </c>
      <c r="E8" s="37" t="s">
        <v>298</v>
      </c>
      <c r="F8" s="21" t="s">
        <v>883</v>
      </c>
      <c r="G8" s="38"/>
    </row>
    <row r="9" customFormat="false" ht="23.85" hidden="false" customHeight="false" outlineLevel="0" collapsed="false">
      <c r="A9" s="31"/>
      <c r="B9" s="24" t="s">
        <v>884</v>
      </c>
      <c r="C9" s="39" t="s">
        <v>879</v>
      </c>
      <c r="D9" s="39" t="s">
        <v>280</v>
      </c>
      <c r="E9" s="39" t="s">
        <v>286</v>
      </c>
      <c r="F9" s="23" t="s">
        <v>883</v>
      </c>
      <c r="G9" s="38"/>
    </row>
    <row r="10" customFormat="false" ht="23.85" hidden="false" customHeight="false" outlineLevel="0" collapsed="false">
      <c r="A10" s="28"/>
      <c r="B10" s="22" t="s">
        <v>885</v>
      </c>
      <c r="C10" s="37" t="s">
        <v>879</v>
      </c>
      <c r="D10" s="37" t="s">
        <v>540</v>
      </c>
      <c r="E10" s="37" t="s">
        <v>886</v>
      </c>
      <c r="F10" s="21" t="s">
        <v>551</v>
      </c>
      <c r="G10" s="38"/>
    </row>
    <row r="11" customFormat="false" ht="23.85" hidden="false" customHeight="false" outlineLevel="0" collapsed="false">
      <c r="A11" s="31"/>
      <c r="B11" s="24" t="s">
        <v>887</v>
      </c>
      <c r="C11" s="39" t="s">
        <v>888</v>
      </c>
      <c r="D11" s="39" t="s">
        <v>889</v>
      </c>
      <c r="E11" s="39" t="s">
        <v>889</v>
      </c>
      <c r="F11" s="23" t="s">
        <v>890</v>
      </c>
      <c r="G11" s="38"/>
    </row>
    <row r="12" customFormat="false" ht="23.85" hidden="false" customHeight="false" outlineLevel="0" collapsed="false">
      <c r="A12" s="28"/>
      <c r="B12" s="22" t="s">
        <v>891</v>
      </c>
      <c r="C12" s="37" t="s">
        <v>888</v>
      </c>
      <c r="D12" s="37" t="s">
        <v>892</v>
      </c>
      <c r="E12" s="37" t="s">
        <v>892</v>
      </c>
      <c r="F12" s="21" t="s">
        <v>893</v>
      </c>
      <c r="G12" s="38"/>
    </row>
    <row r="13" customFormat="false" ht="15" hidden="false" customHeight="false" outlineLevel="0" collapsed="false">
      <c r="A13" s="31"/>
      <c r="B13" s="24" t="s">
        <v>894</v>
      </c>
      <c r="C13" s="39" t="s">
        <v>888</v>
      </c>
      <c r="D13" s="39" t="s">
        <v>895</v>
      </c>
      <c r="E13" s="39" t="s">
        <v>896</v>
      </c>
      <c r="F13" s="23" t="s">
        <v>893</v>
      </c>
      <c r="G13" s="38"/>
    </row>
    <row r="14" customFormat="false" ht="15" hidden="false" customHeight="false" outlineLevel="0" collapsed="false">
      <c r="A14" s="28"/>
      <c r="B14" s="22" t="s">
        <v>897</v>
      </c>
      <c r="C14" s="37" t="s">
        <v>888</v>
      </c>
      <c r="D14" s="37" t="s">
        <v>898</v>
      </c>
      <c r="E14" s="37" t="s">
        <v>899</v>
      </c>
      <c r="F14" s="21" t="s">
        <v>893</v>
      </c>
      <c r="G14" s="38"/>
    </row>
    <row r="15" customFormat="false" ht="23.85" hidden="false" customHeight="false" outlineLevel="0" collapsed="false">
      <c r="A15" s="31"/>
      <c r="B15" s="24" t="s">
        <v>900</v>
      </c>
      <c r="C15" s="39" t="s">
        <v>504</v>
      </c>
      <c r="D15" s="39" t="s">
        <v>901</v>
      </c>
      <c r="E15" s="39" t="s">
        <v>207</v>
      </c>
      <c r="F15" s="23" t="s">
        <v>877</v>
      </c>
      <c r="G15" s="38"/>
    </row>
    <row r="16" customFormat="false" ht="23.85" hidden="false" customHeight="false" outlineLevel="0" collapsed="false">
      <c r="A16" s="28"/>
      <c r="B16" s="22" t="s">
        <v>902</v>
      </c>
      <c r="C16" s="37" t="s">
        <v>879</v>
      </c>
      <c r="D16" s="37" t="s">
        <v>879</v>
      </c>
      <c r="E16" s="37" t="s">
        <v>280</v>
      </c>
      <c r="F16" s="21" t="s">
        <v>883</v>
      </c>
      <c r="G16" s="38"/>
    </row>
    <row r="17" customFormat="false" ht="15" hidden="false" customHeight="false" outlineLevel="0" collapsed="false">
      <c r="A17" s="31"/>
      <c r="B17" s="24" t="s">
        <v>903</v>
      </c>
      <c r="C17" s="39" t="s">
        <v>879</v>
      </c>
      <c r="D17" s="39" t="s">
        <v>280</v>
      </c>
      <c r="E17" s="39" t="s">
        <v>286</v>
      </c>
      <c r="F17" s="23" t="s">
        <v>883</v>
      </c>
      <c r="G17" s="38"/>
    </row>
    <row r="18" customFormat="false" ht="15" hidden="false" customHeight="false" outlineLevel="0" collapsed="false">
      <c r="A18" s="28"/>
      <c r="B18" s="22" t="s">
        <v>904</v>
      </c>
      <c r="C18" s="37" t="s">
        <v>905</v>
      </c>
      <c r="D18" s="37" t="s">
        <v>906</v>
      </c>
      <c r="E18" s="37" t="s">
        <v>907</v>
      </c>
      <c r="F18" s="21" t="s">
        <v>908</v>
      </c>
      <c r="G18" s="38"/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G4:G18" type="list">
      <formula1>"✅ أخضر,⚠️ أصفر,❌ أحمر,—"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&amp;CKAYAN INNOVATION LLC | KAY-ACD-SYS-011</oddHeader>
    <oddFooter>&amp;Cسري — CONFIDENTIAL | 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2026-02-23T22:05:00Z</dcterms:created>
  <dc:creator>openpyxl</dc:creator>
  <dc:description/>
  <dc:language>en-US</dc:language>
  <cp:lastModifiedBy/>
  <dcterms:modified xsi:type="dcterms:W3CDTF">2026-02-23T22:05:00Z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