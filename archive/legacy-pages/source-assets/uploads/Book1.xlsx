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er Farea\Documents\New folder\"/>
    </mc:Choice>
  </mc:AlternateContent>
  <xr:revisionPtr revIDLastSave="0" documentId="8_{D16D23E6-2F8C-4477-BF77-C04C65244270}" xr6:coauthVersionLast="47" xr6:coauthVersionMax="47" xr10:uidLastSave="{00000000-0000-0000-0000-000000000000}"/>
  <bookViews>
    <workbookView xWindow="-108" yWindow="-108" windowWidth="23256" windowHeight="12456" xr2:uid="{CF7DBD4C-305E-42D5-933E-A4A0BB5CB39E}"/>
  </bookViews>
  <sheets>
    <sheet name="02_Idea_Register" sheetId="10" r:id="rId1"/>
    <sheet name="12_Ideas_Bank" sheetId="9" r:id="rId2"/>
    <sheet name="10_Value_Propositions" sheetId="8" r:id="rId3"/>
    <sheet name="09_CSR_Programmes" sheetId="7" r:id="rId4"/>
    <sheet name="08_Partnership_Pipeline" sheetId="6" r:id="rId5"/>
    <sheet name="07_Stakeholder_Registry" sheetId="5" r:id="rId6"/>
    <sheet name="05_Product_Master" sheetId="4" r:id="rId7"/>
    <sheet name="17_Launch_Digital_Build" sheetId="3" r:id="rId8"/>
    <sheet name="14_Operating_Model" sheetId="2" r:id="rId9"/>
    <sheet name="10_Language_Bank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7" l="1"/>
  <c r="F10" i="7"/>
  <c r="E10" i="7"/>
  <c r="H12" i="6"/>
  <c r="G12" i="6"/>
  <c r="F12" i="6"/>
  <c r="E12" i="6"/>
  <c r="D12" i="6"/>
  <c r="C12" i="6"/>
  <c r="B12" i="6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B25" i="2"/>
  <c r="D3" i="2"/>
  <c r="B20" i="2" s="1"/>
  <c r="B21" i="2" l="1"/>
  <c r="B24" i="2" s="1"/>
  <c r="B26" i="2" s="1"/>
  <c r="B22" i="2"/>
  <c r="B23" i="2"/>
  <c r="B28" i="2" l="1"/>
  <c r="B27" i="2"/>
</calcChain>
</file>

<file path=xl/sharedStrings.xml><?xml version="1.0" encoding="utf-8"?>
<sst xmlns="http://schemas.openxmlformats.org/spreadsheetml/2006/main" count="1422" uniqueCount="1039">
  <si>
    <t>Final #2/#5</t>
  </si>
  <si>
    <t>Kjøller email (AR = counsel)</t>
  </si>
  <si>
    <t>«تحويل المواهب المُغفَلة في الأسواق الصعبة إلى تسليمٍ موثوقٍ قائمٍ على النتائج»</t>
  </si>
  <si>
    <t>Converting overlooked talent in difficult markets into reliable, outcome-based delivery.</t>
  </si>
  <si>
    <t>LB-46</t>
  </si>
  <si>
    <t>Final #5 investor narrative</t>
  </si>
  <si>
    <t>Kjøller email (external validation — quotable w/ consent)</t>
  </si>
  <si>
    <t>«الانتقال من الملفّات الشخصية إلى التنفيذ الموثّق»</t>
  </si>
  <si>
    <t>The shift from profiles to verified execution.</t>
  </si>
  <si>
    <t>LB-45</t>
  </si>
  <si>
    <t>Final #12 / governance voice — the review doctrine</t>
  </si>
  <si>
    <t>Method card (AR = counsel)</t>
  </si>
  <si>
    <t>«خمسة مستشارين. خمس زوايا عمياء. حقيقة واحدة»</t>
  </si>
  <si>
    <t>Five advisors. Five blind spots. One truth.</t>
  </si>
  <si>
    <t>LB-44</t>
  </si>
  <si>
    <t>Final #4/#5 — the phasing thesis in the founder’s own voice</t>
  </si>
  <si>
    <t>Founder’s Kjøller letter (AR = counsel)</t>
  </si>
  <si>
    <t>«ندير كيان كي لا نضطر إلى إكمال المنصة كلها قبل أن نكسب»</t>
  </si>
  <si>
    <t>We’re running Kayan so we don’t have to finish the whole platform before we earn.</t>
  </si>
  <si>
    <t>LB-43</t>
  </si>
  <si>
    <t>The Mark/credential register — cards, certificates, seals</t>
  </si>
  <si>
    <t>Business card (verbatim)</t>
  </si>
  <si>
    <t>«التنفيذ، موثّق»</t>
  </si>
  <si>
    <t>Execution, verified.</t>
  </si>
  <si>
    <t>LB-42</t>
  </si>
  <si>
    <t>Final #10/#11 audit voice</t>
  </si>
  <si>
    <t>MD-FRM-001 (AR = counsel)</t>
  </si>
  <si>
    <t>«كل نموذج يحوّل ضابطاً مكتوباً إلى أثرٍ ماديّ من الأدلة»</t>
  </si>
  <si>
    <t>Each form turns a written control into a physical artifact of evidence.</t>
  </si>
  <si>
    <t>LB-41</t>
  </si>
  <si>
    <t>Authority engagement; K4Y</t>
  </si>
  <si>
    <t>OBJ-001 (verbatim AR adapted)</t>
  </si>
  <si>
    <t>«راقبوا عملاً صغيراً — ترونه وقد تمّ، ثمّ تقرّرون»</t>
  </si>
  <si>
    <t>Watch one small act — you see it done, then you decide.</t>
  </si>
  <si>
    <t>LB-40</t>
  </si>
  <si>
    <t>The channel north star</t>
  </si>
  <si>
    <t>WA-002 (verbatim AR)</t>
  </si>
  <si>
    <t>«حين يحتاج أحدٌ في عدن عملاً متقناً، فأوّل ما يفعله أن يراسل كيان»</t>
  </si>
  <si>
    <t>When someone in Aden needs work done right, the first thing they do is message Kayan.</t>
  </si>
  <si>
    <t>LB-39</t>
  </si>
  <si>
    <t>Launch + ops doctrine</t>
  </si>
  <si>
    <t>GTM-001 (AR = counsel)</t>
  </si>
  <si>
    <t>«أجِّل العنصر، لا المعايير»</t>
  </si>
  <si>
    <t>Defer the element, never the standards.</t>
  </si>
  <si>
    <t>LB-38</t>
  </si>
  <si>
    <t>Governance voice; Final #10</t>
  </si>
  <si>
    <t>«الجاهزية قائمة تحقّق، لا شعور»</t>
  </si>
  <si>
    <t>Readiness is a checklist, not a feeling.</t>
  </si>
  <si>
    <t>LB-37</t>
  </si>
  <si>
    <t>THE escrow substitute — script-exact, never paraphrased</t>
  </si>
  <si>
    <t>WA-002 script 04 (verbatim AR)</t>
  </si>
  <si>
    <t>«دفعتك محمية حتى تستلم العمل وترضى عنه»</t>
  </si>
  <si>
    <t>Your payment is protected until you receive the work and are happy with it.</t>
  </si>
  <si>
    <t>LB-36</t>
  </si>
  <si>
    <t>Inclusion sections everywhere</t>
  </si>
  <si>
    <t>TAL-001 (verbatim AR adapted)</t>
  </si>
  <si>
    <t>«الباب مفتوحٌ بالعرض نفسه للجميع»</t>
  </si>
  <si>
    <t>The door is one width for everyone.</t>
  </si>
  <si>
    <t>LB-35</t>
  </si>
  <si>
    <t>Donor risk reframe</t>
  </si>
  <si>
    <t>OBJ-001 (verbatim AR)</t>
  </si>
  <si>
    <t>«والمخاطرة الأكبر أن يبقى جيلٌ بلا طريق»</t>
  </si>
  <si>
    <t>The greater risk is a generation left without a path.</t>
  </si>
  <si>
    <t>LB-34</t>
  </si>
  <si>
    <t>Donor materials</t>
  </si>
  <si>
    <t>OBJ-001 (AR = counsel polish)</t>
  </si>
  <si>
    <t>«الفرق يصلك تقريراً، لا وعداً»</t>
  </si>
  <si>
    <t>The difference arrives as a report, not a promise.</t>
  </si>
  <si>
    <t>LB-33</t>
  </si>
  <si>
    <t>Universal de-risking close</t>
  </si>
  <si>
    <t>«ابدأ بمشروعٍ صغير، واحكم علينا بالنتيجة»</t>
  </si>
  <si>
    <t>Start with a small project, and judge us by the result.</t>
  </si>
  <si>
    <t>LB-32</t>
  </si>
  <si>
    <t>Client objections; Final #3/#9</t>
  </si>
  <si>
    <t>OBJ-001 (verbatim AR — authored)</t>
  </si>
  <si>
    <t>«أن نكون من اليمن قوّتنا لا عذرنا؛ هنا تعلّمنا أن نكون موثوقين حين تصعُب الموثوقية»</t>
  </si>
  <si>
    <t>Being from Yemen is our strength, not our excuse: here we learned to be reliable when reliability is hard.</t>
  </si>
  <si>
    <t>LB-31</t>
  </si>
  <si>
    <t>Cohort criteria</t>
  </si>
  <si>
    <t>05_ Civic Profile (AR = counsel)</t>
  </si>
  <si>
    <t>«الاختيار بالقدرة، لا بالفئة»</t>
  </si>
  <si>
    <t>Selection by capability, not by category.</t>
  </si>
  <si>
    <t>LB-30</t>
  </si>
  <si>
    <t>Governance voice</t>
  </si>
  <si>
    <t>KAY-CIV-004</t>
  </si>
  <si>
    <t>«الموقف المدني ليس خصماً من المعيار التشغيلي»</t>
  </si>
  <si>
    <t>Civic posture is not a discount on operational standard.</t>
  </si>
  <si>
    <t>LB-29</t>
  </si>
  <si>
    <t>K4Y signature</t>
  </si>
  <si>
    <t>05_ Civic Profile</t>
  </si>
  <si>
    <t>«من عدن، لعدن»</t>
  </si>
  <si>
    <t>From Aden, for Aden.</t>
  </si>
  <si>
    <t>LB-28</t>
  </si>
  <si>
    <t>Civic close</t>
  </si>
  <si>
    <t>KAYEXTCivic_EN (AR = counsel)</t>
  </si>
  <si>
    <t>«الأنظمة التي بنيناها للتجارة، نَدين بها للوطن الذي جعلها ضرورة»</t>
  </si>
  <si>
    <t>The systems we built for commerce, we owe to the country that made them necessary.</t>
  </si>
  <si>
    <t>LB-27</t>
  </si>
  <si>
    <t>Final #7 thesis line</t>
  </si>
  <si>
    <t>«الخطوط التجارية تُديم الرسالة المدنية، والرسالة المدنية تُبقي المؤسسة صادقةً مع سبب وجودها»</t>
  </si>
  <si>
    <t>The commercial lines sustain the civic mission, and the civic mission keeps the institution honest about why it exists.</t>
  </si>
  <si>
    <t>LB-26</t>
  </si>
  <si>
    <t>Impact reporting voice law</t>
  </si>
  <si>
    <t>«بالاسم والرقم — لا بالشفقة»</t>
  </si>
  <si>
    <t>By name and number — never pity.</t>
  </si>
  <si>
    <t>LB-25</t>
  </si>
  <si>
    <t>K4Y everywhere</t>
  </si>
  <si>
    <t>«ليست صدقة، بل طريق»</t>
  </si>
  <si>
    <t>Not charity, but a path.</t>
  </si>
  <si>
    <t>LB-24</t>
  </si>
  <si>
    <t>Civic + Platform-horizon materials</t>
  </si>
  <si>
    <t>«الموهبة لا تعرف جغرافيا»</t>
  </si>
  <si>
    <t>Talent has no geography.</t>
  </si>
  <si>
    <t>LB-23</t>
  </si>
  <si>
    <t>Forge &amp; donor narratives</t>
  </si>
  <si>
    <t>Partnership Proposal (AR = counsel, polish)</t>
  </si>
  <si>
    <t>«عملٌ حقيقي لعملاء حقيقيين بأجرٍ حقيقي وسجلات حقيقية — لا امتداداتِ تدريبٍ متنكّرةً في هيئة عمل»</t>
  </si>
  <si>
    <t>Real client work, real pay, real records — not training extensions disguised as work.</t>
  </si>
  <si>
    <t>LB-22</t>
  </si>
  <si>
    <t>Government engagements</t>
  </si>
  <si>
    <t>EXT-PARTNER-001 (AR = counsel, polish)</t>
  </si>
  <si>
    <t>«تأييدكم يفتح النموذج؛ والكلفة علينا نحملها»</t>
  </si>
  <si>
    <t>Your endorsement unlocks the model; the cost is ours to bear.</t>
  </si>
  <si>
    <t>LB-21</t>
  </si>
  <si>
    <t>INGO sales; Final #8/#9</t>
  </si>
  <si>
    <t>«جاهزة للتسعير ضمن قاعدة العروض الثلاثة لديكم — من اليوم الأول»</t>
  </si>
  <si>
    <t>Quote-ready for your three-quote procurement rule, on day one.</t>
  </si>
  <si>
    <t>LB-20</t>
  </si>
  <si>
    <t>Every donor document; Final #6/#8</t>
  </si>
  <si>
    <t>«نسبة الاستيعاب — حصة الخريجين الذين دخلوا عملاً موثَّقاً مدفوعاً متعاقداً عليه. المؤشر الذي افتقده القطاع»</t>
  </si>
  <si>
    <t>The absorption ratio — the share of graduates who entered recorded, paid, contracted work. The metric the sector has lacked.</t>
  </si>
  <si>
    <t>LB-19</t>
  </si>
  <si>
    <t>Ops docs, client assurance</t>
  </si>
  <si>
    <t>KAY-OPS-MD-001 (AR = counsel, polish)</t>
  </si>
  <si>
    <t>«الجودة ليست قسماً — إنها الشركة»</t>
  </si>
  <si>
    <t>Quality is not a department. It is the company.</t>
  </si>
  <si>
    <t>LB-18</t>
  </si>
  <si>
    <t>The ONLY external tier vocabulary</t>
  </si>
  <si>
    <t>DIV-14 ruling (Narrative names)</t>
  </si>
  <si>
    <t>«مُسجَّل · موثَّق الهوية · مُختبَر المهارات · مُثبَت المشاريع · خبير موثوق»</t>
  </si>
  <si>
    <t>Trust Ladder public names: Registered · ID-Verified · Skill-Tested · Project-Proven · Trusted Expert</t>
  </si>
  <si>
    <t>LB-17</t>
  </si>
  <si>
    <t>Sales doctrine, Final #9</t>
  </si>
  <si>
    <t>Ready Products Catalogue (AR = counsel, polish)</t>
  </si>
  <si>
    <t>«أول منتجٍ مكتمل نادراً ما يكون لأجل رسومه — إنه سجل التسليم الموثَّق الذي يكسب التكليف التالي»</t>
  </si>
  <si>
    <t>The first completed product is rarely about its fee; it is the verified delivery record that earns the next.</t>
  </si>
  <si>
    <t>LB-16</t>
  </si>
  <si>
    <t>Forge positioning</t>
  </si>
  <si>
    <t>Gen-1 catalog (Academy) — survives the rename</t>
  </si>
  <si>
    <t>«ندرّب الناس ليكسبوا، لا ليتعلّموا فقط»</t>
  </si>
  <si>
    <t>We train people to earn, not just to learn.</t>
  </si>
  <si>
    <t>LB-15</t>
  </si>
  <si>
    <t>K4Y, inclusion sections</t>
  </si>
  <si>
    <t>SPON pack (Every Ability)</t>
  </si>
  <si>
    <t>«لا نرى من لا يستطيع، بل نرى من يستطيع — ونبني الباب واسعاً بما يكفي ليعبره الجميع»</t>
  </si>
  <si>
    <t>We do not see who cannot; we see who can — and we build the door wide enough for everyone to walk through it.</t>
  </si>
  <si>
    <t>LB-14</t>
  </si>
  <si>
    <t>Client-facing money explanations</t>
  </si>
  <si>
    <t>DIV-27 re-ruled law (AR = counsel, polish)</t>
  </si>
  <si>
    <t>«كل مرحلة تُموَّل بالكامل في حساب الضمان قبل أن يبدأ عملها»</t>
  </si>
  <si>
    <t>Every milestone is fully funded in escrow before its work begins.</t>
  </si>
  <si>
    <t>LB-13</t>
  </si>
  <si>
    <t>Strategy docs, investor materials</t>
  </si>
  <si>
    <t>DIV-17 ruling formulation (AR = counsel, polish)</t>
  </si>
  <si>
    <t>«ليست سوقاً مفتوحة اليوم — السوق تُكتسَب، وستُبنى فوق خريطة المواهب الموثَّقة لا بديلاً عنها»</t>
  </si>
  <si>
    <t>Not a marketplace today — a marketplace is earned. It will be built on the Verified Talent Map, never instead of it.</t>
  </si>
  <si>
    <t>LB-12</t>
  </si>
  <si>
    <t>Impact reporting</t>
  </si>
  <si>
    <t>Social Impact Framework (AR = counsel, polish)</t>
  </si>
  <si>
    <t>«يُقاس ولا يُدّعى»</t>
  </si>
  <si>
    <t>Measured, not claimed.</t>
  </si>
  <si>
    <t>LB-11</t>
  </si>
  <si>
    <t>Sales, sell sheets</t>
  </si>
  <si>
    <t>Catalog/Playbook (AR from gen-1 catalog)</t>
  </si>
  <si>
    <t>«أنت لا تستأجر مستقلين — أنت تشتري نتائج»</t>
  </si>
  <si>
    <t>You do not hire freelancers. You buy outcomes.</t>
  </si>
  <si>
    <t>LB-10</t>
  </si>
  <si>
    <t>MD positioning</t>
  </si>
  <si>
    <t>«تنفيذٌ موثَّق»</t>
  </si>
  <si>
    <t>LB-09</t>
  </si>
  <si>
    <t>Donor narrative, ToC final</t>
  </si>
  <si>
    <t>Theory of Change (AR = counsel transcreation, to polish at drafting)</t>
  </si>
  <si>
    <t>«يموّل المانحون التدريب، ولا أحد يموّل الاستيعاب — كيان هي طبقة الاستيعاب»</t>
  </si>
  <si>
    <t>Donors fund the training; no one funds the absorption. Kayan is the absorption layer.</t>
  </si>
  <si>
    <t>LB-08</t>
  </si>
  <si>
    <t>Creative platform — all marketing</t>
  </si>
  <si>
    <t>Marketing Engine + Launch (AR in launch doc)</t>
  </si>
  <si>
    <t>«برهان لا وعود»</t>
  </si>
  <si>
    <t>Proof, not promises.</t>
  </si>
  <si>
    <t>LB-07</t>
  </si>
  <si>
    <t>Impact docs, donor decks</t>
  </si>
  <si>
    <t>Social Impact Framework</t>
  </si>
  <si>
    <t>«كيان لليمن هي ما تدين به كيان؛ والتنفيذ المُدار هو ما تبيعه»</t>
  </si>
  <si>
    <t>Kayan for Yemen is what Kayan owes; Managed Delivery is what Kayan sells.</t>
  </si>
  <si>
    <t>LB-06</t>
  </si>
  <si>
    <t>All external narrative</t>
  </si>
  <si>
    <t>Civic Plan + SPON pack</t>
  </si>
  <si>
    <t>«نتحدّث عن عدن بفخرٍ لا بشفقة — بُنينا حيث لا تكون الصلابة خياراً»</t>
  </si>
  <si>
    <t>We speak of Aden with pride, not pity — built where resilience is not optional.</t>
  </si>
  <si>
    <t>LB-05</t>
  </si>
  <si>
    <t>K4Y, government relations</t>
  </si>
  <si>
    <t>Civic Plan — Voice of Hope</t>
  </si>
  <si>
    <t>«كتفاً للعمل، لا حجراً يُرمى»</t>
  </si>
  <si>
    <t>A shoulder to the work, never a stone thrown.</t>
  </si>
  <si>
    <t>LB-04</t>
  </si>
  <si>
    <t>Café brand, menus, signage</t>
  </si>
  <si>
    <t>Launch Campaign (Café)</t>
  </si>
  <si>
    <t>«حيث بدأت القهوة، يبدأ العمل من جديد»</t>
  </si>
  <si>
    <t>Where coffee began, work begins again.</t>
  </si>
  <si>
    <t>LB-03</t>
  </si>
  <si>
    <t>Launch assets, Final #9</t>
  </si>
  <si>
    <t>Launch Campaign</t>
  </si>
  <si>
    <t>«كيان مفتوحة — نبنيه معاً»</t>
  </si>
  <si>
    <t>Kayan is open — we build it together.</t>
  </si>
  <si>
    <t>LB-02</t>
  </si>
  <si>
    <t>Everywhere — masthead line</t>
  </si>
  <si>
    <t>Narrative family + counsel ruling</t>
  </si>
  <si>
    <t>«خلف كلّ إنجاز، كيان»</t>
  </si>
  <si>
    <t>Behind every outcome, a Kayan. (master tagline — recommended, pending DIV-02)</t>
  </si>
  <si>
    <t>LB-01</t>
  </si>
  <si>
    <t>Deploy in</t>
  </si>
  <si>
    <t>Source</t>
  </si>
  <si>
    <t>Arabic (locked)</t>
  </si>
  <si>
    <t>English (locked)</t>
  </si>
  <si>
    <t>ID</t>
  </si>
  <si>
    <t>KAYAN OPERATING MODEL — CFO-set (W-03), Lean planning baseline. Teal = assumption (editable). ALL outputs are formulas. Every assumption carries a BASIS so D1 research can challenge it. PROVISIONAL until D1 — do not quote externally.</t>
  </si>
  <si>
    <t>SCENARIO</t>
  </si>
  <si>
    <t>Lean</t>
  </si>
  <si>
    <t>multiplier</t>
  </si>
  <si>
    <t>Lean = planning baseline (under-promise to the model). Base ×1.3, Stretch ×1.6 applied to volumes only.</t>
  </si>
  <si>
    <t>ASSUMPTION (teal=edit)</t>
  </si>
  <si>
    <t>VALUE</t>
  </si>
  <si>
    <t>BASIS / why this number (D1 to verify)</t>
  </si>
  <si>
    <t>A1 · Hub paying members, steady M3</t>
  </si>
  <si>
    <t>CFO call: 20 was optimistic for a soft-open in a thin Aden market; 12 paying members by M3 is conservative-credible given e-working demand + no direct competitor. D1: survey Aden coworking/Mercure rates &amp; demand.</t>
  </si>
  <si>
    <t>A2 · Blended membership $/mo</t>
  </si>
  <si>
    <t>Mix of day-pass conversions + monthly desks; below the contract’s premium tier on purpose for adoption. D1: confirm vs local incomes.</t>
  </si>
  <si>
    <t>A3 · Café gross $/day</t>
  </si>
  <si>
    <t>Lean: $90/day (was $110) — a new café finding footfall next to a hotel; ramps with the Hub. D1: Aden café benchmarks + input costs.</t>
  </si>
  <si>
    <t>A4 · Café margin %</t>
  </si>
  <si>
    <t>30% (was 35%) — Yemeni import-cost reality on coffee/dairy; conservative until supplier SOPs land. D1: CAF-004 supplier pricing.</t>
  </si>
  <si>
    <t>A5 · MD engagements / month (Y1 avg)</t>
  </si>
  <si>
    <t>Held at 2: honest to the Day-One bench (4–6 deliverable talents). Not the constraint to inflate. D1: pipeline reality from first 3–5 projects.</t>
  </si>
  <si>
    <t>A6 · MD avg gross ticket $</t>
  </si>
  <si>
    <t>Ready-Products mid-band, Lean ($850 vs $900). Mostly micro/standard scope early. D1: confirm against authored rate card.</t>
  </si>
  <si>
    <t>A7 · Blended fee %</t>
  </si>
  <si>
    <t>Commercial-heavy early mix across the 15/17/20/22 bands → ~19%. Verified by client-type mix as it forms.</t>
  </si>
  <si>
    <t>A8 · Sponsored cohorts / quarter</t>
  </si>
  <si>
    <t>K4Y commitment floor; CON-009 economics. One funded cohort/quarter is the realistic donor cadence Y1.</t>
  </si>
  <si>
    <t>A9 · Cohort sponsorship $</t>
  </si>
  <si>
    <t>LOCKED CANON (CON-009: $420×25). Not an estimate.</t>
  </si>
  <si>
    <t>A10 · Cohort delivery cost %</t>
  </si>
  <si>
    <t>Trainer + venue + materials ≈ 65% of sponsorship; net ~35% supports the institution. Refine at Final #5.</t>
  </si>
  <si>
    <t>A11 · OPEX baseline $/mo (full self-run)</t>
  </si>
  <si>
    <t>Gen-1 presumptive baseline; the single most important D1 figure (rent·solar·Starlink·fuel·salaries·security). DIV-26 re-derives.</t>
  </si>
  <si>
    <t>A12 · CauseWay cost-share saving %</t>
  </si>
  <si>
    <t>Back-office (finance/people/brand ops) shared 50/50 → ~18% of OPEX relieved. Booked as shared-services credit; reconciles monthly.</t>
  </si>
  <si>
    <t>A13 · Intern-leverage saving %</t>
  </si>
  <si>
    <t>CauseWay intern pipeline substituting junior load → ~7%. Conservative; grows as interns mature.</t>
  </si>
  <si>
    <t>MONTHLY MODEL (formulas)</t>
  </si>
  <si>
    <t>R1 Hub revenue</t>
  </si>
  <si>
    <t>members × $/mo × scenario</t>
  </si>
  <si>
    <t>R2 Café net</t>
  </si>
  <si>
    <t>daily × 30 × margin × scenario</t>
  </si>
  <si>
    <t>R3 MD net fee</t>
  </si>
  <si>
    <t>engagements × ticket × fee% × scenario</t>
  </si>
  <si>
    <t>R4 Forge net (monthly-ised)</t>
  </si>
  <si>
    <t>cohorts/qtr × $ × (1−cost) ÷ 3 × scenario</t>
  </si>
  <si>
    <t>TOTAL REVENUE (net)</t>
  </si>
  <si>
    <t>OPEX after sharing+interns</t>
  </si>
  <si>
    <t>baseline × (1 − CauseWay − intern)</t>
  </si>
  <si>
    <t>NET / month (pre-tax, pre-K4Y)</t>
  </si>
  <si>
    <t>Status</t>
  </si>
  <si>
    <t>Pre-Seed = runway × monthly gap</t>
  </si>
  <si>
    <t>Annual net (×12)</t>
  </si>
  <si>
    <t>indicative only — Lean baseline</t>
  </si>
  <si>
    <t>#</t>
  </si>
  <si>
    <t>Component (the Kayan Card + signup system — W-01 elevated)</t>
  </si>
  <si>
    <t>Launch-minimum (by ≤30 June — campaign CTA must work)</t>
  </si>
  <si>
    <t>Phase-2 automation (post-launch)</t>
  </si>
  <si>
    <t>Owner</t>
  </si>
  <si>
    <t>Dependency</t>
  </si>
  <si>
    <t>1</t>
  </si>
  <si>
    <t>Website signup / account creation</t>
  </si>
  <si>
    <t>Applicant self-registers (name, contact, password) → account page exists</t>
  </si>
  <si>
    <t>SSO, phone-OTP verify</t>
  </si>
  <si>
    <t>Lead Developer (Mustafa)</t>
  </si>
  <si>
    <t>kayanwork.com hosting live</t>
  </si>
  <si>
    <t>2</t>
  </si>
  <si>
    <t>Online application form</t>
  </si>
  <si>
    <t>Structured bilingual form (profile, skills, domain, documents upload, volunteer-interest toggle)</t>
  </si>
  <si>
    <t>Conditional logic by domain; save-and-resume</t>
  </si>
  <si>
    <t>Lead Dev + Brand (Lubna)</t>
  </si>
  <si>
    <t>Taxonomy locked (core build)</t>
  </si>
  <si>
    <t>3</t>
  </si>
  <si>
    <t>Application status engine</t>
  </si>
  <si>
    <t>States: Draft → Submitted → Pending Verification → Verified / Rejected → Active; visible on account page</t>
  </si>
  <si>
    <t>Automated email/WhatsApp status pushes</t>
  </si>
  <si>
    <t>Lead Dev</t>
  </si>
  <si>
    <t>Verification SOP (TLR-002) authored fresh</t>
  </si>
  <si>
    <t>4</t>
  </si>
  <si>
    <t>Verification workflow (online + in-person)</t>
  </si>
  <si>
    <t>Manual reviewer queue; six-step check (KYC, lists, assessment, interview) recorded; decision writes status</t>
  </si>
  <si>
    <t>Online assessment auto-scoring; calendar booking for interview</t>
  </si>
  <si>
    <t>Verification Lead (interim CEO)</t>
  </si>
  <si>
    <t>TLR-001/002 authored; OpenSanctions access</t>
  </si>
  <si>
    <t>5</t>
  </si>
  <si>
    <t>Kayan Card generation</t>
  </si>
  <si>
    <t>On Verified: system auto-generates electronic Card + unique number (+ volunteer status if opted); displayed/downloadable in account</t>
  </si>
  <si>
    <t>QR-verifiable public card; tier badge art</t>
  </si>
  <si>
    <t>Lead Dev + Brand</t>
  </si>
  <si>
    <t>Card spec + numbering scheme (core)</t>
  </si>
  <si>
    <t>6</t>
  </si>
  <si>
    <t>Database design</t>
  </si>
  <si>
    <t>Applicants, accounts, applications, verification records, cards, tiers, volunteer flags — normalized, PDP-compliant, encrypted sensitive store (98_PRIVATE_REGISTRATION)</t>
  </si>
  <si>
    <t>Registry search, talent-matching, CRM link</t>
  </si>
  <si>
    <t>PDP/Data SOP authored fresh</t>
  </si>
  <si>
    <t>7</t>
  </si>
  <si>
    <t>Founding-100 funnel</t>
  </si>
  <si>
    <t>Signup link + counter + Founders’ Wall capture; campaign CTA resolves here</t>
  </si>
  <si>
    <t>Referral tracking; auto-certificate</t>
  </si>
  <si>
    <t>Brand + Marketing</t>
  </si>
  <si>
    <t>Campaign creative (W-04)</t>
  </si>
  <si>
    <t>8</t>
  </si>
  <si>
    <t>Forms suite (designed)</t>
  </si>
  <si>
    <t>Application, consent (photo/data), volunteer agreement, verification record — all bilingual, branded</t>
  </si>
  <si>
    <t>Full forms library</t>
  </si>
  <si>
    <t>Brand + Lead Dev</t>
  </si>
  <si>
    <t>Brand standard + legal review</t>
  </si>
  <si>
    <t>9</t>
  </si>
  <si>
    <t>Compliance &amp; privacy at signup</t>
  </si>
  <si>
    <t>Consent capture, PDP notice, data-minimization, masking; no sensitive data in public tables</t>
  </si>
  <si>
    <t>Audit log, rights-request portal (30-day SLA)</t>
  </si>
  <si>
    <t>Finance/Compliance (Tariq)</t>
  </si>
  <si>
    <t>PDP authored fresh</t>
  </si>
  <si>
    <t>10</t>
  </si>
  <si>
    <t>Social-campaign integration</t>
  </si>
  <si>
    <t>Every post’s CTA = the signup link; UTM tracking; WhatsApp wa.me fallback for low-connectivity</t>
  </si>
  <si>
    <t>Conversion analytics dashboard</t>
  </si>
  <si>
    <t>Marketing</t>
  </si>
  <si>
    <t>Items 1–3 live</t>
  </si>
  <si>
    <t>PRINCIPLE</t>
  </si>
  <si>
    <t>The campaign cannot launch until items 1–3, 5 (manual path), 7, 10 work end-to-end. Verification can be MANUAL at launch (a human moves status); automation is Phase-2. The Card is electronic from day one. Everything authored from zero, PDP-compliant, bilingual, on kayanwork.com.</t>
  </si>
  <si>
    <t>Code</t>
  </si>
  <si>
    <t>Product</t>
  </si>
  <si>
    <t>Family</t>
  </si>
  <si>
    <t>Pod / team</t>
  </si>
  <si>
    <t>Delivery</t>
  </si>
  <si>
    <t>Price USD</t>
  </si>
  <si>
    <t>Kayan fee</t>
  </si>
  <si>
    <t>Cost to build</t>
  </si>
  <si>
    <t>Fee %</t>
  </si>
  <si>
    <t>Gross margin</t>
  </si>
  <si>
    <t>NOTE</t>
  </si>
  <si>
    <t>RP-001</t>
  </si>
  <si>
    <t>Brand Identity Pack</t>
  </si>
  <si>
    <t>Brand &amp; Creative</t>
  </si>
  <si>
    <t>Designer T2+ · QA</t>
  </si>
  <si>
    <t>14 days</t>
  </si>
  <si>
    <t>20%</t>
  </si>
  <si>
    <t>All fees at 20% standard. "Cost to build" = talent+QA payable from the 80% share; Kayan revenue = fee column. Retainers priced per month. Source: Products Ideas Engine › 01_Product_Master.</t>
  </si>
  <si>
    <t>RP-016</t>
  </si>
  <si>
    <t>Brand Refresh &amp; Rebrand</t>
  </si>
  <si>
    <t>Designer T3+ · Strategist · QA</t>
  </si>
  <si>
    <t>21 days</t>
  </si>
  <si>
    <t>RP-020</t>
  </si>
  <si>
    <t>Video &amp; Motion Pack</t>
  </si>
  <si>
    <t>Editor T2+ · Motion · Writer</t>
  </si>
  <si>
    <t>RP-031</t>
  </si>
  <si>
    <t>Voice-Over &amp; Audio</t>
  </si>
  <si>
    <t>Voice artist T2+ · Audio editor</t>
  </si>
  <si>
    <t>7 days</t>
  </si>
  <si>
    <t>RP-002</t>
  </si>
  <si>
    <t>Professional Website</t>
  </si>
  <si>
    <t>Web, Apps &amp; Technology</t>
  </si>
  <si>
    <t>Dev T2+ · UI · Writer · QA</t>
  </si>
  <si>
    <t>RP-008</t>
  </si>
  <si>
    <t>MVP Web Application</t>
  </si>
  <si>
    <t>Full-stack T3+ · UI/UX · QA · PM</t>
  </si>
  <si>
    <t>30 days</t>
  </si>
  <si>
    <t>RP-017</t>
  </si>
  <si>
    <t>E-commerce Storefront</t>
  </si>
  <si>
    <t>25 days</t>
  </si>
  <si>
    <t>RP-021</t>
  </si>
  <si>
    <t>Mobile App (iOS &amp; Android)</t>
  </si>
  <si>
    <t>Mobile dev T3+ · UI/UX · QA · PM</t>
  </si>
  <si>
    <t>45 days</t>
  </si>
  <si>
    <t>RP-022</t>
  </si>
  <si>
    <t>Custom Web Platform</t>
  </si>
  <si>
    <t>Full-stack T4 · UI/UX · QA · PM</t>
  </si>
  <si>
    <t>8–12 wk</t>
  </si>
  <si>
    <t>RP-023</t>
  </si>
  <si>
    <t>IT &amp; DevOps Care (Retainer)</t>
  </si>
  <si>
    <t>DevOps T3+ · Support</t>
  </si>
  <si>
    <t>Monthly</t>
  </si>
  <si>
    <t>RP-024</t>
  </si>
  <si>
    <t>AI Automation &amp; Chatbot</t>
  </si>
  <si>
    <t>Developer T2+ · Content · QA</t>
  </si>
  <si>
    <t>RP-003</t>
  </si>
  <si>
    <t>Launch Marketing Pack</t>
  </si>
  <si>
    <t>Marketing &amp; Growth</t>
  </si>
  <si>
    <t>Marketer T2+ · Designer · Writer</t>
  </si>
  <si>
    <t>RP-004</t>
  </si>
  <si>
    <t>Monthly Content Pack (Retainer)</t>
  </si>
  <si>
    <t>Writer T2+ · Designer</t>
  </si>
  <si>
    <t>RP-009</t>
  </si>
  <si>
    <t>Social Media Mgmt (Retainer)</t>
  </si>
  <si>
    <t>RP-029</t>
  </si>
  <si>
    <t>SEO Launch &amp; Optimization</t>
  </si>
  <si>
    <t>SEO specialist T2+ · Writer</t>
  </si>
  <si>
    <t>RP-030</t>
  </si>
  <si>
    <t>Paid Ads Management (Retainer)</t>
  </si>
  <si>
    <t>Ads specialist T2+ · Designer</t>
  </si>
  <si>
    <t>RP-005</t>
  </si>
  <si>
    <t>Professional Translation</t>
  </si>
  <si>
    <t>Content, Writing &amp; Translation</t>
  </si>
  <si>
    <t>Translator T2+ · Reviewer</t>
  </si>
  <si>
    <t>RP-007</t>
  </si>
  <si>
    <t>Corporate Documents Pack</t>
  </si>
  <si>
    <t>Writer T2+ · Designer · Reviewer</t>
  </si>
  <si>
    <t>10 days</t>
  </si>
  <si>
    <t>RP-018</t>
  </si>
  <si>
    <t>Annual Report (Design + Write)</t>
  </si>
  <si>
    <t>Writer T3+ · Designer · Translator</t>
  </si>
  <si>
    <t>18 days</t>
  </si>
  <si>
    <t>RP-012</t>
  </si>
  <si>
    <t>NGO Report &amp; Proposal Pack</t>
  </si>
  <si>
    <t>12 days</t>
  </si>
  <si>
    <t>RP-006</t>
  </si>
  <si>
    <t>Market Study</t>
  </si>
  <si>
    <t>Research, Data &amp; Evaluation</t>
  </si>
  <si>
    <t>Researcher T3+ · Analyst · QA</t>
  </si>
  <si>
    <t>RP-013</t>
  </si>
  <si>
    <t>Data Collection &amp; Dashboard</t>
  </si>
  <si>
    <t>Data analyst T3+ · Field lead · QA</t>
  </si>
  <si>
    <t>RP-014</t>
  </si>
  <si>
    <t>Monitoring &amp; Evaluation Study</t>
  </si>
  <si>
    <t>M&amp;E lead T4 · Analyst · QA</t>
  </si>
  <si>
    <t>RP-015</t>
  </si>
  <si>
    <t>Pitch Deck &amp; Investor Pack</t>
  </si>
  <si>
    <t>Writer T3+ · Designer · Analyst</t>
  </si>
  <si>
    <t>RP-025</t>
  </si>
  <si>
    <t>Bookkeeping &amp; Accounting (Ret.)</t>
  </si>
  <si>
    <t>Finance, Admin &amp; Support</t>
  </si>
  <si>
    <t>Bookkeeper T2+ · Reviewer</t>
  </si>
  <si>
    <t>RP-026</t>
  </si>
  <si>
    <t>Financial Model &amp; Projections</t>
  </si>
  <si>
    <t>Financial modeler T3+ · Analyst</t>
  </si>
  <si>
    <t>RP-027</t>
  </si>
  <si>
    <t>Virtual Assistant (Retainer)</t>
  </si>
  <si>
    <t>VA T2+</t>
  </si>
  <si>
    <t>RP-028</t>
  </si>
  <si>
    <t>Customer Service Desk (Ret.)</t>
  </si>
  <si>
    <t>Support agents T2+ · Lead</t>
  </si>
  <si>
    <t>RP-019</t>
  </si>
  <si>
    <t>Training Workshop (Design+Deliver)</t>
  </si>
  <si>
    <t>Trainer T4 · Designer · Coordinator</t>
  </si>
  <si>
    <t>Per cohort</t>
  </si>
  <si>
    <t>RP-032</t>
  </si>
  <si>
    <t>Startup-in-a-Box</t>
  </si>
  <si>
    <t>Packages for New Businesses</t>
  </si>
  <si>
    <t>Multi-role pod · PM</t>
  </si>
  <si>
    <t>10–30 days</t>
  </si>
  <si>
    <t>500/1200/2500</t>
  </si>
  <si>
    <t>RP-010</t>
  </si>
  <si>
    <t>Restaurant Launch Kit</t>
  </si>
  <si>
    <t>Enterprise &amp; Hospitality</t>
  </si>
  <si>
    <t>Designer T2+ · Writer · Photographer</t>
  </si>
  <si>
    <t>RP-033</t>
  </si>
  <si>
    <t>Enterprise Restaurant Suite</t>
  </si>
  <si>
    <t>Designer T3 · Dev · Photographer</t>
  </si>
  <si>
    <t>35 days</t>
  </si>
  <si>
    <t>RP-011</t>
  </si>
  <si>
    <t>Hotel Digital Presence</t>
  </si>
  <si>
    <t>Dev T2+ · UI · Writer · Photographer</t>
  </si>
  <si>
    <t>24 days</t>
  </si>
  <si>
    <t>RP-034</t>
  </si>
  <si>
    <t>Hotel Revenue Suite</t>
  </si>
  <si>
    <t>Dev T3 · UI · Photographer · Marketer</t>
  </si>
  <si>
    <t>RP-035</t>
  </si>
  <si>
    <t>Executive &amp; Personal Brand</t>
  </si>
  <si>
    <t>Writer T3 · Designer · Marketer</t>
  </si>
  <si>
    <t>Stakeholder</t>
  </si>
  <si>
    <t>Category</t>
  </si>
  <si>
    <t>Contact point</t>
  </si>
  <si>
    <t>Value to Kayan</t>
  </si>
  <si>
    <t>Value to partner</t>
  </si>
  <si>
    <t>Rev. potential USD</t>
  </si>
  <si>
    <t>Engagement type</t>
  </si>
  <si>
    <t>Priority</t>
  </si>
  <si>
    <t>UNDP Yemen — BRISCC</t>
  </si>
  <si>
    <t>UN Agency</t>
  </si>
  <si>
    <t>Programme Manager</t>
  </si>
  <si>
    <t>Funded training cohorts ($300–800/seat); local implementing partner</t>
  </si>
  <si>
    <t>Local implementing partner for 1,000+ beneficiaries</t>
  </si>
  <si>
    <t>Training Partner + Talent Pool</t>
  </si>
  <si>
    <t>Critical</t>
  </si>
  <si>
    <t>ILO Yemen</t>
  </si>
  <si>
    <t>Youth Employment Lead</t>
  </si>
  <si>
    <t>Livelihoods funding; lab access</t>
  </si>
  <si>
    <t>Local delivery partner for decent work</t>
  </si>
  <si>
    <t>Programme Partner</t>
  </si>
  <si>
    <t>High</t>
  </si>
  <si>
    <t>UN Women Yemen</t>
  </si>
  <si>
    <t>Gender Programme Lead</t>
  </si>
  <si>
    <t>Women-focused cohort funding</t>
  </si>
  <si>
    <t>Safe space for women professionals</t>
  </si>
  <si>
    <t>Training Partner</t>
  </si>
  <si>
    <t>GIZ Yemen — IT Training</t>
  </si>
  <si>
    <t>INGO</t>
  </si>
  <si>
    <t>IT Programme Manager</t>
  </si>
  <si>
    <t>Training contracts, venue rental</t>
  </si>
  <si>
    <t>Training venue with connectivity, verified talent</t>
  </si>
  <si>
    <t>Retainer + Training</t>
  </si>
  <si>
    <t>EU WATHBA Programme</t>
  </si>
  <si>
    <t>Donor</t>
  </si>
  <si>
    <t>Innovation Lead</t>
  </si>
  <si>
    <t>Large-scale cohort funding (€4.6M programme)</t>
  </si>
  <si>
    <t>Local innovation venue, youth talent</t>
  </si>
  <si>
    <t>Innovation Hub Partner</t>
  </si>
  <si>
    <t>CARE International</t>
  </si>
  <si>
    <t>Programme Director</t>
  </si>
  <si>
    <t>Managed delivery contracts, training</t>
  </si>
  <si>
    <t>AR-EN talent pool, verified delivery</t>
  </si>
  <si>
    <t>Service Client</t>
  </si>
  <si>
    <t>Save the Children</t>
  </si>
  <si>
    <t>Education Lead</t>
  </si>
  <si>
    <t>Youth training programmes, CSR alignment</t>
  </si>
  <si>
    <t>Youth employment evidence, safe space</t>
  </si>
  <si>
    <t>Aden Chamber of Commerce</t>
  </si>
  <si>
    <t>Government</t>
  </si>
  <si>
    <t>Secretary General</t>
  </si>
  <si>
    <t>SME referrals, legitimacy, event venue</t>
  </si>
  <si>
    <t>Youth employment showcase</t>
  </si>
  <si>
    <t>Endorsement Partner</t>
  </si>
  <si>
    <t>Ministry of Industry &amp; Trade</t>
  </si>
  <si>
    <t>Registration Office</t>
  </si>
  <si>
    <t>LLC registration, legal standing</t>
  </si>
  <si>
    <t>Private-sector investment in youth</t>
  </si>
  <si>
    <t>Regulatory</t>
  </si>
  <si>
    <t>Municipality of Aden</t>
  </si>
  <si>
    <t>Youth Affairs</t>
  </si>
  <si>
    <t>City partnerships, CSR execution</t>
  </si>
  <si>
    <t>CSR execution partner for city projects</t>
  </si>
  <si>
    <t>CSR Partner</t>
  </si>
  <si>
    <t>University of Aden — CS Dept</t>
  </si>
  <si>
    <t>University</t>
  </si>
  <si>
    <t>Dean, CS Faculty</t>
  </si>
  <si>
    <t>Student talent pipeline, research</t>
  </si>
  <si>
    <t>Employment pathways for graduates</t>
  </si>
  <si>
    <t>Academic Partner</t>
  </si>
  <si>
    <t>Aden Community College</t>
  </si>
  <si>
    <t>Director</t>
  </si>
  <si>
    <t>Vocational student pipeline</t>
  </si>
  <si>
    <t>Practical skills addition to curriculum</t>
  </si>
  <si>
    <t>Re:Coded</t>
  </si>
  <si>
    <t>Training Provider</t>
  </si>
  <si>
    <t>Yemen Country Lead</t>
  </si>
  <si>
    <t>Free coding bootcamp content</t>
  </si>
  <si>
    <t>Physical Aden hub for bootcamps</t>
  </si>
  <si>
    <t>Content Partner</t>
  </si>
  <si>
    <t>Yemen Training-for-Employment</t>
  </si>
  <si>
    <t>Joint cohorts, shared curriculum</t>
  </si>
  <si>
    <t>Venue access, talent verification</t>
  </si>
  <si>
    <t>Wathba Initiative</t>
  </si>
  <si>
    <t>Training-for-employment programme</t>
  </si>
  <si>
    <t>Local venue + talent pool + verification</t>
  </si>
  <si>
    <t>CAC Bank</t>
  </si>
  <si>
    <t>Bank</t>
  </si>
  <si>
    <t>CSR Manager</t>
  </si>
  <si>
    <t>CSR sponsorship, banking services</t>
  </si>
  <si>
    <t>Youth employment visibility, brand</t>
  </si>
  <si>
    <t>Sponsor + Banking</t>
  </si>
  <si>
    <t>Revenue source</t>
  </si>
  <si>
    <t>May-26</t>
  </si>
  <si>
    <t>Jun-26</t>
  </si>
  <si>
    <t>Jul-26</t>
  </si>
  <si>
    <t>Aug-26</t>
  </si>
  <si>
    <t>Sep-26</t>
  </si>
  <si>
    <t>Oct-26</t>
  </si>
  <si>
    <t>Nov-26</t>
  </si>
  <si>
    <t>SOURCE</t>
  </si>
  <si>
    <t>INGO Retainers (GIZ, CARE)</t>
  </si>
  <si>
    <t>Partnership &amp; CSR Strategy › Partnership Revenue. Feeds the Absorption pipeline: every cohort funded here is talent carried toward paid work.</t>
  </si>
  <si>
    <t>Donor Cohorts (UNDP, WATHBA)</t>
  </si>
  <si>
    <t>CSR Sponsorship (Banks)</t>
  </si>
  <si>
    <t>CSR Sponsorship (Telecom)</t>
  </si>
  <si>
    <t>Sponsor-a-Desk Revenue</t>
  </si>
  <si>
    <t>Sponsor-a-Cohort Revenue</t>
  </si>
  <si>
    <t>University Partnerships</t>
  </si>
  <si>
    <t>CSR Programme Net Revenue</t>
  </si>
  <si>
    <t>Event Sponsorship</t>
  </si>
  <si>
    <t>Training Provider Rev-Share</t>
  </si>
  <si>
    <t>TOTAL PARTNERSHIP REVENUE</t>
  </si>
  <si>
    <t>Programme (AR / EN)</t>
  </si>
  <si>
    <t>Description</t>
  </si>
  <si>
    <t>Target sponsor(s)</t>
  </si>
  <si>
    <t>Sponsor $</t>
  </si>
  <si>
    <t>Kayan cost $</t>
  </si>
  <si>
    <t>Kayan rev $</t>
  </si>
  <si>
    <t>Volunteers</t>
  </si>
  <si>
    <t>عدن النظيفة · Aden Clean-Up Day</t>
  </si>
  <si>
    <t>City Beautification</t>
  </si>
  <si>
    <t>Monthly beach/street cleanup event</t>
  </si>
  <si>
    <t>CAC Bank, Yemen Mobile, Municipality</t>
  </si>
  <si>
    <t>50–100/event</t>
  </si>
  <si>
    <t>يوم الشجرة · Aden Tree Day</t>
  </si>
  <si>
    <t>Environmental</t>
  </si>
  <si>
    <t>Quarterly tree planting at public sites</t>
  </si>
  <si>
    <t>Municipality, SFD, Telecom CSR</t>
  </si>
  <si>
    <t>30–50/event</t>
  </si>
  <si>
    <t>مسار التوظيف · Employ-a-Youth</t>
  </si>
  <si>
    <t>Employment</t>
  </si>
  <si>
    <t>12-week programme: 4 weeks train + placement</t>
  </si>
  <si>
    <t>UNDP, GIZ, CAC Bank CSR, Private Cos</t>
  </si>
  <si>
    <t>5 mentors</t>
  </si>
  <si>
    <t>تمكين المرأة · Women in Digital</t>
  </si>
  <si>
    <t>Women Empowerment</t>
  </si>
  <si>
    <t>8-week digital skills for women</t>
  </si>
  <si>
    <t>UN Women, GIZ, EU WATHBA</t>
  </si>
  <si>
    <t>3 trainers + 2 childcare</t>
  </si>
  <si>
    <t>هاكاثون عدن · Aden Hackathon</t>
  </si>
  <si>
    <t>Innovation</t>
  </si>
  <si>
    <t>Quarterly 48-hour hackathon</t>
  </si>
  <si>
    <t>Telecom CSR, Bank CSR, Tech Cos</t>
  </si>
  <si>
    <t>15–20 organizers</t>
  </si>
  <si>
    <t>ذوي الإعاقة · Digital Inclusion</t>
  </si>
  <si>
    <t>Disability Inclusion</t>
  </si>
  <si>
    <t>6-week programme for persons with disability</t>
  </si>
  <si>
    <t>SFD, UNICEF, Disability Orgs</t>
  </si>
  <si>
    <t>2 trainers + 1 assistant</t>
  </si>
  <si>
    <t>القراءة والمعرفة · Community Knowledge</t>
  </si>
  <si>
    <t>Education</t>
  </si>
  <si>
    <t>Free weekly book clubs &amp; talks</t>
  </si>
  <si>
    <t>Cultural orgs, Embassies, Publishers</t>
  </si>
  <si>
    <t>3–5 organizers</t>
  </si>
  <si>
    <t>تنظيف الشاطئ · Beach Cleanup &amp; Café</t>
  </si>
  <si>
    <t>Environmental + Revenue</t>
  </si>
  <si>
    <t>Monthly Saturday cleanup + café</t>
  </si>
  <si>
    <t>Hotels, Tourism, Municipality</t>
  </si>
  <si>
    <t>20–30/event</t>
  </si>
  <si>
    <t>ANNUAL TOTALS (full execution)</t>
  </si>
  <si>
    <t>Segment</t>
  </si>
  <si>
    <t>Problem</t>
  </si>
  <si>
    <t>Kayan solution</t>
  </si>
  <si>
    <t>Proof point</t>
  </si>
  <si>
    <t>Price anchor</t>
  </si>
  <si>
    <t>INGO / UN Agency</t>
  </si>
  <si>
    <t>Can’t reliably hire and manage local talent; procurement needs recourse.</t>
  </si>
  <si>
    <t>Verified talent pool, escrow protection, managed delivery with audit trail.</t>
  </si>
  <si>
    <t>Only structured delivery platform in Aden.</t>
  </si>
  <si>
    <t>Bronze $300/mo, Silver $750/mo, Gold custom</t>
  </si>
  <si>
    <t>Freelancer / Remote Worker</t>
  </si>
  <si>
    <t>No reliable workspace: power cuts, weak internet, no professional setting.</t>
  </si>
  <si>
    <t>Continuous power (solar+grid), satellite internet, professional space.</t>
  </si>
  <si>
    <t>Aden’s first coworking space; 24/7 reliability.</t>
  </si>
  <si>
    <t>Day pass $5, Flex $35/mo, Unlimited $60/mo</t>
  </si>
  <si>
    <t>Small Business / Startup</t>
  </si>
  <si>
    <t>Can’t afford office + generator + staff; needs credibility.</t>
  </si>
  <si>
    <t>All-inclusive workspace + fixed-price productised services.</t>
  </si>
  <si>
    <t>Private office $150/mo vs $300+ standalone.</t>
  </si>
  <si>
    <t>Dedicated $90/mo, Private $150/mo</t>
  </si>
  <si>
    <t>Donor / Development Org</t>
  </si>
  <si>
    <t>Need a local implementing partner with real absorption.</t>
  </si>
  <si>
    <t>Learning-to-earning model: train then place into paid work.</t>
  </si>
  <si>
    <t>Re:Coded partnership model; safe space.</t>
  </si>
  <si>
    <t>$6K–$16K per cohort</t>
  </si>
  <si>
    <t>Corporate (Yemen)</t>
  </si>
  <si>
    <t>Need professional branding, website, systems with a guarantee.</t>
  </si>
  <si>
    <t>Fixed-price packages, QA-gated, delivery-guaranteed.</t>
  </si>
  <si>
    <t>Startup-in-a-Box portfolio.</t>
  </si>
  <si>
    <t>$250–$1,000 per package</t>
  </si>
  <si>
    <t>Diaspora Yemeni</t>
  </si>
  <si>
    <t>Want to invest in Yemen but can’t manage delivery remotely.</t>
  </si>
  <si>
    <t>Managed delivery pods handle everything; escrow-first; holdback protection.</t>
  </si>
  <si>
    <t>Escrow-first model with holdback.</t>
  </si>
  <si>
    <t>20% net fee on GPV</t>
  </si>
  <si>
    <t>Proposed product / revenue line</t>
  </si>
  <si>
    <t>Target segment</t>
  </si>
  <si>
    <t>Pain it solves</t>
  </si>
  <si>
    <t>What the client gets</t>
  </si>
  <si>
    <t>RULE</t>
  </si>
  <si>
    <t>WhatsApp Catalogue Setup</t>
  </si>
  <si>
    <t>SMEs, producers</t>
  </si>
  <si>
    <t>No structured catalogue; orders chaotic in DMs.</t>
  </si>
  <si>
    <t>WhatsApp Business catalogue + 20 products loaded.</t>
  </si>
  <si>
    <t>Idea</t>
  </si>
  <si>
    <t>Anyone may propose here. A product becomes real only when it can be scoped on one page, guaranteed, and delivered to standard by a defined tier. Future lines open only at their phase gate.</t>
  </si>
  <si>
    <t>Google Business Profile Setup</t>
  </si>
  <si>
    <t>Restaurants, hotels, clinics</t>
  </si>
  <si>
    <t>Invisible on Maps; no review strategy.</t>
  </si>
  <si>
    <t>Profile claimed + photos + hours + review flow.</t>
  </si>
  <si>
    <t>CV &amp; LinkedIn Pack (individuals)</t>
  </si>
  <si>
    <t>Individuals, diaspora</t>
  </si>
  <si>
    <t>No English-grade CV/profile that travels.</t>
  </si>
  <si>
    <t>ATS CV (AR/EN) + LinkedIn rewrite + portfolio.</t>
  </si>
  <si>
    <t>Podcast / Audio Series Setup</t>
  </si>
  <si>
    <t>NGOs, founders, media</t>
  </si>
  <si>
    <t>No way to produce credible audio.</t>
  </si>
  <si>
    <t>Intro/outro + 4 episode edits + cover art.</t>
  </si>
  <si>
    <t>Annual Social Photography Retainer</t>
  </si>
  <si>
    <t>Hotels, restaurants</t>
  </si>
  <si>
    <t>Content goes stale; no fresh photography.</t>
  </si>
  <si>
    <t>Quarterly on-site shoot + 40 edited photos.</t>
  </si>
  <si>
    <t>300/qtr</t>
  </si>
  <si>
    <t>Kayan Market (platform surface)</t>
  </si>
  <si>
    <t>All verified demand</t>
  </si>
  <si>
    <t>No direct guaranteed channel to verified teams.</t>
  </si>
  <si>
    <t>Platform where verified teams take scoped, guaranteed work.</t>
  </si>
  <si>
    <t>platform</t>
  </si>
  <si>
    <t>Phase 3</t>
  </si>
  <si>
    <t>Kayan Ventures</t>
  </si>
  <si>
    <t>Internal IP / proven demand</t>
  </si>
  <si>
    <t>Repeatable demand unmonetised as product.</t>
  </si>
  <si>
    <t>Productised ventures spun out with discipline.</t>
  </si>
  <si>
    <t>equity</t>
  </si>
  <si>
    <t>Phase 4</t>
  </si>
  <si>
    <t>Verification-as-a-Service</t>
  </si>
  <si>
    <t>Other fragile-context markets</t>
  </si>
  <si>
    <t>No portable trust standard elsewhere.</t>
  </si>
  <si>
    <t>Licensing the Card + verification method.</t>
  </si>
  <si>
    <t>licence</t>
  </si>
  <si>
    <t>Phase 4+</t>
  </si>
  <si>
    <t>Managed talent for enterprises</t>
  </si>
  <si>
    <t>Repeat institutional clients</t>
  </si>
  <si>
    <t>Need embedded verified teams long-run.</t>
  </si>
  <si>
    <t>Long-run embedded Anchor-tier teams.</t>
  </si>
  <si>
    <t>retainer</t>
  </si>
  <si>
    <t>IDEA REGISTER — the engine (filter by theme / type / status)</t>
  </si>
  <si>
    <t>Theme</t>
  </si>
  <si>
    <t>What it is</t>
  </si>
  <si>
    <t>Type</t>
  </si>
  <si>
    <t>Plugs into</t>
  </si>
  <si>
    <t>A01</t>
  </si>
  <si>
    <t>A · Positioning &amp; Narrative</t>
  </si>
  <si>
    <t>Frontier-economy category</t>
  </si>
  <si>
    <t>Kayan owns a new economic category: resilient workers in constrained places delivering world-class outcomes — not 'outsourcing', not 'development'.</t>
  </si>
  <si>
    <t>Narrative</t>
  </si>
  <si>
    <t>ECO / CONV</t>
  </si>
  <si>
    <t>Canonical</t>
  </si>
  <si>
    <t>Brand, PR, investor</t>
  </si>
  <si>
    <t>A02</t>
  </si>
  <si>
    <t>The one sentence</t>
  </si>
  <si>
    <t>'Professional infrastructure of the frontier economy' — the mission statement that makes it a movement.</t>
  </si>
  <si>
    <t>CONV</t>
  </si>
  <si>
    <t>Website, pitch</t>
  </si>
  <si>
    <t>A03</t>
  </si>
  <si>
    <t>The fourth shape</t>
  </si>
  <si>
    <t>Not marketplace / agency / bootcamp — the institution that makes talent bankable.</t>
  </si>
  <si>
    <t>MEM</t>
  </si>
  <si>
    <t>Positioning, pitch</t>
  </si>
  <si>
    <t>A04</t>
  </si>
  <si>
    <t>'The talent was always here. Now it has an address.'</t>
  </si>
  <si>
    <t>The landing-moment line; dignity + arrival.</t>
  </si>
  <si>
    <t>Website hero</t>
  </si>
  <si>
    <t>A05</t>
  </si>
  <si>
    <t>Behind every outcome, a Kayan</t>
  </si>
  <si>
    <t>Locked verbal identity / tagline (EN+AR).</t>
  </si>
  <si>
    <t>Asset</t>
  </si>
  <si>
    <t>OS-MASTER</t>
  </si>
  <si>
    <t>Everywhere</t>
  </si>
  <si>
    <t>A06</t>
  </si>
  <si>
    <t>Blue-ocean owned narrative</t>
  </si>
  <si>
    <t>'Managed delivery' is a descriptor, not a movement — Kayan must own the category language.</t>
  </si>
  <si>
    <t>Brand strategy</t>
  </si>
  <si>
    <t>A07</t>
  </si>
  <si>
    <t>War does not cancel skill</t>
  </si>
  <si>
    <t>Talent has no geography — the moral + commercial through-line.</t>
  </si>
  <si>
    <t>All comms</t>
  </si>
  <si>
    <t>B01</t>
  </si>
  <si>
    <t>B · Trust &amp; Verification</t>
  </si>
  <si>
    <t>Verified-Talent Mark</t>
  </si>
  <si>
    <t>'Verified by Kayan' as a portable public credential — the SSL of professional trust.</t>
  </si>
  <si>
    <t>Mechanism</t>
  </si>
  <si>
    <t>MEM / CONV</t>
  </si>
  <si>
    <t>Card, /verify, platform</t>
  </si>
  <si>
    <t>B02</t>
  </si>
  <si>
    <t>Public /verify/{card-id}</t>
  </si>
  <si>
    <t>Anyone can confirm a professional's verification on sight — the moat made public.</t>
  </si>
  <si>
    <t>Website, platform</t>
  </si>
  <si>
    <t>B03</t>
  </si>
  <si>
    <t>The Kayan Card</t>
  </si>
  <si>
    <t>Premium physical-feeling digital credential: name, tier, micro-specs, QR.</t>
  </si>
  <si>
    <t>Talent portal</t>
  </si>
  <si>
    <t>B04</t>
  </si>
  <si>
    <t>Trust Ladder T0–T4</t>
  </si>
  <si>
    <t>Evidence-gated tiers; no pod below T2. Now operational via CMP-002.</t>
  </si>
  <si>
    <t>MEM / CMP</t>
  </si>
  <si>
    <t>Verification, matching</t>
  </si>
  <si>
    <t>B05</t>
  </si>
  <si>
    <t>The Kayan Score</t>
  </si>
  <si>
    <t>Portable professional reputation number (FICO for Arab freelancers) — completion, satisfaction, tier, trajectory.</t>
  </si>
  <si>
    <t>Parked</t>
  </si>
  <si>
    <t>Platform, fintech</t>
  </si>
  <si>
    <t>B06</t>
  </si>
  <si>
    <t>Verification is linkage, not appearance</t>
  </si>
  <si>
    <t>Verification exists to connect talent to real work — not to look impressive (founder emphasis).</t>
  </si>
  <si>
    <t>Talent onboarding copy</t>
  </si>
  <si>
    <t>B07</t>
  </si>
  <si>
    <t>License the standard</t>
  </si>
  <si>
    <t>Other platforms could license 'Kayan Verified' — infrastructure economics, not marketplace.</t>
  </si>
  <si>
    <t>Revenue</t>
  </si>
  <si>
    <t>BD, revenue</t>
  </si>
  <si>
    <t>B08</t>
  </si>
  <si>
    <t>Craft × behaviour both verified</t>
  </si>
  <si>
    <t>A professional is verified on the specialisation rubric AND the Kayan Six — both on the Card.</t>
  </si>
  <si>
    <t>CMP</t>
  </si>
  <si>
    <t>Verification</t>
  </si>
  <si>
    <t>C01</t>
  </si>
  <si>
    <t>C · Business Lines</t>
  </si>
  <si>
    <t>Managed Delivery (pods + gates)</t>
  </si>
  <si>
    <t>Core revenue: verified pods, held funds, QA gates G0–G9, released on acceptance.</t>
  </si>
  <si>
    <t>Delivery OS</t>
  </si>
  <si>
    <t>C02</t>
  </si>
  <si>
    <t>The Hub + Birthplace Brew café</t>
  </si>
  <si>
    <t>Place, community, media set, proof-of-concept — not just coworking.</t>
  </si>
  <si>
    <t>LINES</t>
  </si>
  <si>
    <t>Hub OS</t>
  </si>
  <si>
    <t>C03</t>
  </si>
  <si>
    <t>Kayan Forge</t>
  </si>
  <si>
    <t>Training that ends in work; measured by absorption.</t>
  </si>
  <si>
    <t>Forge OS</t>
  </si>
  <si>
    <t>C04</t>
  </si>
  <si>
    <t>Kayan for Yemen (K4Y)</t>
  </si>
  <si>
    <t>The civic spine — the mission wing.</t>
  </si>
  <si>
    <t>K4Y OS</t>
  </si>
  <si>
    <t>C05</t>
  </si>
  <si>
    <t>Multi-revenue stack</t>
  </si>
  <si>
    <t>Commissions -&gt; subscriptions -&gt; fintech -&gt; enterprise -&gt; verification/training, phased.</t>
  </si>
  <si>
    <t>Finance model</t>
  </si>
  <si>
    <t>C06</t>
  </si>
  <si>
    <t>Absorption Ratio</t>
  </si>
  <si>
    <t>Share of graduates entering recorded paid contracted work — category-defining metric.</t>
  </si>
  <si>
    <t>Metric</t>
  </si>
  <si>
    <t>Forge, impact, board</t>
  </si>
  <si>
    <t>C07</t>
  </si>
  <si>
    <t>Agent / net-fee model</t>
  </si>
  <si>
    <t>Only Kayan commission is revenue, never gross — protects tax + trust.</t>
  </si>
  <si>
    <t>Finance, accounting</t>
  </si>
  <si>
    <t>C08</t>
  </si>
  <si>
    <t>Ready Products</t>
  </si>
  <si>
    <t>Packaged fixed-scope offerings (35 -&gt; 50), all sectors — the sellable surface.</t>
  </si>
  <si>
    <t>Catalogue, website</t>
  </si>
  <si>
    <t>D01</t>
  </si>
  <si>
    <t>D · Growth Engines</t>
  </si>
  <si>
    <t>Frontier Economy Report (annual)</t>
  </si>
  <si>
    <t>Owns the category; cites Kayan's own data; earns permanent media.</t>
  </si>
  <si>
    <t>Growth</t>
  </si>
  <si>
    <t>Emerging</t>
  </si>
  <si>
    <t>PR, positioning</t>
  </si>
  <si>
    <t>D02</t>
  </si>
  <si>
    <t>Hub-in-a-Box franchise</t>
  </si>
  <si>
    <t>Documented kit to open a Kayan-standard hub in Taiz/Gaza/Mogadishu — donor-fundable.</t>
  </si>
  <si>
    <t>Expansion</t>
  </si>
  <si>
    <t>D03</t>
  </si>
  <si>
    <t>Yemen Diaspora Micro-Bond</t>
  </si>
  <si>
    <t>Small-unit debt for the diaspora — capital + the most powerful story, no equity dilution.</t>
  </si>
  <si>
    <t>Fundraising</t>
  </si>
  <si>
    <t>D04</t>
  </si>
  <si>
    <t>Conflict Economy Policy Playbook</t>
  </si>
  <si>
    <t>White paper -&gt; WEF/World Bank tables -&gt; Kayan as the expert who built the solution.</t>
  </si>
  <si>
    <t>Positioning</t>
  </si>
  <si>
    <t>D05</t>
  </si>
  <si>
    <t>0.5% for Talent pledge</t>
  </si>
  <si>
    <t>A slice of every net fee funds training/equipment — the TOMS model, built into the transaction.</t>
  </si>
  <si>
    <t>Marketing, impact</t>
  </si>
  <si>
    <t>D06</t>
  </si>
  <si>
    <t>Annual Kayan Talent Summit</t>
  </si>
  <si>
    <t>One Aden event, live-streamed — the yearly proof-of-existence moment.</t>
  </si>
  <si>
    <t>Community, PR</t>
  </si>
  <si>
    <t>D07</t>
  </si>
  <si>
    <t>Embedded pods inside UN/NGO</t>
  </si>
  <si>
    <t>Kayan as the compliance + local-execution engine for UNDP/UN Women/ILO/WFP.</t>
  </si>
  <si>
    <t>BD, K4Y</t>
  </si>
  <si>
    <t>D08</t>
  </si>
  <si>
    <t>'Kayan Verified' launch campaign</t>
  </si>
  <si>
    <t>50 first verified freelancers post simultaneously — coordinated social proof at scale.</t>
  </si>
  <si>
    <t>Marketing, launch</t>
  </si>
  <si>
    <t>D09</t>
  </si>
  <si>
    <t>Self-prompt architecture</t>
  </si>
  <si>
    <t>Product + story + mission engineered so coverage and sharing happen without paid push.</t>
  </si>
  <si>
    <t>Whole strategy</t>
  </si>
  <si>
    <t>D10</t>
  </si>
  <si>
    <t>Case-study engine</t>
  </si>
  <si>
    <t>Every delivered project -&gt; 2-page PDF + 90s video + LinkedIn post. The spark.</t>
  </si>
  <si>
    <t>E01</t>
  </si>
  <si>
    <t>E · Impact &amp; Mission</t>
  </si>
  <si>
    <t>Profit with a cause</t>
  </si>
  <si>
    <t>A company, not a charity — commercial success on top of a moral claim.</t>
  </si>
  <si>
    <t>E02</t>
  </si>
  <si>
    <t>Inclusion by design</t>
  </si>
  <si>
    <t>Digital door, adjustments, 'built for every ability' — women, youth, IDPs, disabilities.</t>
  </si>
  <si>
    <t>Impact</t>
  </si>
  <si>
    <t>INCL</t>
  </si>
  <si>
    <t>People, product, brand</t>
  </si>
  <si>
    <t>E03</t>
  </si>
  <si>
    <t>Impact measurement (IRIS+)</t>
  </si>
  <si>
    <t>Income uplift, women into tech, projects delivered — data that drives decisions and funders.</t>
  </si>
  <si>
    <t>E04</t>
  </si>
  <si>
    <t>Diaspora identity</t>
  </si>
  <si>
    <t>'Built by Yemenis, backed by Yemenis, for Yemen' — the founding narrative.</t>
  </si>
  <si>
    <t>Brand, fundraising</t>
  </si>
  <si>
    <t>E05</t>
  </si>
  <si>
    <t>Impact = founding argument</t>
  </si>
  <si>
    <t>Mission is the first argument, not a supporting one — the trend driver.</t>
  </si>
  <si>
    <t>F01</t>
  </si>
  <si>
    <t>F · Product &amp; Catalogue</t>
  </si>
  <si>
    <t>Product folder shape</t>
  </si>
  <si>
    <t>Each product: internal + external, forms, economics, social — PROD-TRA-001 is the template.</t>
  </si>
  <si>
    <t>All products</t>
  </si>
  <si>
    <t>F02</t>
  </si>
  <si>
    <t>Specialisation taxonomy</t>
  </si>
  <si>
    <t>109 micro-specs, 12 families, Yemen-viability flag — the substrate everything reads.</t>
  </si>
  <si>
    <t>TAX</t>
  </si>
  <si>
    <t>Registration, matching, products</t>
  </si>
  <si>
    <t>F03</t>
  </si>
  <si>
    <t>Sector axis</t>
  </si>
  <si>
    <t>Skill × industry (Medical Translation = Translation × Health) — makes 'all sectors' real.</t>
  </si>
  <si>
    <t>Taxonomy, catalogue</t>
  </si>
  <si>
    <t>F04</t>
  </si>
  <si>
    <t>Registry never closes</t>
  </si>
  <si>
    <t>The micro-spec taxonomy is open-ended by design.</t>
  </si>
  <si>
    <t>Taxonomy governance</t>
  </si>
  <si>
    <t>F05</t>
  </si>
  <si>
    <t>Client requests an outcome, not a task</t>
  </si>
  <si>
    <t>The intake is designed to feel like commissioning a result, uniquely.</t>
  </si>
  <si>
    <t>Client portal, forms</t>
  </si>
  <si>
    <t>G01</t>
  </si>
  <si>
    <t>G · Technology &amp; Platform</t>
  </si>
  <si>
    <t>kayanwork.com + four portals</t>
  </si>
  <si>
    <t>Client / talent / sponsor / staff-admin over one platform.</t>
  </si>
  <si>
    <t>Tech</t>
  </si>
  <si>
    <t>G02</t>
  </si>
  <si>
    <t>M365 / SharePoint OS spine</t>
  </si>
  <si>
    <t>Internal operating system built to the real M365 limits (research-grounded).</t>
  </si>
  <si>
    <t>MEM / RESEARCH</t>
  </si>
  <si>
    <t>Operating system</t>
  </si>
  <si>
    <t>G03</t>
  </si>
  <si>
    <t>One request queue</t>
  </si>
  <si>
    <t>Web + 3 phone lines + WhatsApp -&gt; one queue reading the taxonomy client-phrasing.</t>
  </si>
  <si>
    <t>Intake, platform</t>
  </si>
  <si>
    <t>G04</t>
  </si>
  <si>
    <t>Design system first; Aden-bandwidth</t>
  </si>
  <si>
    <t>Static-first, mobile-first, offline-tolerant; the site is the trust proof.</t>
  </si>
  <si>
    <t>Website build</t>
  </si>
  <si>
    <t>G05</t>
  </si>
  <si>
    <t>14-table schema + invariants</t>
  </si>
  <si>
    <t>No payout before signed acceptance; no pod below T2 — enforced in the data model.</t>
  </si>
  <si>
    <t>Platform</t>
  </si>
  <si>
    <t>G06</t>
  </si>
  <si>
    <t>Website craft (Surveyor / Index)</t>
  </si>
  <si>
    <t>Cursor system, Index menu (never a hamburger), assembly motion — calm, premium.</t>
  </si>
  <si>
    <t>Website</t>
  </si>
  <si>
    <t>G07</t>
  </si>
  <si>
    <t>Build the trust before the features</t>
  </si>
  <si>
    <t>Sequencing philosophy — the house must feel certain from the first screen.</t>
  </si>
  <si>
    <t>Whole build</t>
  </si>
  <si>
    <t>H01</t>
  </si>
  <si>
    <t>H · People &amp; Culture</t>
  </si>
  <si>
    <t>The Kayan Six</t>
  </si>
  <si>
    <t>Deliver · Verify · Withstand · Connect · Grow · Honour — canonical behaviour framework.</t>
  </si>
  <si>
    <t>People</t>
  </si>
  <si>
    <t>Verification, reviews</t>
  </si>
  <si>
    <t>H02</t>
  </si>
  <si>
    <t>Competency system (CMP-002)</t>
  </si>
  <si>
    <t>Craft × behaviour on one ladder; tier-gate; both on the Card.</t>
  </si>
  <si>
    <t>People, verification</t>
  </si>
  <si>
    <t>H03</t>
  </si>
  <si>
    <t>Coded positions + unique naming</t>
  </si>
  <si>
    <t>Positions coded (CEO-01…); Kayan-name display layer over the code.</t>
  </si>
  <si>
    <t>HR, RBAC, contracts</t>
  </si>
  <si>
    <t>H04</t>
  </si>
  <si>
    <t>Cap-table covenant</t>
  </si>
  <si>
    <t>External entry carved only from Maher's 80%; partners non-dilutable; immutable, no vesting.</t>
  </si>
  <si>
    <t>Governance, investor</t>
  </si>
  <si>
    <t>H05</t>
  </si>
  <si>
    <t>Egypt coaches on same pathway</t>
  </si>
  <si>
    <t>Cairo delivery talent registers/verifies through the same freelancer system.</t>
  </si>
  <si>
    <t>Talent ops</t>
  </si>
  <si>
    <t>I01</t>
  </si>
  <si>
    <t>I · Risk, Gov &amp; Compliance</t>
  </si>
  <si>
    <t>Cash is the source of collapse</t>
  </si>
  <si>
    <t>Minimise cash; bank-held funds; documented exceptions only.</t>
  </si>
  <si>
    <t>Risk</t>
  </si>
  <si>
    <t>Finance policy</t>
  </si>
  <si>
    <t>I02</t>
  </si>
  <si>
    <t>Escrow / protected account</t>
  </si>
  <si>
    <t>Client funds held, milestone release, no informal pooling; payout only after acceptance.</t>
  </si>
  <si>
    <t>Delivery, finance</t>
  </si>
  <si>
    <t>I03</t>
  </si>
  <si>
    <t>Sanctions + KYC screening</t>
  </si>
  <si>
    <t>OFAC/SDN screening mandatory for cross-border funds (Payoneer $1.4m case).</t>
  </si>
  <si>
    <t>RESEARCH</t>
  </si>
  <si>
    <t>Onboarding, payments</t>
  </si>
  <si>
    <t>I04</t>
  </si>
  <si>
    <t>Principal-vs-agent flag</t>
  </si>
  <si>
    <t>Managed delivery may be principal, not agent — confirm per product before filing.</t>
  </si>
  <si>
    <t>Accounting, counsel</t>
  </si>
  <si>
    <t>I05</t>
  </si>
  <si>
    <t>Governance grows with the company</t>
  </si>
  <si>
    <t>Simple-but-clear now; more formal at each growth step; decision records (D-#).</t>
  </si>
  <si>
    <t>Governance</t>
  </si>
  <si>
    <t>I06</t>
  </si>
  <si>
    <t>Data protection + safeguarding</t>
  </si>
  <si>
    <t>Privacy policy, PSEA, consent; GDPR-aware.</t>
  </si>
  <si>
    <t>Legal, people</t>
  </si>
  <si>
    <t>I07</t>
  </si>
  <si>
    <t>Where Kayan will not go</t>
  </si>
  <si>
    <t>Explicit non-goals / guardrails in the strategic plan — discipline as an asset.</t>
  </si>
  <si>
    <t>STR-002</t>
  </si>
  <si>
    <t>Strategy</t>
  </si>
  <si>
    <t>I08</t>
  </si>
  <si>
    <t>External-voice substitutions</t>
  </si>
  <si>
    <t>Never say escrow/pods/gates/tiers to clients — client-language rule.</t>
  </si>
  <si>
    <t>All external copy</t>
  </si>
  <si>
    <t>J01</t>
  </si>
  <si>
    <t>J · Finance Model</t>
  </si>
  <si>
    <t>Four gate-triggered phases</t>
  </si>
  <si>
    <t>Five-year plan advances by gates, not dates — 'one compounding asset'.</t>
  </si>
  <si>
    <t>Strategy, hiring</t>
  </si>
  <si>
    <t>J02</t>
  </si>
  <si>
    <t>Revenue mix target (2028)</t>
  </si>
  <si>
    <t>~50% commissions / 15% subs / 10% fintech / 10% enterprise / 15% other (assumption).</t>
  </si>
  <si>
    <t>J03</t>
  </si>
  <si>
    <t>Volatile figures use placeholders</t>
  </si>
  <si>
    <t>No hardcoded volatile numbers until confirmed — protects the documents.</t>
  </si>
  <si>
    <t>All documents</t>
  </si>
  <si>
    <t>J04</t>
  </si>
  <si>
    <t>Positive unit economics per project</t>
  </si>
  <si>
    <t>Every deal positive gross margin from day one (Translation golden product = 25% take).</t>
  </si>
  <si>
    <t>Finance, products</t>
  </si>
  <si>
    <t>J05</t>
  </si>
  <si>
    <t>Flywheel model</t>
  </si>
  <si>
    <t>Delivered work -&gt; proof -&gt; clients -&gt; funds training -&gt; feeds delivery.</t>
  </si>
  <si>
    <t>ECO</t>
  </si>
  <si>
    <t>J06</t>
  </si>
  <si>
    <t>Market counted correctly</t>
  </si>
  <si>
    <t>The addressable market framed honestly, not inflated.</t>
  </si>
  <si>
    <t>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</si>
</sst>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F5F2EA"/>
      <name val="Arial"/>
    </font>
    <font>
      <b/>
      <sz val="11"/>
      <name val="Arial"/>
    </font>
    <font>
      <b/>
      <sz val="10"/>
      <color rgb="FFFFFFFF"/>
      <name val="Calibri"/>
    </font>
    <font>
      <b/>
      <sz val="11"/>
      <color rgb="FF8B0000"/>
      <name val="Calibri"/>
    </font>
    <font>
      <b/>
      <sz val="11"/>
      <color rgb="FFFFFFFF"/>
      <name val="Calibri"/>
    </font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0D4F4F"/>
      <name val="Arial"/>
      <charset val="1"/>
    </font>
    <font>
      <sz val="8"/>
      <color rgb="FF1A1A1A"/>
      <name val="Arial"/>
      <charset val="1"/>
    </font>
    <font>
      <sz val="7"/>
      <color rgb="FF1A1A1A"/>
      <name val="Arial"/>
      <charset val="1"/>
    </font>
    <font>
      <b/>
      <sz val="7"/>
      <color rgb="FF1A1A1A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C3D32"/>
      </patternFill>
    </fill>
    <fill>
      <patternFill patternType="solid">
        <fgColor rgb="FFD9EDE7"/>
      </patternFill>
    </fill>
    <fill>
      <patternFill patternType="solid">
        <fgColor rgb="FFCDEAD7"/>
      </patternFill>
    </fill>
    <fill>
      <patternFill patternType="solid">
        <fgColor rgb="FFE8F0E8"/>
      </patternFill>
    </fill>
    <fill>
      <patternFill patternType="solid">
        <fgColor rgb="FFFDF6E3"/>
      </patternFill>
    </fill>
    <fill>
      <patternFill patternType="solid">
        <fgColor rgb="FFFFF6E0"/>
      </patternFill>
    </fill>
    <fill>
      <patternFill patternType="solid">
        <fgColor rgb="FF0D4F4F"/>
      </patternFill>
    </fill>
    <fill>
      <patternFill patternType="solid">
        <fgColor rgb="FFF4EFE3"/>
      </patternFill>
    </fill>
    <fill>
      <patternFill patternType="solid">
        <fgColor rgb="FF022B22"/>
      </patternFill>
    </fill>
    <fill>
      <patternFill patternType="solid">
        <fgColor rgb="FF1E7D4E"/>
      </patternFill>
    </fill>
    <fill>
      <patternFill patternType="solid">
        <fgColor rgb="FF15181D"/>
        <bgColor rgb="FF1A1A1A"/>
      </patternFill>
    </fill>
    <fill>
      <patternFill patternType="solid">
        <fgColor rgb="FFE7F0EE"/>
        <bgColor rgb="FFE9F0EC"/>
      </patternFill>
    </fill>
    <fill>
      <patternFill patternType="solid">
        <fgColor rgb="FFE9EEF2"/>
        <bgColor rgb="FFEAF0F0"/>
      </patternFill>
    </fill>
    <fill>
      <patternFill patternType="solid">
        <fgColor rgb="FFF0ECDE"/>
        <bgColor rgb="FFF3ECE4"/>
      </patternFill>
    </fill>
    <fill>
      <patternFill patternType="solid">
        <fgColor rgb="FFF2E9E9"/>
        <bgColor rgb="FFF3ECE4"/>
      </patternFill>
    </fill>
    <fill>
      <patternFill patternType="solid">
        <fgColor rgb="FFE6EFE9"/>
        <bgColor rgb="FFE7F0EE"/>
      </patternFill>
    </fill>
    <fill>
      <patternFill patternType="solid">
        <fgColor rgb="FFF3ECE4"/>
        <bgColor rgb="FFF0ECDE"/>
      </patternFill>
    </fill>
    <fill>
      <patternFill patternType="solid">
        <fgColor rgb="FFEDEBF2"/>
        <bgColor rgb="FFECE8F0"/>
      </patternFill>
    </fill>
    <fill>
      <patternFill patternType="solid">
        <fgColor rgb="FFEAF0F0"/>
        <bgColor rgb="FFE9F0EC"/>
      </patternFill>
    </fill>
    <fill>
      <patternFill patternType="solid">
        <fgColor rgb="FFECE8F0"/>
        <bgColor rgb="FFEDEBF2"/>
      </patternFill>
    </fill>
    <fill>
      <patternFill patternType="solid">
        <fgColor rgb="FFE9F0EC"/>
        <bgColor rgb="FFE7F0E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8C9A8"/>
      </left>
      <right style="thin">
        <color rgb="FFD8C9A8"/>
      </right>
      <top style="thin">
        <color rgb="FFD8C9A8"/>
      </top>
      <bottom style="thin">
        <color rgb="FFD8C9A8"/>
      </bottom>
      <diagonal/>
    </border>
    <border>
      <left style="thin">
        <color rgb="FFD8D3C7"/>
      </left>
      <right style="thin">
        <color rgb="FFD8D3C7"/>
      </right>
      <top style="thin">
        <color rgb="FFD8D3C7"/>
      </top>
      <bottom style="thin">
        <color rgb="FFD8D3C7"/>
      </bottom>
      <diagonal/>
    </border>
  </borders>
  <cellStyleXfs count="2">
    <xf numFmtId="0" fontId="0" fillId="0" borderId="0"/>
    <xf numFmtId="0" fontId="8" fillId="0" borderId="0"/>
  </cellStyleXfs>
  <cellXfs count="6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center" wrapText="1"/>
    </xf>
    <xf numFmtId="0" fontId="6" fillId="0" borderId="0" xfId="0" applyFont="1"/>
    <xf numFmtId="0" fontId="0" fillId="0" borderId="2" xfId="0" applyBorder="1" applyAlignment="1">
      <alignment vertical="top" wrapText="1"/>
    </xf>
    <xf numFmtId="0" fontId="0" fillId="0" borderId="0" xfId="0" applyAlignment="1">
      <alignment wrapText="1"/>
    </xf>
    <xf numFmtId="0" fontId="0" fillId="9" borderId="2" xfId="0" applyFill="1" applyBorder="1" applyAlignment="1">
      <alignment vertical="top" wrapText="1"/>
    </xf>
    <xf numFmtId="0" fontId="7" fillId="10" borderId="0" xfId="0" applyFont="1" applyFill="1"/>
    <xf numFmtId="0" fontId="7" fillId="10" borderId="2" xfId="0" applyFont="1" applyFill="1" applyBorder="1"/>
    <xf numFmtId="0" fontId="7" fillId="11" borderId="0" xfId="0" applyFont="1" applyFill="1"/>
    <xf numFmtId="0" fontId="7" fillId="11" borderId="2" xfId="0" applyFont="1" applyFill="1" applyBorder="1"/>
    <xf numFmtId="0" fontId="9" fillId="12" borderId="0" xfId="1" applyFont="1" applyFill="1" applyAlignment="1">
      <alignment vertical="center"/>
    </xf>
    <xf numFmtId="0" fontId="8" fillId="0" borderId="0" xfId="1"/>
    <xf numFmtId="0" fontId="10" fillId="12" borderId="3" xfId="1" applyFont="1" applyFill="1" applyBorder="1" applyAlignment="1">
      <alignment vertical="center" wrapText="1"/>
    </xf>
    <xf numFmtId="0" fontId="11" fillId="13" borderId="3" xfId="1" applyFont="1" applyFill="1" applyBorder="1" applyAlignment="1">
      <alignment horizontal="center" vertical="top" wrapText="1"/>
    </xf>
    <xf numFmtId="0" fontId="12" fillId="13" borderId="3" xfId="1" applyFont="1" applyFill="1" applyBorder="1" applyAlignment="1">
      <alignment horizontal="left" vertical="top" wrapText="1"/>
    </xf>
    <xf numFmtId="0" fontId="13" fillId="13" borderId="3" xfId="1" applyFont="1" applyFill="1" applyBorder="1" applyAlignment="1">
      <alignment horizontal="center" vertical="top" wrapText="1"/>
    </xf>
    <xf numFmtId="0" fontId="14" fillId="13" borderId="3" xfId="1" applyFont="1" applyFill="1" applyBorder="1" applyAlignment="1">
      <alignment horizontal="center" vertical="top" wrapText="1"/>
    </xf>
    <xf numFmtId="0" fontId="11" fillId="14" borderId="3" xfId="1" applyFont="1" applyFill="1" applyBorder="1" applyAlignment="1">
      <alignment horizontal="center" vertical="top" wrapText="1"/>
    </xf>
    <xf numFmtId="0" fontId="12" fillId="14" borderId="3" xfId="1" applyFont="1" applyFill="1" applyBorder="1" applyAlignment="1">
      <alignment horizontal="left" vertical="top" wrapText="1"/>
    </xf>
    <xf numFmtId="0" fontId="13" fillId="14" borderId="3" xfId="1" applyFont="1" applyFill="1" applyBorder="1" applyAlignment="1">
      <alignment horizontal="center" vertical="top" wrapText="1"/>
    </xf>
    <xf numFmtId="0" fontId="14" fillId="14" borderId="3" xfId="1" applyFont="1" applyFill="1" applyBorder="1" applyAlignment="1">
      <alignment horizontal="center" vertical="top" wrapText="1"/>
    </xf>
    <xf numFmtId="0" fontId="11" fillId="15" borderId="3" xfId="1" applyFont="1" applyFill="1" applyBorder="1" applyAlignment="1">
      <alignment horizontal="center" vertical="top" wrapText="1"/>
    </xf>
    <xf numFmtId="0" fontId="12" fillId="15" borderId="3" xfId="1" applyFont="1" applyFill="1" applyBorder="1" applyAlignment="1">
      <alignment horizontal="left" vertical="top" wrapText="1"/>
    </xf>
    <xf numFmtId="0" fontId="13" fillId="15" borderId="3" xfId="1" applyFont="1" applyFill="1" applyBorder="1" applyAlignment="1">
      <alignment horizontal="center" vertical="top" wrapText="1"/>
    </xf>
    <xf numFmtId="0" fontId="14" fillId="15" borderId="3" xfId="1" applyFont="1" applyFill="1" applyBorder="1" applyAlignment="1">
      <alignment horizontal="center" vertical="top" wrapText="1"/>
    </xf>
    <xf numFmtId="0" fontId="11" fillId="16" borderId="3" xfId="1" applyFont="1" applyFill="1" applyBorder="1" applyAlignment="1">
      <alignment horizontal="center" vertical="top" wrapText="1"/>
    </xf>
    <xf numFmtId="0" fontId="12" fillId="16" borderId="3" xfId="1" applyFont="1" applyFill="1" applyBorder="1" applyAlignment="1">
      <alignment horizontal="left" vertical="top" wrapText="1"/>
    </xf>
    <xf numFmtId="0" fontId="13" fillId="16" borderId="3" xfId="1" applyFont="1" applyFill="1" applyBorder="1" applyAlignment="1">
      <alignment horizontal="center" vertical="top" wrapText="1"/>
    </xf>
    <xf numFmtId="0" fontId="14" fillId="16" borderId="3" xfId="1" applyFont="1" applyFill="1" applyBorder="1" applyAlignment="1">
      <alignment horizontal="center" vertical="top" wrapText="1"/>
    </xf>
    <xf numFmtId="0" fontId="11" fillId="17" borderId="3" xfId="1" applyFont="1" applyFill="1" applyBorder="1" applyAlignment="1">
      <alignment horizontal="center" vertical="top" wrapText="1"/>
    </xf>
    <xf numFmtId="0" fontId="12" fillId="17" borderId="3" xfId="1" applyFont="1" applyFill="1" applyBorder="1" applyAlignment="1">
      <alignment horizontal="left" vertical="top" wrapText="1"/>
    </xf>
    <xf numFmtId="0" fontId="13" fillId="17" borderId="3" xfId="1" applyFont="1" applyFill="1" applyBorder="1" applyAlignment="1">
      <alignment horizontal="center" vertical="top" wrapText="1"/>
    </xf>
    <xf numFmtId="0" fontId="14" fillId="17" borderId="3" xfId="1" applyFont="1" applyFill="1" applyBorder="1" applyAlignment="1">
      <alignment horizontal="center" vertical="top" wrapText="1"/>
    </xf>
    <xf numFmtId="0" fontId="11" fillId="18" borderId="3" xfId="1" applyFont="1" applyFill="1" applyBorder="1" applyAlignment="1">
      <alignment horizontal="center" vertical="top" wrapText="1"/>
    </xf>
    <xf numFmtId="0" fontId="12" fillId="18" borderId="3" xfId="1" applyFont="1" applyFill="1" applyBorder="1" applyAlignment="1">
      <alignment horizontal="left" vertical="top" wrapText="1"/>
    </xf>
    <xf numFmtId="0" fontId="13" fillId="18" borderId="3" xfId="1" applyFont="1" applyFill="1" applyBorder="1" applyAlignment="1">
      <alignment horizontal="center" vertical="top" wrapText="1"/>
    </xf>
    <xf numFmtId="0" fontId="14" fillId="18" borderId="3" xfId="1" applyFont="1" applyFill="1" applyBorder="1" applyAlignment="1">
      <alignment horizontal="center" vertical="top" wrapText="1"/>
    </xf>
    <xf numFmtId="0" fontId="11" fillId="19" borderId="3" xfId="1" applyFont="1" applyFill="1" applyBorder="1" applyAlignment="1">
      <alignment horizontal="center" vertical="top" wrapText="1"/>
    </xf>
    <xf numFmtId="0" fontId="12" fillId="19" borderId="3" xfId="1" applyFont="1" applyFill="1" applyBorder="1" applyAlignment="1">
      <alignment horizontal="left" vertical="top" wrapText="1"/>
    </xf>
    <xf numFmtId="0" fontId="13" fillId="19" borderId="3" xfId="1" applyFont="1" applyFill="1" applyBorder="1" applyAlignment="1">
      <alignment horizontal="center" vertical="top" wrapText="1"/>
    </xf>
    <xf numFmtId="0" fontId="14" fillId="19" borderId="3" xfId="1" applyFont="1" applyFill="1" applyBorder="1" applyAlignment="1">
      <alignment horizontal="center" vertical="top" wrapText="1"/>
    </xf>
    <xf numFmtId="0" fontId="11" fillId="20" borderId="3" xfId="1" applyFont="1" applyFill="1" applyBorder="1" applyAlignment="1">
      <alignment horizontal="center" vertical="top" wrapText="1"/>
    </xf>
    <xf numFmtId="0" fontId="12" fillId="20" borderId="3" xfId="1" applyFont="1" applyFill="1" applyBorder="1" applyAlignment="1">
      <alignment horizontal="left" vertical="top" wrapText="1"/>
    </xf>
    <xf numFmtId="0" fontId="13" fillId="20" borderId="3" xfId="1" applyFont="1" applyFill="1" applyBorder="1" applyAlignment="1">
      <alignment horizontal="center" vertical="top" wrapText="1"/>
    </xf>
    <xf numFmtId="0" fontId="14" fillId="20" borderId="3" xfId="1" applyFont="1" applyFill="1" applyBorder="1" applyAlignment="1">
      <alignment horizontal="center" vertical="top" wrapText="1"/>
    </xf>
    <xf numFmtId="0" fontId="11" fillId="21" borderId="3" xfId="1" applyFont="1" applyFill="1" applyBorder="1" applyAlignment="1">
      <alignment horizontal="center" vertical="top" wrapText="1"/>
    </xf>
    <xf numFmtId="0" fontId="12" fillId="21" borderId="3" xfId="1" applyFont="1" applyFill="1" applyBorder="1" applyAlignment="1">
      <alignment horizontal="left" vertical="top" wrapText="1"/>
    </xf>
    <xf numFmtId="0" fontId="13" fillId="21" borderId="3" xfId="1" applyFont="1" applyFill="1" applyBorder="1" applyAlignment="1">
      <alignment horizontal="center" vertical="top" wrapText="1"/>
    </xf>
    <xf numFmtId="0" fontId="14" fillId="21" borderId="3" xfId="1" applyFont="1" applyFill="1" applyBorder="1" applyAlignment="1">
      <alignment horizontal="center" vertical="top" wrapText="1"/>
    </xf>
    <xf numFmtId="0" fontId="11" fillId="22" borderId="3" xfId="1" applyFont="1" applyFill="1" applyBorder="1" applyAlignment="1">
      <alignment horizontal="center" vertical="top" wrapText="1"/>
    </xf>
    <xf numFmtId="0" fontId="12" fillId="22" borderId="3" xfId="1" applyFont="1" applyFill="1" applyBorder="1" applyAlignment="1">
      <alignment horizontal="left" vertical="top" wrapText="1"/>
    </xf>
    <xf numFmtId="0" fontId="13" fillId="22" borderId="3" xfId="1" applyFont="1" applyFill="1" applyBorder="1" applyAlignment="1">
      <alignment horizontal="center" vertical="top" wrapText="1"/>
    </xf>
    <xf numFmtId="0" fontId="14" fillId="22" borderId="3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BA4138AA-9BC1-448F-BDF8-090672AE9A5D}"/>
  </cellStyles>
  <dxfs count="2">
    <dxf>
      <font>
        <b/>
        <color rgb="FF7A5C00"/>
      </font>
      <fill>
        <patternFill patternType="solid">
          <fgColor rgb="FFFFF3D6"/>
        </patternFill>
      </fill>
    </dxf>
    <dxf>
      <font>
        <b/>
        <color rgb="FF8B0000"/>
      </font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6490-43F4-4753-87B1-242FF945B0F2}">
  <dimension ref="B2:I73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2" style="25" customWidth="1"/>
    <col min="2" max="2" width="7" style="25" customWidth="1"/>
    <col min="3" max="3" width="22" style="25" customWidth="1"/>
    <col min="4" max="4" width="30" style="25" customWidth="1"/>
    <col min="5" max="5" width="44" style="25" customWidth="1"/>
    <col min="6" max="6" width="13" style="25" customWidth="1"/>
    <col min="7" max="7" width="14" style="25" customWidth="1"/>
    <col min="8" max="8" width="12" style="25" customWidth="1"/>
    <col min="9" max="9" width="22" style="25" customWidth="1"/>
    <col min="10" max="16384" width="8.6640625" style="25"/>
  </cols>
  <sheetData>
    <row r="2" spans="2:9" ht="24" customHeight="1" x14ac:dyDescent="0.3">
      <c r="B2" s="24" t="s">
        <v>728</v>
      </c>
      <c r="C2" s="24"/>
      <c r="D2" s="24"/>
      <c r="E2" s="24"/>
      <c r="F2" s="24"/>
      <c r="G2" s="24"/>
      <c r="H2" s="24"/>
      <c r="I2" s="24"/>
    </row>
    <row r="4" spans="2:9" x14ac:dyDescent="0.3">
      <c r="B4" s="26" t="s">
        <v>224</v>
      </c>
      <c r="C4" s="26" t="s">
        <v>729</v>
      </c>
      <c r="D4" s="26" t="s">
        <v>686</v>
      </c>
      <c r="E4" s="26" t="s">
        <v>730</v>
      </c>
      <c r="F4" s="26" t="s">
        <v>731</v>
      </c>
      <c r="G4" s="26" t="s">
        <v>221</v>
      </c>
      <c r="H4" s="26" t="s">
        <v>272</v>
      </c>
      <c r="I4" s="26" t="s">
        <v>732</v>
      </c>
    </row>
    <row r="5" spans="2:9" ht="27.75" customHeight="1" x14ac:dyDescent="0.3">
      <c r="B5" s="27" t="s">
        <v>733</v>
      </c>
      <c r="C5" s="28" t="s">
        <v>734</v>
      </c>
      <c r="D5" s="28" t="s">
        <v>735</v>
      </c>
      <c r="E5" s="28" t="s">
        <v>736</v>
      </c>
      <c r="F5" s="28" t="s">
        <v>737</v>
      </c>
      <c r="G5" s="29" t="s">
        <v>738</v>
      </c>
      <c r="H5" s="29" t="s">
        <v>739</v>
      </c>
      <c r="I5" s="30" t="s">
        <v>740</v>
      </c>
    </row>
    <row r="6" spans="2:9" ht="27.75" customHeight="1" x14ac:dyDescent="0.3">
      <c r="B6" s="27" t="s">
        <v>741</v>
      </c>
      <c r="C6" s="28" t="s">
        <v>734</v>
      </c>
      <c r="D6" s="28" t="s">
        <v>742</v>
      </c>
      <c r="E6" s="28" t="s">
        <v>743</v>
      </c>
      <c r="F6" s="28" t="s">
        <v>737</v>
      </c>
      <c r="G6" s="29" t="s">
        <v>744</v>
      </c>
      <c r="H6" s="29" t="s">
        <v>739</v>
      </c>
      <c r="I6" s="30" t="s">
        <v>745</v>
      </c>
    </row>
    <row r="7" spans="2:9" ht="27.75" customHeight="1" x14ac:dyDescent="0.3">
      <c r="B7" s="27" t="s">
        <v>746</v>
      </c>
      <c r="C7" s="28" t="s">
        <v>734</v>
      </c>
      <c r="D7" s="28" t="s">
        <v>747</v>
      </c>
      <c r="E7" s="28" t="s">
        <v>748</v>
      </c>
      <c r="F7" s="28" t="s">
        <v>737</v>
      </c>
      <c r="G7" s="29" t="s">
        <v>749</v>
      </c>
      <c r="H7" s="29" t="s">
        <v>739</v>
      </c>
      <c r="I7" s="30" t="s">
        <v>750</v>
      </c>
    </row>
    <row r="8" spans="2:9" ht="27.75" customHeight="1" x14ac:dyDescent="0.3">
      <c r="B8" s="27" t="s">
        <v>751</v>
      </c>
      <c r="C8" s="28" t="s">
        <v>734</v>
      </c>
      <c r="D8" s="28" t="s">
        <v>752</v>
      </c>
      <c r="E8" s="28" t="s">
        <v>753</v>
      </c>
      <c r="F8" s="28" t="s">
        <v>737</v>
      </c>
      <c r="G8" s="29" t="s">
        <v>749</v>
      </c>
      <c r="H8" s="29" t="s">
        <v>739</v>
      </c>
      <c r="I8" s="30" t="s">
        <v>754</v>
      </c>
    </row>
    <row r="9" spans="2:9" ht="27.75" customHeight="1" x14ac:dyDescent="0.3">
      <c r="B9" s="27" t="s">
        <v>755</v>
      </c>
      <c r="C9" s="28" t="s">
        <v>734</v>
      </c>
      <c r="D9" s="28" t="s">
        <v>756</v>
      </c>
      <c r="E9" s="28" t="s">
        <v>757</v>
      </c>
      <c r="F9" s="28" t="s">
        <v>758</v>
      </c>
      <c r="G9" s="29" t="s">
        <v>759</v>
      </c>
      <c r="H9" s="29" t="s">
        <v>739</v>
      </c>
      <c r="I9" s="30" t="s">
        <v>760</v>
      </c>
    </row>
    <row r="10" spans="2:9" ht="27.75" customHeight="1" x14ac:dyDescent="0.3">
      <c r="B10" s="27" t="s">
        <v>761</v>
      </c>
      <c r="C10" s="28" t="s">
        <v>734</v>
      </c>
      <c r="D10" s="28" t="s">
        <v>762</v>
      </c>
      <c r="E10" s="28" t="s">
        <v>763</v>
      </c>
      <c r="F10" s="28" t="s">
        <v>737</v>
      </c>
      <c r="G10" s="29" t="s">
        <v>744</v>
      </c>
      <c r="H10" s="29" t="s">
        <v>739</v>
      </c>
      <c r="I10" s="30" t="s">
        <v>764</v>
      </c>
    </row>
    <row r="11" spans="2:9" ht="27.75" customHeight="1" x14ac:dyDescent="0.3">
      <c r="B11" s="27" t="s">
        <v>765</v>
      </c>
      <c r="C11" s="28" t="s">
        <v>734</v>
      </c>
      <c r="D11" s="28" t="s">
        <v>766</v>
      </c>
      <c r="E11" s="28" t="s">
        <v>767</v>
      </c>
      <c r="F11" s="28" t="s">
        <v>737</v>
      </c>
      <c r="G11" s="29" t="s">
        <v>744</v>
      </c>
      <c r="H11" s="29" t="s">
        <v>739</v>
      </c>
      <c r="I11" s="30" t="s">
        <v>768</v>
      </c>
    </row>
    <row r="12" spans="2:9" ht="27.75" customHeight="1" x14ac:dyDescent="0.3">
      <c r="B12" s="31" t="s">
        <v>769</v>
      </c>
      <c r="C12" s="32" t="s">
        <v>770</v>
      </c>
      <c r="D12" s="32" t="s">
        <v>771</v>
      </c>
      <c r="E12" s="32" t="s">
        <v>772</v>
      </c>
      <c r="F12" s="32" t="s">
        <v>773</v>
      </c>
      <c r="G12" s="33" t="s">
        <v>774</v>
      </c>
      <c r="H12" s="33" t="s">
        <v>739</v>
      </c>
      <c r="I12" s="34" t="s">
        <v>775</v>
      </c>
    </row>
    <row r="13" spans="2:9" ht="27.75" customHeight="1" x14ac:dyDescent="0.3">
      <c r="B13" s="31" t="s">
        <v>776</v>
      </c>
      <c r="C13" s="32" t="s">
        <v>770</v>
      </c>
      <c r="D13" s="32" t="s">
        <v>777</v>
      </c>
      <c r="E13" s="32" t="s">
        <v>778</v>
      </c>
      <c r="F13" s="32" t="s">
        <v>773</v>
      </c>
      <c r="G13" s="33" t="s">
        <v>749</v>
      </c>
      <c r="H13" s="33" t="s">
        <v>739</v>
      </c>
      <c r="I13" s="34" t="s">
        <v>779</v>
      </c>
    </row>
    <row r="14" spans="2:9" ht="27.75" customHeight="1" x14ac:dyDescent="0.3">
      <c r="B14" s="31" t="s">
        <v>780</v>
      </c>
      <c r="C14" s="32" t="s">
        <v>770</v>
      </c>
      <c r="D14" s="32" t="s">
        <v>781</v>
      </c>
      <c r="E14" s="32" t="s">
        <v>782</v>
      </c>
      <c r="F14" s="32" t="s">
        <v>758</v>
      </c>
      <c r="G14" s="33" t="s">
        <v>749</v>
      </c>
      <c r="H14" s="33" t="s">
        <v>739</v>
      </c>
      <c r="I14" s="34" t="s">
        <v>783</v>
      </c>
    </row>
    <row r="15" spans="2:9" ht="27.75" customHeight="1" x14ac:dyDescent="0.3">
      <c r="B15" s="31" t="s">
        <v>784</v>
      </c>
      <c r="C15" s="32" t="s">
        <v>770</v>
      </c>
      <c r="D15" s="32" t="s">
        <v>785</v>
      </c>
      <c r="E15" s="32" t="s">
        <v>786</v>
      </c>
      <c r="F15" s="32" t="s">
        <v>773</v>
      </c>
      <c r="G15" s="33" t="s">
        <v>787</v>
      </c>
      <c r="H15" s="33" t="s">
        <v>739</v>
      </c>
      <c r="I15" s="34" t="s">
        <v>788</v>
      </c>
    </row>
    <row r="16" spans="2:9" ht="27.75" customHeight="1" x14ac:dyDescent="0.3">
      <c r="B16" s="31" t="s">
        <v>789</v>
      </c>
      <c r="C16" s="32" t="s">
        <v>770</v>
      </c>
      <c r="D16" s="32" t="s">
        <v>790</v>
      </c>
      <c r="E16" s="32" t="s">
        <v>791</v>
      </c>
      <c r="F16" s="32" t="s">
        <v>773</v>
      </c>
      <c r="G16" s="33" t="s">
        <v>744</v>
      </c>
      <c r="H16" s="33" t="s">
        <v>792</v>
      </c>
      <c r="I16" s="34" t="s">
        <v>793</v>
      </c>
    </row>
    <row r="17" spans="2:9" ht="27.75" customHeight="1" x14ac:dyDescent="0.3">
      <c r="B17" s="31" t="s">
        <v>794</v>
      </c>
      <c r="C17" s="32" t="s">
        <v>770</v>
      </c>
      <c r="D17" s="32" t="s">
        <v>795</v>
      </c>
      <c r="E17" s="32" t="s">
        <v>796</v>
      </c>
      <c r="F17" s="32" t="s">
        <v>737</v>
      </c>
      <c r="G17" s="33" t="s">
        <v>744</v>
      </c>
      <c r="H17" s="33" t="s">
        <v>739</v>
      </c>
      <c r="I17" s="34" t="s">
        <v>797</v>
      </c>
    </row>
    <row r="18" spans="2:9" ht="27.75" customHeight="1" x14ac:dyDescent="0.3">
      <c r="B18" s="31" t="s">
        <v>798</v>
      </c>
      <c r="C18" s="32" t="s">
        <v>770</v>
      </c>
      <c r="D18" s="32" t="s">
        <v>799</v>
      </c>
      <c r="E18" s="32" t="s">
        <v>800</v>
      </c>
      <c r="F18" s="32" t="s">
        <v>801</v>
      </c>
      <c r="G18" s="33" t="s">
        <v>744</v>
      </c>
      <c r="H18" s="33" t="s">
        <v>792</v>
      </c>
      <c r="I18" s="34" t="s">
        <v>802</v>
      </c>
    </row>
    <row r="19" spans="2:9" ht="27.75" customHeight="1" x14ac:dyDescent="0.3">
      <c r="B19" s="31" t="s">
        <v>803</v>
      </c>
      <c r="C19" s="32" t="s">
        <v>770</v>
      </c>
      <c r="D19" s="32" t="s">
        <v>804</v>
      </c>
      <c r="E19" s="32" t="s">
        <v>805</v>
      </c>
      <c r="F19" s="32" t="s">
        <v>773</v>
      </c>
      <c r="G19" s="33" t="s">
        <v>806</v>
      </c>
      <c r="H19" s="33" t="s">
        <v>739</v>
      </c>
      <c r="I19" s="34" t="s">
        <v>807</v>
      </c>
    </row>
    <row r="20" spans="2:9" ht="27.75" customHeight="1" x14ac:dyDescent="0.3">
      <c r="B20" s="35" t="s">
        <v>808</v>
      </c>
      <c r="C20" s="36" t="s">
        <v>809</v>
      </c>
      <c r="D20" s="36" t="s">
        <v>810</v>
      </c>
      <c r="E20" s="36" t="s">
        <v>811</v>
      </c>
      <c r="F20" s="36" t="s">
        <v>344</v>
      </c>
      <c r="G20" s="37" t="s">
        <v>749</v>
      </c>
      <c r="H20" s="37" t="s">
        <v>739</v>
      </c>
      <c r="I20" s="38" t="s">
        <v>812</v>
      </c>
    </row>
    <row r="21" spans="2:9" ht="27.75" customHeight="1" x14ac:dyDescent="0.3">
      <c r="B21" s="35" t="s">
        <v>813</v>
      </c>
      <c r="C21" s="36" t="s">
        <v>809</v>
      </c>
      <c r="D21" s="36" t="s">
        <v>814</v>
      </c>
      <c r="E21" s="36" t="s">
        <v>815</v>
      </c>
      <c r="F21" s="36" t="s">
        <v>344</v>
      </c>
      <c r="G21" s="37" t="s">
        <v>816</v>
      </c>
      <c r="H21" s="37" t="s">
        <v>739</v>
      </c>
      <c r="I21" s="38" t="s">
        <v>817</v>
      </c>
    </row>
    <row r="22" spans="2:9" ht="27.75" customHeight="1" x14ac:dyDescent="0.3">
      <c r="B22" s="35" t="s">
        <v>818</v>
      </c>
      <c r="C22" s="36" t="s">
        <v>809</v>
      </c>
      <c r="D22" s="36" t="s">
        <v>819</v>
      </c>
      <c r="E22" s="36" t="s">
        <v>820</v>
      </c>
      <c r="F22" s="36" t="s">
        <v>344</v>
      </c>
      <c r="G22" s="37" t="s">
        <v>816</v>
      </c>
      <c r="H22" s="37" t="s">
        <v>739</v>
      </c>
      <c r="I22" s="38" t="s">
        <v>821</v>
      </c>
    </row>
    <row r="23" spans="2:9" ht="27.75" customHeight="1" x14ac:dyDescent="0.3">
      <c r="B23" s="35" t="s">
        <v>822</v>
      </c>
      <c r="C23" s="36" t="s">
        <v>809</v>
      </c>
      <c r="D23" s="36" t="s">
        <v>823</v>
      </c>
      <c r="E23" s="36" t="s">
        <v>824</v>
      </c>
      <c r="F23" s="36" t="s">
        <v>344</v>
      </c>
      <c r="G23" s="37" t="s">
        <v>759</v>
      </c>
      <c r="H23" s="37" t="s">
        <v>739</v>
      </c>
      <c r="I23" s="38" t="s">
        <v>825</v>
      </c>
    </row>
    <row r="24" spans="2:9" ht="27.75" customHeight="1" x14ac:dyDescent="0.3">
      <c r="B24" s="35" t="s">
        <v>826</v>
      </c>
      <c r="C24" s="36" t="s">
        <v>809</v>
      </c>
      <c r="D24" s="36" t="s">
        <v>827</v>
      </c>
      <c r="E24" s="36" t="s">
        <v>828</v>
      </c>
      <c r="F24" s="36" t="s">
        <v>801</v>
      </c>
      <c r="G24" s="37" t="s">
        <v>749</v>
      </c>
      <c r="H24" s="37" t="s">
        <v>739</v>
      </c>
      <c r="I24" s="38" t="s">
        <v>829</v>
      </c>
    </row>
    <row r="25" spans="2:9" ht="27.75" customHeight="1" x14ac:dyDescent="0.3">
      <c r="B25" s="35" t="s">
        <v>830</v>
      </c>
      <c r="C25" s="36" t="s">
        <v>809</v>
      </c>
      <c r="D25" s="36" t="s">
        <v>831</v>
      </c>
      <c r="E25" s="36" t="s">
        <v>832</v>
      </c>
      <c r="F25" s="36" t="s">
        <v>833</v>
      </c>
      <c r="G25" s="37" t="s">
        <v>749</v>
      </c>
      <c r="H25" s="37" t="s">
        <v>739</v>
      </c>
      <c r="I25" s="38" t="s">
        <v>834</v>
      </c>
    </row>
    <row r="26" spans="2:9" ht="27.75" customHeight="1" x14ac:dyDescent="0.3">
      <c r="B26" s="35" t="s">
        <v>835</v>
      </c>
      <c r="C26" s="36" t="s">
        <v>809</v>
      </c>
      <c r="D26" s="36" t="s">
        <v>836</v>
      </c>
      <c r="E26" s="36" t="s">
        <v>837</v>
      </c>
      <c r="F26" s="36" t="s">
        <v>773</v>
      </c>
      <c r="G26" s="37" t="s">
        <v>759</v>
      </c>
      <c r="H26" s="37" t="s">
        <v>739</v>
      </c>
      <c r="I26" s="38" t="s">
        <v>838</v>
      </c>
    </row>
    <row r="27" spans="2:9" ht="27.75" customHeight="1" x14ac:dyDescent="0.3">
      <c r="B27" s="35" t="s">
        <v>839</v>
      </c>
      <c r="C27" s="36" t="s">
        <v>809</v>
      </c>
      <c r="D27" s="36" t="s">
        <v>840</v>
      </c>
      <c r="E27" s="36" t="s">
        <v>841</v>
      </c>
      <c r="F27" s="36" t="s">
        <v>344</v>
      </c>
      <c r="G27" s="37" t="s">
        <v>749</v>
      </c>
      <c r="H27" s="37" t="s">
        <v>739</v>
      </c>
      <c r="I27" s="38" t="s">
        <v>842</v>
      </c>
    </row>
    <row r="28" spans="2:9" ht="27.75" customHeight="1" x14ac:dyDescent="0.3">
      <c r="B28" s="39" t="s">
        <v>843</v>
      </c>
      <c r="C28" s="40" t="s">
        <v>844</v>
      </c>
      <c r="D28" s="40" t="s">
        <v>845</v>
      </c>
      <c r="E28" s="40" t="s">
        <v>846</v>
      </c>
      <c r="F28" s="40" t="s">
        <v>847</v>
      </c>
      <c r="G28" s="41" t="s">
        <v>744</v>
      </c>
      <c r="H28" s="41" t="s">
        <v>848</v>
      </c>
      <c r="I28" s="42" t="s">
        <v>849</v>
      </c>
    </row>
    <row r="29" spans="2:9" ht="27.75" customHeight="1" x14ac:dyDescent="0.3">
      <c r="B29" s="39" t="s">
        <v>850</v>
      </c>
      <c r="C29" s="40" t="s">
        <v>844</v>
      </c>
      <c r="D29" s="40" t="s">
        <v>851</v>
      </c>
      <c r="E29" s="40" t="s">
        <v>852</v>
      </c>
      <c r="F29" s="40" t="s">
        <v>847</v>
      </c>
      <c r="G29" s="41" t="s">
        <v>744</v>
      </c>
      <c r="H29" s="41" t="s">
        <v>792</v>
      </c>
      <c r="I29" s="42" t="s">
        <v>853</v>
      </c>
    </row>
    <row r="30" spans="2:9" ht="27.75" customHeight="1" x14ac:dyDescent="0.3">
      <c r="B30" s="39" t="s">
        <v>854</v>
      </c>
      <c r="C30" s="40" t="s">
        <v>844</v>
      </c>
      <c r="D30" s="40" t="s">
        <v>855</v>
      </c>
      <c r="E30" s="40" t="s">
        <v>856</v>
      </c>
      <c r="F30" s="40" t="s">
        <v>847</v>
      </c>
      <c r="G30" s="41" t="s">
        <v>744</v>
      </c>
      <c r="H30" s="41" t="s">
        <v>792</v>
      </c>
      <c r="I30" s="42" t="s">
        <v>857</v>
      </c>
    </row>
    <row r="31" spans="2:9" ht="27.75" customHeight="1" x14ac:dyDescent="0.3">
      <c r="B31" s="39" t="s">
        <v>858</v>
      </c>
      <c r="C31" s="40" t="s">
        <v>844</v>
      </c>
      <c r="D31" s="40" t="s">
        <v>859</v>
      </c>
      <c r="E31" s="40" t="s">
        <v>860</v>
      </c>
      <c r="F31" s="40" t="s">
        <v>847</v>
      </c>
      <c r="G31" s="41" t="s">
        <v>744</v>
      </c>
      <c r="H31" s="41" t="s">
        <v>792</v>
      </c>
      <c r="I31" s="42" t="s">
        <v>861</v>
      </c>
    </row>
    <row r="32" spans="2:9" ht="27.75" customHeight="1" x14ac:dyDescent="0.3">
      <c r="B32" s="39" t="s">
        <v>862</v>
      </c>
      <c r="C32" s="40" t="s">
        <v>844</v>
      </c>
      <c r="D32" s="40" t="s">
        <v>863</v>
      </c>
      <c r="E32" s="40" t="s">
        <v>864</v>
      </c>
      <c r="F32" s="40" t="s">
        <v>847</v>
      </c>
      <c r="G32" s="41" t="s">
        <v>744</v>
      </c>
      <c r="H32" s="41" t="s">
        <v>848</v>
      </c>
      <c r="I32" s="42" t="s">
        <v>865</v>
      </c>
    </row>
    <row r="33" spans="2:9" ht="27.75" customHeight="1" x14ac:dyDescent="0.3">
      <c r="B33" s="39" t="s">
        <v>866</v>
      </c>
      <c r="C33" s="40" t="s">
        <v>844</v>
      </c>
      <c r="D33" s="40" t="s">
        <v>867</v>
      </c>
      <c r="E33" s="40" t="s">
        <v>868</v>
      </c>
      <c r="F33" s="40" t="s">
        <v>847</v>
      </c>
      <c r="G33" s="41" t="s">
        <v>744</v>
      </c>
      <c r="H33" s="41" t="s">
        <v>792</v>
      </c>
      <c r="I33" s="42" t="s">
        <v>869</v>
      </c>
    </row>
    <row r="34" spans="2:9" ht="27.75" customHeight="1" x14ac:dyDescent="0.3">
      <c r="B34" s="39" t="s">
        <v>870</v>
      </c>
      <c r="C34" s="40" t="s">
        <v>844</v>
      </c>
      <c r="D34" s="40" t="s">
        <v>871</v>
      </c>
      <c r="E34" s="40" t="s">
        <v>872</v>
      </c>
      <c r="F34" s="40" t="s">
        <v>847</v>
      </c>
      <c r="G34" s="41" t="s">
        <v>744</v>
      </c>
      <c r="H34" s="41" t="s">
        <v>848</v>
      </c>
      <c r="I34" s="42" t="s">
        <v>873</v>
      </c>
    </row>
    <row r="35" spans="2:9" ht="27.75" customHeight="1" x14ac:dyDescent="0.3">
      <c r="B35" s="39" t="s">
        <v>874</v>
      </c>
      <c r="C35" s="40" t="s">
        <v>844</v>
      </c>
      <c r="D35" s="40" t="s">
        <v>875</v>
      </c>
      <c r="E35" s="40" t="s">
        <v>876</v>
      </c>
      <c r="F35" s="40" t="s">
        <v>847</v>
      </c>
      <c r="G35" s="41" t="s">
        <v>744</v>
      </c>
      <c r="H35" s="41" t="s">
        <v>848</v>
      </c>
      <c r="I35" s="42" t="s">
        <v>877</v>
      </c>
    </row>
    <row r="36" spans="2:9" ht="27.75" customHeight="1" x14ac:dyDescent="0.3">
      <c r="B36" s="39" t="s">
        <v>878</v>
      </c>
      <c r="C36" s="40" t="s">
        <v>844</v>
      </c>
      <c r="D36" s="40" t="s">
        <v>879</v>
      </c>
      <c r="E36" s="40" t="s">
        <v>880</v>
      </c>
      <c r="F36" s="40" t="s">
        <v>847</v>
      </c>
      <c r="G36" s="41" t="s">
        <v>744</v>
      </c>
      <c r="H36" s="41" t="s">
        <v>739</v>
      </c>
      <c r="I36" s="42" t="s">
        <v>881</v>
      </c>
    </row>
    <row r="37" spans="2:9" ht="27.75" customHeight="1" x14ac:dyDescent="0.3">
      <c r="B37" s="39" t="s">
        <v>882</v>
      </c>
      <c r="C37" s="40" t="s">
        <v>844</v>
      </c>
      <c r="D37" s="40" t="s">
        <v>883</v>
      </c>
      <c r="E37" s="40" t="s">
        <v>884</v>
      </c>
      <c r="F37" s="40" t="s">
        <v>847</v>
      </c>
      <c r="G37" s="41" t="s">
        <v>744</v>
      </c>
      <c r="H37" s="41" t="s">
        <v>848</v>
      </c>
      <c r="I37" s="42" t="s">
        <v>339</v>
      </c>
    </row>
    <row r="38" spans="2:9" ht="27.75" customHeight="1" x14ac:dyDescent="0.3">
      <c r="B38" s="43" t="s">
        <v>885</v>
      </c>
      <c r="C38" s="44" t="s">
        <v>886</v>
      </c>
      <c r="D38" s="44" t="s">
        <v>887</v>
      </c>
      <c r="E38" s="44" t="s">
        <v>888</v>
      </c>
      <c r="F38" s="44" t="s">
        <v>737</v>
      </c>
      <c r="G38" s="45" t="s">
        <v>749</v>
      </c>
      <c r="H38" s="45" t="s">
        <v>739</v>
      </c>
      <c r="I38" s="46" t="s">
        <v>768</v>
      </c>
    </row>
    <row r="39" spans="2:9" ht="27.75" customHeight="1" x14ac:dyDescent="0.3">
      <c r="B39" s="43" t="s">
        <v>889</v>
      </c>
      <c r="C39" s="44" t="s">
        <v>886</v>
      </c>
      <c r="D39" s="44" t="s">
        <v>890</v>
      </c>
      <c r="E39" s="44" t="s">
        <v>891</v>
      </c>
      <c r="F39" s="44" t="s">
        <v>892</v>
      </c>
      <c r="G39" s="45" t="s">
        <v>893</v>
      </c>
      <c r="H39" s="45" t="s">
        <v>739</v>
      </c>
      <c r="I39" s="46" t="s">
        <v>894</v>
      </c>
    </row>
    <row r="40" spans="2:9" ht="27.75" customHeight="1" x14ac:dyDescent="0.3">
      <c r="B40" s="43" t="s">
        <v>895</v>
      </c>
      <c r="C40" s="44" t="s">
        <v>886</v>
      </c>
      <c r="D40" s="44" t="s">
        <v>896</v>
      </c>
      <c r="E40" s="44" t="s">
        <v>897</v>
      </c>
      <c r="F40" s="44" t="s">
        <v>833</v>
      </c>
      <c r="G40" s="45" t="s">
        <v>749</v>
      </c>
      <c r="H40" s="45" t="s">
        <v>739</v>
      </c>
      <c r="I40" s="46" t="s">
        <v>167</v>
      </c>
    </row>
    <row r="41" spans="2:9" ht="27.75" customHeight="1" x14ac:dyDescent="0.3">
      <c r="B41" s="43" t="s">
        <v>898</v>
      </c>
      <c r="C41" s="44" t="s">
        <v>886</v>
      </c>
      <c r="D41" s="44" t="s">
        <v>899</v>
      </c>
      <c r="E41" s="44" t="s">
        <v>900</v>
      </c>
      <c r="F41" s="44" t="s">
        <v>737</v>
      </c>
      <c r="G41" s="45" t="s">
        <v>744</v>
      </c>
      <c r="H41" s="45" t="s">
        <v>739</v>
      </c>
      <c r="I41" s="46" t="s">
        <v>901</v>
      </c>
    </row>
    <row r="42" spans="2:9" ht="27.75" customHeight="1" x14ac:dyDescent="0.3">
      <c r="B42" s="43" t="s">
        <v>902</v>
      </c>
      <c r="C42" s="44" t="s">
        <v>886</v>
      </c>
      <c r="D42" s="44" t="s">
        <v>903</v>
      </c>
      <c r="E42" s="44" t="s">
        <v>904</v>
      </c>
      <c r="F42" s="44" t="s">
        <v>737</v>
      </c>
      <c r="G42" s="45" t="s">
        <v>744</v>
      </c>
      <c r="H42" s="45" t="s">
        <v>739</v>
      </c>
      <c r="I42" s="46" t="s">
        <v>861</v>
      </c>
    </row>
    <row r="43" spans="2:9" ht="27.75" customHeight="1" x14ac:dyDescent="0.3">
      <c r="B43" s="47" t="s">
        <v>905</v>
      </c>
      <c r="C43" s="48" t="s">
        <v>906</v>
      </c>
      <c r="D43" s="48" t="s">
        <v>907</v>
      </c>
      <c r="E43" s="48" t="s">
        <v>908</v>
      </c>
      <c r="F43" s="48" t="s">
        <v>773</v>
      </c>
      <c r="G43" s="49" t="s">
        <v>744</v>
      </c>
      <c r="H43" s="49" t="s">
        <v>739</v>
      </c>
      <c r="I43" s="50" t="s">
        <v>909</v>
      </c>
    </row>
    <row r="44" spans="2:9" ht="27.75" customHeight="1" x14ac:dyDescent="0.3">
      <c r="B44" s="47" t="s">
        <v>910</v>
      </c>
      <c r="C44" s="48" t="s">
        <v>906</v>
      </c>
      <c r="D44" s="48" t="s">
        <v>911</v>
      </c>
      <c r="E44" s="48" t="s">
        <v>912</v>
      </c>
      <c r="F44" s="48" t="s">
        <v>773</v>
      </c>
      <c r="G44" s="49" t="s">
        <v>913</v>
      </c>
      <c r="H44" s="49" t="s">
        <v>739</v>
      </c>
      <c r="I44" s="50" t="s">
        <v>914</v>
      </c>
    </row>
    <row r="45" spans="2:9" ht="27.75" customHeight="1" x14ac:dyDescent="0.3">
      <c r="B45" s="47" t="s">
        <v>915</v>
      </c>
      <c r="C45" s="48" t="s">
        <v>906</v>
      </c>
      <c r="D45" s="48" t="s">
        <v>916</v>
      </c>
      <c r="E45" s="48" t="s">
        <v>917</v>
      </c>
      <c r="F45" s="48" t="s">
        <v>773</v>
      </c>
      <c r="G45" s="49" t="s">
        <v>744</v>
      </c>
      <c r="H45" s="49" t="s">
        <v>848</v>
      </c>
      <c r="I45" s="50" t="s">
        <v>918</v>
      </c>
    </row>
    <row r="46" spans="2:9" ht="27.75" customHeight="1" x14ac:dyDescent="0.3">
      <c r="B46" s="47" t="s">
        <v>919</v>
      </c>
      <c r="C46" s="48" t="s">
        <v>906</v>
      </c>
      <c r="D46" s="48" t="s">
        <v>920</v>
      </c>
      <c r="E46" s="48" t="s">
        <v>921</v>
      </c>
      <c r="F46" s="48" t="s">
        <v>773</v>
      </c>
      <c r="G46" s="49" t="s">
        <v>749</v>
      </c>
      <c r="H46" s="49" t="s">
        <v>739</v>
      </c>
      <c r="I46" s="50" t="s">
        <v>922</v>
      </c>
    </row>
    <row r="47" spans="2:9" ht="27.75" customHeight="1" x14ac:dyDescent="0.3">
      <c r="B47" s="47" t="s">
        <v>923</v>
      </c>
      <c r="C47" s="48" t="s">
        <v>906</v>
      </c>
      <c r="D47" s="48" t="s">
        <v>924</v>
      </c>
      <c r="E47" s="48" t="s">
        <v>925</v>
      </c>
      <c r="F47" s="48" t="s">
        <v>773</v>
      </c>
      <c r="G47" s="49" t="s">
        <v>744</v>
      </c>
      <c r="H47" s="49" t="s">
        <v>848</v>
      </c>
      <c r="I47" s="50" t="s">
        <v>926</v>
      </c>
    </row>
    <row r="48" spans="2:9" ht="27.75" customHeight="1" x14ac:dyDescent="0.3">
      <c r="B48" s="51" t="s">
        <v>927</v>
      </c>
      <c r="C48" s="52" t="s">
        <v>928</v>
      </c>
      <c r="D48" s="52" t="s">
        <v>929</v>
      </c>
      <c r="E48" s="52" t="s">
        <v>930</v>
      </c>
      <c r="F48" s="52" t="s">
        <v>931</v>
      </c>
      <c r="G48" s="53" t="s">
        <v>749</v>
      </c>
      <c r="H48" s="53" t="s">
        <v>739</v>
      </c>
      <c r="I48" s="54" t="s">
        <v>779</v>
      </c>
    </row>
    <row r="49" spans="2:9" ht="27.75" customHeight="1" x14ac:dyDescent="0.3">
      <c r="B49" s="51" t="s">
        <v>932</v>
      </c>
      <c r="C49" s="52" t="s">
        <v>928</v>
      </c>
      <c r="D49" s="52" t="s">
        <v>933</v>
      </c>
      <c r="E49" s="52" t="s">
        <v>934</v>
      </c>
      <c r="F49" s="52" t="s">
        <v>931</v>
      </c>
      <c r="G49" s="53" t="s">
        <v>935</v>
      </c>
      <c r="H49" s="53" t="s">
        <v>739</v>
      </c>
      <c r="I49" s="54" t="s">
        <v>936</v>
      </c>
    </row>
    <row r="50" spans="2:9" ht="27.75" customHeight="1" x14ac:dyDescent="0.3">
      <c r="B50" s="51" t="s">
        <v>937</v>
      </c>
      <c r="C50" s="52" t="s">
        <v>928</v>
      </c>
      <c r="D50" s="52" t="s">
        <v>938</v>
      </c>
      <c r="E50" s="52" t="s">
        <v>939</v>
      </c>
      <c r="F50" s="52" t="s">
        <v>931</v>
      </c>
      <c r="G50" s="53" t="s">
        <v>744</v>
      </c>
      <c r="H50" s="53" t="s">
        <v>848</v>
      </c>
      <c r="I50" s="54" t="s">
        <v>940</v>
      </c>
    </row>
    <row r="51" spans="2:9" ht="27.75" customHeight="1" x14ac:dyDescent="0.3">
      <c r="B51" s="51" t="s">
        <v>941</v>
      </c>
      <c r="C51" s="52" t="s">
        <v>928</v>
      </c>
      <c r="D51" s="52" t="s">
        <v>942</v>
      </c>
      <c r="E51" s="52" t="s">
        <v>943</v>
      </c>
      <c r="F51" s="52" t="s">
        <v>931</v>
      </c>
      <c r="G51" s="53" t="s">
        <v>749</v>
      </c>
      <c r="H51" s="53" t="s">
        <v>739</v>
      </c>
      <c r="I51" s="54" t="s">
        <v>944</v>
      </c>
    </row>
    <row r="52" spans="2:9" ht="27.75" customHeight="1" x14ac:dyDescent="0.3">
      <c r="B52" s="51" t="s">
        <v>945</v>
      </c>
      <c r="C52" s="52" t="s">
        <v>928</v>
      </c>
      <c r="D52" s="52" t="s">
        <v>946</v>
      </c>
      <c r="E52" s="52" t="s">
        <v>947</v>
      </c>
      <c r="F52" s="52" t="s">
        <v>931</v>
      </c>
      <c r="G52" s="53" t="s">
        <v>749</v>
      </c>
      <c r="H52" s="53" t="s">
        <v>739</v>
      </c>
      <c r="I52" s="54" t="s">
        <v>948</v>
      </c>
    </row>
    <row r="53" spans="2:9" ht="27.75" customHeight="1" x14ac:dyDescent="0.3">
      <c r="B53" s="51" t="s">
        <v>949</v>
      </c>
      <c r="C53" s="52" t="s">
        <v>928</v>
      </c>
      <c r="D53" s="52" t="s">
        <v>950</v>
      </c>
      <c r="E53" s="52" t="s">
        <v>951</v>
      </c>
      <c r="F53" s="52" t="s">
        <v>931</v>
      </c>
      <c r="G53" s="53" t="s">
        <v>749</v>
      </c>
      <c r="H53" s="53" t="s">
        <v>739</v>
      </c>
      <c r="I53" s="54" t="s">
        <v>952</v>
      </c>
    </row>
    <row r="54" spans="2:9" ht="27.75" customHeight="1" x14ac:dyDescent="0.3">
      <c r="B54" s="51" t="s">
        <v>953</v>
      </c>
      <c r="C54" s="52" t="s">
        <v>928</v>
      </c>
      <c r="D54" s="52" t="s">
        <v>954</v>
      </c>
      <c r="E54" s="52" t="s">
        <v>955</v>
      </c>
      <c r="F54" s="52" t="s">
        <v>737</v>
      </c>
      <c r="G54" s="53" t="s">
        <v>749</v>
      </c>
      <c r="H54" s="53" t="s">
        <v>739</v>
      </c>
      <c r="I54" s="54" t="s">
        <v>956</v>
      </c>
    </row>
    <row r="55" spans="2:9" ht="27.75" customHeight="1" x14ac:dyDescent="0.3">
      <c r="B55" s="55" t="s">
        <v>957</v>
      </c>
      <c r="C55" s="56" t="s">
        <v>958</v>
      </c>
      <c r="D55" s="56" t="s">
        <v>959</v>
      </c>
      <c r="E55" s="56" t="s">
        <v>960</v>
      </c>
      <c r="F55" s="56" t="s">
        <v>961</v>
      </c>
      <c r="G55" s="57" t="s">
        <v>806</v>
      </c>
      <c r="H55" s="57" t="s">
        <v>739</v>
      </c>
      <c r="I55" s="58" t="s">
        <v>962</v>
      </c>
    </row>
    <row r="56" spans="2:9" ht="27.75" customHeight="1" x14ac:dyDescent="0.3">
      <c r="B56" s="55" t="s">
        <v>963</v>
      </c>
      <c r="C56" s="56" t="s">
        <v>958</v>
      </c>
      <c r="D56" s="56" t="s">
        <v>964</v>
      </c>
      <c r="E56" s="56" t="s">
        <v>965</v>
      </c>
      <c r="F56" s="56" t="s">
        <v>961</v>
      </c>
      <c r="G56" s="57" t="s">
        <v>806</v>
      </c>
      <c r="H56" s="57" t="s">
        <v>739</v>
      </c>
      <c r="I56" s="58" t="s">
        <v>966</v>
      </c>
    </row>
    <row r="57" spans="2:9" ht="27.75" customHeight="1" x14ac:dyDescent="0.3">
      <c r="B57" s="55" t="s">
        <v>967</v>
      </c>
      <c r="C57" s="56" t="s">
        <v>958</v>
      </c>
      <c r="D57" s="56" t="s">
        <v>968</v>
      </c>
      <c r="E57" s="56" t="s">
        <v>969</v>
      </c>
      <c r="F57" s="56" t="s">
        <v>773</v>
      </c>
      <c r="G57" s="57" t="s">
        <v>749</v>
      </c>
      <c r="H57" s="57" t="s">
        <v>739</v>
      </c>
      <c r="I57" s="58" t="s">
        <v>970</v>
      </c>
    </row>
    <row r="58" spans="2:9" ht="27.75" customHeight="1" x14ac:dyDescent="0.3">
      <c r="B58" s="55" t="s">
        <v>971</v>
      </c>
      <c r="C58" s="56" t="s">
        <v>958</v>
      </c>
      <c r="D58" s="56" t="s">
        <v>972</v>
      </c>
      <c r="E58" s="56" t="s">
        <v>973</v>
      </c>
      <c r="F58" s="56" t="s">
        <v>773</v>
      </c>
      <c r="G58" s="57" t="s">
        <v>759</v>
      </c>
      <c r="H58" s="57" t="s">
        <v>739</v>
      </c>
      <c r="I58" s="58" t="s">
        <v>974</v>
      </c>
    </row>
    <row r="59" spans="2:9" ht="27.75" customHeight="1" x14ac:dyDescent="0.3">
      <c r="B59" s="55" t="s">
        <v>975</v>
      </c>
      <c r="C59" s="56" t="s">
        <v>958</v>
      </c>
      <c r="D59" s="56" t="s">
        <v>976</v>
      </c>
      <c r="E59" s="56" t="s">
        <v>977</v>
      </c>
      <c r="F59" s="56" t="s">
        <v>773</v>
      </c>
      <c r="G59" s="57" t="s">
        <v>744</v>
      </c>
      <c r="H59" s="57" t="s">
        <v>739</v>
      </c>
      <c r="I59" s="58" t="s">
        <v>978</v>
      </c>
    </row>
    <row r="60" spans="2:9" ht="27.75" customHeight="1" x14ac:dyDescent="0.3">
      <c r="B60" s="59" t="s">
        <v>979</v>
      </c>
      <c r="C60" s="60" t="s">
        <v>980</v>
      </c>
      <c r="D60" s="60" t="s">
        <v>981</v>
      </c>
      <c r="E60" s="60" t="s">
        <v>982</v>
      </c>
      <c r="F60" s="60" t="s">
        <v>983</v>
      </c>
      <c r="G60" s="61" t="s">
        <v>749</v>
      </c>
      <c r="H60" s="61" t="s">
        <v>739</v>
      </c>
      <c r="I60" s="62" t="s">
        <v>984</v>
      </c>
    </row>
    <row r="61" spans="2:9" ht="27.75" customHeight="1" x14ac:dyDescent="0.3">
      <c r="B61" s="59" t="s">
        <v>985</v>
      </c>
      <c r="C61" s="60" t="s">
        <v>980</v>
      </c>
      <c r="D61" s="60" t="s">
        <v>986</v>
      </c>
      <c r="E61" s="60" t="s">
        <v>987</v>
      </c>
      <c r="F61" s="60" t="s">
        <v>773</v>
      </c>
      <c r="G61" s="61" t="s">
        <v>749</v>
      </c>
      <c r="H61" s="61" t="s">
        <v>739</v>
      </c>
      <c r="I61" s="62" t="s">
        <v>988</v>
      </c>
    </row>
    <row r="62" spans="2:9" ht="27.75" customHeight="1" x14ac:dyDescent="0.3">
      <c r="B62" s="59" t="s">
        <v>989</v>
      </c>
      <c r="C62" s="60" t="s">
        <v>980</v>
      </c>
      <c r="D62" s="60" t="s">
        <v>990</v>
      </c>
      <c r="E62" s="60" t="s">
        <v>991</v>
      </c>
      <c r="F62" s="60" t="s">
        <v>983</v>
      </c>
      <c r="G62" s="61" t="s">
        <v>992</v>
      </c>
      <c r="H62" s="61" t="s">
        <v>739</v>
      </c>
      <c r="I62" s="62" t="s">
        <v>993</v>
      </c>
    </row>
    <row r="63" spans="2:9" ht="27.75" customHeight="1" x14ac:dyDescent="0.3">
      <c r="B63" s="59" t="s">
        <v>994</v>
      </c>
      <c r="C63" s="60" t="s">
        <v>980</v>
      </c>
      <c r="D63" s="60" t="s">
        <v>995</v>
      </c>
      <c r="E63" s="60" t="s">
        <v>996</v>
      </c>
      <c r="F63" s="60" t="s">
        <v>983</v>
      </c>
      <c r="G63" s="61" t="s">
        <v>744</v>
      </c>
      <c r="H63" s="61" t="s">
        <v>848</v>
      </c>
      <c r="I63" s="62" t="s">
        <v>997</v>
      </c>
    </row>
    <row r="64" spans="2:9" ht="27.75" customHeight="1" x14ac:dyDescent="0.3">
      <c r="B64" s="59" t="s">
        <v>998</v>
      </c>
      <c r="C64" s="60" t="s">
        <v>980</v>
      </c>
      <c r="D64" s="60" t="s">
        <v>999</v>
      </c>
      <c r="E64" s="60" t="s">
        <v>1000</v>
      </c>
      <c r="F64" s="60" t="s">
        <v>773</v>
      </c>
      <c r="G64" s="61" t="s">
        <v>749</v>
      </c>
      <c r="H64" s="61" t="s">
        <v>739</v>
      </c>
      <c r="I64" s="62" t="s">
        <v>1001</v>
      </c>
    </row>
    <row r="65" spans="2:9" ht="27.75" customHeight="1" x14ac:dyDescent="0.3">
      <c r="B65" s="59" t="s">
        <v>1002</v>
      </c>
      <c r="C65" s="60" t="s">
        <v>980</v>
      </c>
      <c r="D65" s="60" t="s">
        <v>1003</v>
      </c>
      <c r="E65" s="60" t="s">
        <v>1004</v>
      </c>
      <c r="F65" s="60" t="s">
        <v>983</v>
      </c>
      <c r="G65" s="61" t="s">
        <v>749</v>
      </c>
      <c r="H65" s="61" t="s">
        <v>739</v>
      </c>
      <c r="I65" s="62" t="s">
        <v>1005</v>
      </c>
    </row>
    <row r="66" spans="2:9" ht="27.75" customHeight="1" x14ac:dyDescent="0.3">
      <c r="B66" s="59" t="s">
        <v>1006</v>
      </c>
      <c r="C66" s="60" t="s">
        <v>980</v>
      </c>
      <c r="D66" s="60" t="s">
        <v>1007</v>
      </c>
      <c r="E66" s="60" t="s">
        <v>1008</v>
      </c>
      <c r="F66" s="60" t="s">
        <v>773</v>
      </c>
      <c r="G66" s="61" t="s">
        <v>1009</v>
      </c>
      <c r="H66" s="61" t="s">
        <v>739</v>
      </c>
      <c r="I66" s="62" t="s">
        <v>1010</v>
      </c>
    </row>
    <row r="67" spans="2:9" ht="27.75" customHeight="1" x14ac:dyDescent="0.3">
      <c r="B67" s="59" t="s">
        <v>1011</v>
      </c>
      <c r="C67" s="60" t="s">
        <v>980</v>
      </c>
      <c r="D67" s="60" t="s">
        <v>1012</v>
      </c>
      <c r="E67" s="60" t="s">
        <v>1013</v>
      </c>
      <c r="F67" s="60" t="s">
        <v>773</v>
      </c>
      <c r="G67" s="61" t="s">
        <v>759</v>
      </c>
      <c r="H67" s="61" t="s">
        <v>739</v>
      </c>
      <c r="I67" s="62" t="s">
        <v>1014</v>
      </c>
    </row>
    <row r="68" spans="2:9" ht="27.75" customHeight="1" x14ac:dyDescent="0.3">
      <c r="B68" s="63" t="s">
        <v>1015</v>
      </c>
      <c r="C68" s="64" t="s">
        <v>1016</v>
      </c>
      <c r="D68" s="64" t="s">
        <v>1017</v>
      </c>
      <c r="E68" s="64" t="s">
        <v>1018</v>
      </c>
      <c r="F68" s="64" t="s">
        <v>773</v>
      </c>
      <c r="G68" s="65" t="s">
        <v>1009</v>
      </c>
      <c r="H68" s="65" t="s">
        <v>739</v>
      </c>
      <c r="I68" s="66" t="s">
        <v>1019</v>
      </c>
    </row>
    <row r="69" spans="2:9" ht="27.75" customHeight="1" x14ac:dyDescent="0.3">
      <c r="B69" s="63" t="s">
        <v>1020</v>
      </c>
      <c r="C69" s="64" t="s">
        <v>1016</v>
      </c>
      <c r="D69" s="64" t="s">
        <v>1021</v>
      </c>
      <c r="E69" s="64" t="s">
        <v>1022</v>
      </c>
      <c r="F69" s="64" t="s">
        <v>833</v>
      </c>
      <c r="G69" s="65" t="s">
        <v>749</v>
      </c>
      <c r="H69" s="65" t="s">
        <v>848</v>
      </c>
      <c r="I69" s="66" t="s">
        <v>829</v>
      </c>
    </row>
    <row r="70" spans="2:9" ht="27.75" customHeight="1" x14ac:dyDescent="0.3">
      <c r="B70" s="63" t="s">
        <v>1023</v>
      </c>
      <c r="C70" s="64" t="s">
        <v>1016</v>
      </c>
      <c r="D70" s="64" t="s">
        <v>1024</v>
      </c>
      <c r="E70" s="64" t="s">
        <v>1025</v>
      </c>
      <c r="F70" s="64" t="s">
        <v>773</v>
      </c>
      <c r="G70" s="65" t="s">
        <v>749</v>
      </c>
      <c r="H70" s="65" t="s">
        <v>739</v>
      </c>
      <c r="I70" s="66" t="s">
        <v>1026</v>
      </c>
    </row>
    <row r="71" spans="2:9" ht="27.75" customHeight="1" x14ac:dyDescent="0.3">
      <c r="B71" s="63" t="s">
        <v>1027</v>
      </c>
      <c r="C71" s="64" t="s">
        <v>1016</v>
      </c>
      <c r="D71" s="64" t="s">
        <v>1028</v>
      </c>
      <c r="E71" s="64" t="s">
        <v>1029</v>
      </c>
      <c r="F71" s="64" t="s">
        <v>833</v>
      </c>
      <c r="G71" s="65" t="s">
        <v>744</v>
      </c>
      <c r="H71" s="65" t="s">
        <v>739</v>
      </c>
      <c r="I71" s="66" t="s">
        <v>1030</v>
      </c>
    </row>
    <row r="72" spans="2:9" ht="27.75" customHeight="1" x14ac:dyDescent="0.3">
      <c r="B72" s="63" t="s">
        <v>1031</v>
      </c>
      <c r="C72" s="64" t="s">
        <v>1016</v>
      </c>
      <c r="D72" s="64" t="s">
        <v>1032</v>
      </c>
      <c r="E72" s="64" t="s">
        <v>1033</v>
      </c>
      <c r="F72" s="64" t="s">
        <v>773</v>
      </c>
      <c r="G72" s="65" t="s">
        <v>1034</v>
      </c>
      <c r="H72" s="65" t="s">
        <v>739</v>
      </c>
      <c r="I72" s="66" t="s">
        <v>1010</v>
      </c>
    </row>
    <row r="73" spans="2:9" ht="27.75" customHeight="1" x14ac:dyDescent="0.3">
      <c r="B73" s="63" t="s">
        <v>1035</v>
      </c>
      <c r="C73" s="64" t="s">
        <v>1016</v>
      </c>
      <c r="D73" s="64" t="s">
        <v>1036</v>
      </c>
      <c r="E73" s="64" t="s">
        <v>1037</v>
      </c>
      <c r="F73" s="64" t="s">
        <v>833</v>
      </c>
      <c r="G73" s="65" t="s">
        <v>1034</v>
      </c>
      <c r="H73" s="65" t="s">
        <v>739</v>
      </c>
      <c r="I73" s="66" t="s">
        <v>1038</v>
      </c>
    </row>
  </sheetData>
  <mergeCells count="1">
    <mergeCell ref="B2:I2"/>
  </mergeCells>
  <dataValidations count="1">
    <dataValidation type="list" allowBlank="1" sqref="H5:H73" xr:uid="{7BCFFCFC-727A-4A01-8DB4-6E5254183E01}">
      <formula1>"Canonical,Emerging,Parked"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2777-095D-4E12-A722-B05CA55328C6}">
  <sheetPr>
    <tabColor rgb="FF0D4F4F"/>
  </sheetPr>
  <dimension ref="A1:I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2" customWidth="1"/>
    <col min="3" max="3" width="26" customWidth="1"/>
    <col min="4" max="4" width="40" customWidth="1"/>
    <col min="5" max="5" width="44" customWidth="1"/>
    <col min="6" max="7" width="14" customWidth="1"/>
    <col min="9" max="9" width="46" customWidth="1"/>
  </cols>
  <sheetData>
    <row r="1" spans="1:9" ht="30" customHeight="1" x14ac:dyDescent="0.3">
      <c r="A1" s="15" t="s">
        <v>276</v>
      </c>
      <c r="B1" s="15" t="s">
        <v>677</v>
      </c>
      <c r="C1" s="15" t="s">
        <v>678</v>
      </c>
      <c r="D1" s="15" t="s">
        <v>679</v>
      </c>
      <c r="E1" s="15" t="s">
        <v>680</v>
      </c>
      <c r="F1" s="15" t="s">
        <v>348</v>
      </c>
      <c r="G1" s="15" t="s">
        <v>272</v>
      </c>
      <c r="I1" s="16" t="s">
        <v>681</v>
      </c>
    </row>
    <row r="2" spans="1:9" ht="57.6" x14ac:dyDescent="0.3">
      <c r="A2" s="17">
        <v>1</v>
      </c>
      <c r="B2" s="17" t="s">
        <v>682</v>
      </c>
      <c r="C2" s="17" t="s">
        <v>683</v>
      </c>
      <c r="D2" s="17" t="s">
        <v>684</v>
      </c>
      <c r="E2" s="17" t="s">
        <v>685</v>
      </c>
      <c r="F2" s="17">
        <v>200</v>
      </c>
      <c r="G2" s="17" t="s">
        <v>686</v>
      </c>
      <c r="I2" s="18" t="s">
        <v>687</v>
      </c>
    </row>
    <row r="3" spans="1:9" x14ac:dyDescent="0.3">
      <c r="A3" s="19">
        <v>2</v>
      </c>
      <c r="B3" s="19" t="s">
        <v>688</v>
      </c>
      <c r="C3" s="19" t="s">
        <v>689</v>
      </c>
      <c r="D3" s="19" t="s">
        <v>690</v>
      </c>
      <c r="E3" s="19" t="s">
        <v>691</v>
      </c>
      <c r="F3" s="19">
        <v>150</v>
      </c>
      <c r="G3" s="19" t="s">
        <v>686</v>
      </c>
    </row>
    <row r="4" spans="1:9" x14ac:dyDescent="0.3">
      <c r="A4" s="17">
        <v>3</v>
      </c>
      <c r="B4" s="17" t="s">
        <v>692</v>
      </c>
      <c r="C4" s="17" t="s">
        <v>693</v>
      </c>
      <c r="D4" s="17" t="s">
        <v>694</v>
      </c>
      <c r="E4" s="17" t="s">
        <v>695</v>
      </c>
      <c r="F4" s="17">
        <v>90</v>
      </c>
      <c r="G4" s="17" t="s">
        <v>686</v>
      </c>
    </row>
    <row r="5" spans="1:9" x14ac:dyDescent="0.3">
      <c r="A5" s="19">
        <v>4</v>
      </c>
      <c r="B5" s="19" t="s">
        <v>696</v>
      </c>
      <c r="C5" s="19" t="s">
        <v>697</v>
      </c>
      <c r="D5" s="19" t="s">
        <v>698</v>
      </c>
      <c r="E5" s="19" t="s">
        <v>699</v>
      </c>
      <c r="F5" s="19">
        <v>350</v>
      </c>
      <c r="G5" s="19" t="s">
        <v>686</v>
      </c>
    </row>
    <row r="6" spans="1:9" x14ac:dyDescent="0.3">
      <c r="A6" s="17">
        <v>5</v>
      </c>
      <c r="B6" s="17" t="s">
        <v>700</v>
      </c>
      <c r="C6" s="17" t="s">
        <v>701</v>
      </c>
      <c r="D6" s="17" t="s">
        <v>702</v>
      </c>
      <c r="E6" s="17" t="s">
        <v>703</v>
      </c>
      <c r="F6" s="17" t="s">
        <v>704</v>
      </c>
      <c r="G6" s="17" t="s">
        <v>686</v>
      </c>
    </row>
    <row r="7" spans="1:9" ht="28.8" x14ac:dyDescent="0.3">
      <c r="A7" s="19">
        <v>6</v>
      </c>
      <c r="B7" s="19" t="s">
        <v>705</v>
      </c>
      <c r="C7" s="19" t="s">
        <v>706</v>
      </c>
      <c r="D7" s="19" t="s">
        <v>707</v>
      </c>
      <c r="E7" s="19" t="s">
        <v>708</v>
      </c>
      <c r="F7" s="19" t="s">
        <v>709</v>
      </c>
      <c r="G7" s="19" t="s">
        <v>710</v>
      </c>
    </row>
    <row r="8" spans="1:9" x14ac:dyDescent="0.3">
      <c r="A8" s="17">
        <v>7</v>
      </c>
      <c r="B8" s="17" t="s">
        <v>711</v>
      </c>
      <c r="C8" s="17" t="s">
        <v>712</v>
      </c>
      <c r="D8" s="17" t="s">
        <v>713</v>
      </c>
      <c r="E8" s="17" t="s">
        <v>714</v>
      </c>
      <c r="F8" s="17" t="s">
        <v>715</v>
      </c>
      <c r="G8" s="17" t="s">
        <v>716</v>
      </c>
    </row>
    <row r="9" spans="1:9" x14ac:dyDescent="0.3">
      <c r="A9" s="19">
        <v>8</v>
      </c>
      <c r="B9" s="19" t="s">
        <v>717</v>
      </c>
      <c r="C9" s="19" t="s">
        <v>718</v>
      </c>
      <c r="D9" s="19" t="s">
        <v>719</v>
      </c>
      <c r="E9" s="19" t="s">
        <v>720</v>
      </c>
      <c r="F9" s="19" t="s">
        <v>721</v>
      </c>
      <c r="G9" s="19" t="s">
        <v>722</v>
      </c>
    </row>
    <row r="10" spans="1:9" x14ac:dyDescent="0.3">
      <c r="A10" s="17">
        <v>9</v>
      </c>
      <c r="B10" s="17" t="s">
        <v>723</v>
      </c>
      <c r="C10" s="17" t="s">
        <v>724</v>
      </c>
      <c r="D10" s="17" t="s">
        <v>725</v>
      </c>
      <c r="E10" s="17" t="s">
        <v>726</v>
      </c>
      <c r="F10" s="17" t="s">
        <v>727</v>
      </c>
      <c r="G10" s="17" t="s">
        <v>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9A1F-A2B1-4264-B924-077125E6B178}">
  <sheetPr>
    <tabColor rgb="FF0D4F4F"/>
  </sheetPr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3" width="44" customWidth="1"/>
    <col min="4" max="4" width="34" customWidth="1"/>
    <col min="5" max="5" width="30" customWidth="1"/>
  </cols>
  <sheetData>
    <row r="1" spans="1:5" ht="30" customHeight="1" x14ac:dyDescent="0.3">
      <c r="A1" s="15" t="s">
        <v>642</v>
      </c>
      <c r="B1" s="15" t="s">
        <v>643</v>
      </c>
      <c r="C1" s="15" t="s">
        <v>644</v>
      </c>
      <c r="D1" s="15" t="s">
        <v>645</v>
      </c>
      <c r="E1" s="15" t="s">
        <v>646</v>
      </c>
    </row>
    <row r="2" spans="1:5" ht="28.8" x14ac:dyDescent="0.3">
      <c r="A2" s="17" t="s">
        <v>647</v>
      </c>
      <c r="B2" s="17" t="s">
        <v>648</v>
      </c>
      <c r="C2" s="17" t="s">
        <v>649</v>
      </c>
      <c r="D2" s="17" t="s">
        <v>650</v>
      </c>
      <c r="E2" s="17" t="s">
        <v>651</v>
      </c>
    </row>
    <row r="3" spans="1:5" ht="28.8" x14ac:dyDescent="0.3">
      <c r="A3" s="19" t="s">
        <v>652</v>
      </c>
      <c r="B3" s="19" t="s">
        <v>653</v>
      </c>
      <c r="C3" s="19" t="s">
        <v>654</v>
      </c>
      <c r="D3" s="19" t="s">
        <v>655</v>
      </c>
      <c r="E3" s="19" t="s">
        <v>656</v>
      </c>
    </row>
    <row r="4" spans="1:5" ht="28.8" x14ac:dyDescent="0.3">
      <c r="A4" s="17" t="s">
        <v>657</v>
      </c>
      <c r="B4" s="17" t="s">
        <v>658</v>
      </c>
      <c r="C4" s="17" t="s">
        <v>659</v>
      </c>
      <c r="D4" s="17" t="s">
        <v>660</v>
      </c>
      <c r="E4" s="17" t="s">
        <v>661</v>
      </c>
    </row>
    <row r="5" spans="1:5" ht="28.8" x14ac:dyDescent="0.3">
      <c r="A5" s="19" t="s">
        <v>662</v>
      </c>
      <c r="B5" s="19" t="s">
        <v>663</v>
      </c>
      <c r="C5" s="19" t="s">
        <v>664</v>
      </c>
      <c r="D5" s="19" t="s">
        <v>665</v>
      </c>
      <c r="E5" s="19" t="s">
        <v>666</v>
      </c>
    </row>
    <row r="6" spans="1:5" ht="28.8" x14ac:dyDescent="0.3">
      <c r="A6" s="17" t="s">
        <v>667</v>
      </c>
      <c r="B6" s="17" t="s">
        <v>668</v>
      </c>
      <c r="C6" s="17" t="s">
        <v>669</v>
      </c>
      <c r="D6" s="17" t="s">
        <v>670</v>
      </c>
      <c r="E6" s="17" t="s">
        <v>671</v>
      </c>
    </row>
    <row r="7" spans="1:5" ht="28.8" x14ac:dyDescent="0.3">
      <c r="A7" s="19" t="s">
        <v>672</v>
      </c>
      <c r="B7" s="19" t="s">
        <v>673</v>
      </c>
      <c r="C7" s="19" t="s">
        <v>674</v>
      </c>
      <c r="D7" s="19" t="s">
        <v>675</v>
      </c>
      <c r="E7" s="19" t="s">
        <v>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FA63-9C80-437B-ADF8-8A429414D259}">
  <sheetPr>
    <tabColor rgb="FF0D4F4F"/>
  </sheetPr>
  <dimension ref="A1:H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0" customWidth="1"/>
    <col min="3" max="3" width="40" customWidth="1"/>
    <col min="4" max="4" width="34" customWidth="1"/>
    <col min="5" max="7" width="12" customWidth="1"/>
    <col min="8" max="8" width="16" customWidth="1"/>
  </cols>
  <sheetData>
    <row r="1" spans="1:8" ht="30" customHeight="1" x14ac:dyDescent="0.3">
      <c r="A1" s="15" t="s">
        <v>594</v>
      </c>
      <c r="B1" s="15" t="s">
        <v>483</v>
      </c>
      <c r="C1" s="15" t="s">
        <v>595</v>
      </c>
      <c r="D1" s="15" t="s">
        <v>596</v>
      </c>
      <c r="E1" s="15" t="s">
        <v>597</v>
      </c>
      <c r="F1" s="15" t="s">
        <v>598</v>
      </c>
      <c r="G1" s="15" t="s">
        <v>599</v>
      </c>
      <c r="H1" s="15" t="s">
        <v>600</v>
      </c>
    </row>
    <row r="2" spans="1:8" x14ac:dyDescent="0.3">
      <c r="A2" s="17" t="s">
        <v>601</v>
      </c>
      <c r="B2" s="17" t="s">
        <v>602</v>
      </c>
      <c r="C2" s="17" t="s">
        <v>603</v>
      </c>
      <c r="D2" s="17" t="s">
        <v>604</v>
      </c>
      <c r="E2" s="17">
        <v>500</v>
      </c>
      <c r="F2" s="17">
        <v>100</v>
      </c>
      <c r="G2" s="17">
        <v>400</v>
      </c>
      <c r="H2" s="17" t="s">
        <v>605</v>
      </c>
    </row>
    <row r="3" spans="1:8" x14ac:dyDescent="0.3">
      <c r="A3" s="19" t="s">
        <v>606</v>
      </c>
      <c r="B3" s="19" t="s">
        <v>607</v>
      </c>
      <c r="C3" s="19" t="s">
        <v>608</v>
      </c>
      <c r="D3" s="19" t="s">
        <v>609</v>
      </c>
      <c r="E3" s="19">
        <v>300</v>
      </c>
      <c r="F3" s="19">
        <v>80</v>
      </c>
      <c r="G3" s="19">
        <v>220</v>
      </c>
      <c r="H3" s="19" t="s">
        <v>610</v>
      </c>
    </row>
    <row r="4" spans="1:8" ht="28.8" x14ac:dyDescent="0.3">
      <c r="A4" s="17" t="s">
        <v>611</v>
      </c>
      <c r="B4" s="17" t="s">
        <v>612</v>
      </c>
      <c r="C4" s="17" t="s">
        <v>613</v>
      </c>
      <c r="D4" s="17" t="s">
        <v>614</v>
      </c>
      <c r="E4" s="17">
        <v>6000</v>
      </c>
      <c r="F4" s="17">
        <v>2000</v>
      </c>
      <c r="G4" s="17">
        <v>4000</v>
      </c>
      <c r="H4" s="17" t="s">
        <v>615</v>
      </c>
    </row>
    <row r="5" spans="1:8" ht="28.8" x14ac:dyDescent="0.3">
      <c r="A5" s="19" t="s">
        <v>616</v>
      </c>
      <c r="B5" s="19" t="s">
        <v>617</v>
      </c>
      <c r="C5" s="19" t="s">
        <v>618</v>
      </c>
      <c r="D5" s="19" t="s">
        <v>619</v>
      </c>
      <c r="E5" s="19">
        <v>8000</v>
      </c>
      <c r="F5" s="19">
        <v>2500</v>
      </c>
      <c r="G5" s="19">
        <v>5500</v>
      </c>
      <c r="H5" s="19" t="s">
        <v>620</v>
      </c>
    </row>
    <row r="6" spans="1:8" x14ac:dyDescent="0.3">
      <c r="A6" s="17" t="s">
        <v>621</v>
      </c>
      <c r="B6" s="17" t="s">
        <v>622</v>
      </c>
      <c r="C6" s="17" t="s">
        <v>623</v>
      </c>
      <c r="D6" s="17" t="s">
        <v>624</v>
      </c>
      <c r="E6" s="17">
        <v>2000</v>
      </c>
      <c r="F6" s="17">
        <v>500</v>
      </c>
      <c r="G6" s="17">
        <v>1500</v>
      </c>
      <c r="H6" s="17" t="s">
        <v>625</v>
      </c>
    </row>
    <row r="7" spans="1:8" ht="28.8" x14ac:dyDescent="0.3">
      <c r="A7" s="19" t="s">
        <v>626</v>
      </c>
      <c r="B7" s="19" t="s">
        <v>627</v>
      </c>
      <c r="C7" s="19" t="s">
        <v>628</v>
      </c>
      <c r="D7" s="19" t="s">
        <v>629</v>
      </c>
      <c r="E7" s="19">
        <v>4000</v>
      </c>
      <c r="F7" s="19">
        <v>1500</v>
      </c>
      <c r="G7" s="19">
        <v>2500</v>
      </c>
      <c r="H7" s="19" t="s">
        <v>630</v>
      </c>
    </row>
    <row r="8" spans="1:8" ht="28.8" x14ac:dyDescent="0.3">
      <c r="A8" s="17" t="s">
        <v>631</v>
      </c>
      <c r="B8" s="17" t="s">
        <v>632</v>
      </c>
      <c r="C8" s="17" t="s">
        <v>633</v>
      </c>
      <c r="D8" s="17" t="s">
        <v>634</v>
      </c>
      <c r="E8" s="17">
        <v>200</v>
      </c>
      <c r="F8" s="17">
        <v>50</v>
      </c>
      <c r="G8" s="17">
        <v>150</v>
      </c>
      <c r="H8" s="17" t="s">
        <v>635</v>
      </c>
    </row>
    <row r="9" spans="1:8" ht="28.8" x14ac:dyDescent="0.3">
      <c r="A9" s="19" t="s">
        <v>636</v>
      </c>
      <c r="B9" s="19" t="s">
        <v>637</v>
      </c>
      <c r="C9" s="19" t="s">
        <v>638</v>
      </c>
      <c r="D9" s="19" t="s">
        <v>639</v>
      </c>
      <c r="E9" s="19">
        <v>300</v>
      </c>
      <c r="F9" s="19">
        <v>80</v>
      </c>
      <c r="G9" s="19">
        <v>220</v>
      </c>
      <c r="H9" s="19" t="s">
        <v>640</v>
      </c>
    </row>
    <row r="10" spans="1:8" x14ac:dyDescent="0.3">
      <c r="A10" s="22" t="s">
        <v>641</v>
      </c>
      <c r="E10" s="23">
        <f>SUM(E2:E9)</f>
        <v>21300</v>
      </c>
      <c r="F10" s="23">
        <f>SUM(F2:F9)</f>
        <v>6810</v>
      </c>
      <c r="G10" s="23">
        <f>SUM(G2:G9)</f>
        <v>14490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01CC-BA0F-4DE4-90E9-B3DE3A456D15}">
  <sheetPr>
    <tabColor rgb="FF0D4F4F"/>
  </sheetPr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8" width="12" customWidth="1"/>
    <col min="10" max="10" width="44" customWidth="1"/>
  </cols>
  <sheetData>
    <row r="1" spans="1:10" ht="30" customHeight="1" x14ac:dyDescent="0.3">
      <c r="A1" s="15" t="s">
        <v>573</v>
      </c>
      <c r="B1" s="15" t="s">
        <v>574</v>
      </c>
      <c r="C1" s="15" t="s">
        <v>575</v>
      </c>
      <c r="D1" s="15" t="s">
        <v>576</v>
      </c>
      <c r="E1" s="15" t="s">
        <v>577</v>
      </c>
      <c r="F1" s="15" t="s">
        <v>578</v>
      </c>
      <c r="G1" s="15" t="s">
        <v>579</v>
      </c>
      <c r="H1" s="15" t="s">
        <v>580</v>
      </c>
      <c r="J1" s="16" t="s">
        <v>581</v>
      </c>
    </row>
    <row r="2" spans="1:10" ht="43.2" x14ac:dyDescent="0.3">
      <c r="A2" s="17" t="s">
        <v>582</v>
      </c>
      <c r="B2" s="17">
        <v>0</v>
      </c>
      <c r="C2" s="17">
        <v>0</v>
      </c>
      <c r="D2" s="17">
        <v>500</v>
      </c>
      <c r="E2" s="17">
        <v>500</v>
      </c>
      <c r="F2" s="17">
        <v>1000</v>
      </c>
      <c r="G2" s="17">
        <v>1000</v>
      </c>
      <c r="H2" s="17">
        <v>1500</v>
      </c>
      <c r="J2" s="18" t="s">
        <v>583</v>
      </c>
    </row>
    <row r="3" spans="1:10" x14ac:dyDescent="0.3">
      <c r="A3" s="19" t="s">
        <v>584</v>
      </c>
      <c r="B3" s="19">
        <v>0</v>
      </c>
      <c r="C3" s="19">
        <v>0</v>
      </c>
      <c r="D3" s="19">
        <v>3000</v>
      </c>
      <c r="E3" s="19">
        <v>0</v>
      </c>
      <c r="F3" s="19">
        <v>0</v>
      </c>
      <c r="G3" s="19">
        <v>4000</v>
      </c>
      <c r="H3" s="19">
        <v>0</v>
      </c>
    </row>
    <row r="4" spans="1:10" x14ac:dyDescent="0.3">
      <c r="A4" s="17" t="s">
        <v>585</v>
      </c>
      <c r="B4" s="17">
        <v>0</v>
      </c>
      <c r="C4" s="17">
        <v>200</v>
      </c>
      <c r="D4" s="17">
        <v>300</v>
      </c>
      <c r="E4" s="17">
        <v>300</v>
      </c>
      <c r="F4" s="17">
        <v>400</v>
      </c>
      <c r="G4" s="17">
        <v>400</v>
      </c>
      <c r="H4" s="17">
        <v>500</v>
      </c>
    </row>
    <row r="5" spans="1:10" x14ac:dyDescent="0.3">
      <c r="A5" s="19" t="s">
        <v>586</v>
      </c>
      <c r="B5" s="19">
        <v>0</v>
      </c>
      <c r="C5" s="19">
        <v>0</v>
      </c>
      <c r="D5" s="19">
        <v>300</v>
      </c>
      <c r="E5" s="19">
        <v>300</v>
      </c>
      <c r="F5" s="19">
        <v>300</v>
      </c>
      <c r="G5" s="19">
        <v>400</v>
      </c>
      <c r="H5" s="19">
        <v>400</v>
      </c>
    </row>
    <row r="6" spans="1:10" x14ac:dyDescent="0.3">
      <c r="A6" s="17" t="s">
        <v>587</v>
      </c>
      <c r="B6" s="17">
        <v>0</v>
      </c>
      <c r="C6" s="17">
        <v>90</v>
      </c>
      <c r="D6" s="17">
        <v>180</v>
      </c>
      <c r="E6" s="17">
        <v>270</v>
      </c>
      <c r="F6" s="17">
        <v>360</v>
      </c>
      <c r="G6" s="17">
        <v>450</v>
      </c>
      <c r="H6" s="17">
        <v>450</v>
      </c>
    </row>
    <row r="7" spans="1:10" x14ac:dyDescent="0.3">
      <c r="A7" s="19" t="s">
        <v>588</v>
      </c>
      <c r="B7" s="19">
        <v>0</v>
      </c>
      <c r="C7" s="19">
        <v>0</v>
      </c>
      <c r="D7" s="19">
        <v>0</v>
      </c>
      <c r="E7" s="19">
        <v>3000</v>
      </c>
      <c r="F7" s="19">
        <v>0</v>
      </c>
      <c r="G7" s="19">
        <v>0</v>
      </c>
      <c r="H7" s="19">
        <v>5000</v>
      </c>
    </row>
    <row r="8" spans="1:10" x14ac:dyDescent="0.3">
      <c r="A8" s="17" t="s">
        <v>589</v>
      </c>
      <c r="B8" s="17">
        <v>0</v>
      </c>
      <c r="C8" s="17">
        <v>0</v>
      </c>
      <c r="D8" s="17">
        <v>100</v>
      </c>
      <c r="E8" s="17">
        <v>200</v>
      </c>
      <c r="F8" s="17">
        <v>300</v>
      </c>
      <c r="G8" s="17">
        <v>300</v>
      </c>
      <c r="H8" s="17">
        <v>200</v>
      </c>
    </row>
    <row r="9" spans="1:10" x14ac:dyDescent="0.3">
      <c r="A9" s="19" t="s">
        <v>590</v>
      </c>
      <c r="B9" s="19">
        <v>0</v>
      </c>
      <c r="C9" s="19">
        <v>0</v>
      </c>
      <c r="D9" s="19">
        <v>400</v>
      </c>
      <c r="E9" s="19">
        <v>620</v>
      </c>
      <c r="F9" s="19">
        <v>820</v>
      </c>
      <c r="G9" s="19">
        <v>1020</v>
      </c>
      <c r="H9" s="19">
        <v>1170</v>
      </c>
    </row>
    <row r="10" spans="1:10" x14ac:dyDescent="0.3">
      <c r="A10" s="17" t="s">
        <v>591</v>
      </c>
      <c r="B10" s="17">
        <v>200</v>
      </c>
      <c r="C10" s="17">
        <v>200</v>
      </c>
      <c r="D10" s="17">
        <v>300</v>
      </c>
      <c r="E10" s="17">
        <v>300</v>
      </c>
      <c r="F10" s="17">
        <v>400</v>
      </c>
      <c r="G10" s="17">
        <v>500</v>
      </c>
      <c r="H10" s="17">
        <v>500</v>
      </c>
    </row>
    <row r="11" spans="1:10" x14ac:dyDescent="0.3">
      <c r="A11" s="19" t="s">
        <v>592</v>
      </c>
      <c r="B11" s="19">
        <v>0</v>
      </c>
      <c r="C11" s="19">
        <v>0</v>
      </c>
      <c r="D11" s="19">
        <v>200</v>
      </c>
      <c r="E11" s="19">
        <v>400</v>
      </c>
      <c r="F11" s="19">
        <v>600</v>
      </c>
      <c r="G11" s="19">
        <v>800</v>
      </c>
      <c r="H11" s="19">
        <v>800</v>
      </c>
    </row>
    <row r="12" spans="1:10" x14ac:dyDescent="0.3">
      <c r="A12" s="20" t="s">
        <v>593</v>
      </c>
      <c r="B12" s="21">
        <f t="shared" ref="B12:H12" si="0">SUM(B2:B11)</f>
        <v>200</v>
      </c>
      <c r="C12" s="21">
        <f t="shared" si="0"/>
        <v>490</v>
      </c>
      <c r="D12" s="21">
        <f t="shared" si="0"/>
        <v>5280</v>
      </c>
      <c r="E12" s="21">
        <f t="shared" si="0"/>
        <v>5890</v>
      </c>
      <c r="F12" s="21">
        <f t="shared" si="0"/>
        <v>4180</v>
      </c>
      <c r="G12" s="21">
        <f t="shared" si="0"/>
        <v>8870</v>
      </c>
      <c r="H12" s="21">
        <f t="shared" si="0"/>
        <v>10520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A400-4EC1-4C30-AE13-4D41ACEDD9D7}">
  <sheetPr>
    <tabColor rgb="FF0D4F4F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6" customWidth="1"/>
    <col min="3" max="3" width="22" customWidth="1"/>
    <col min="4" max="5" width="40" customWidth="1"/>
    <col min="6" max="6" width="16" customWidth="1"/>
    <col min="7" max="7" width="24" customWidth="1"/>
    <col min="8" max="8" width="12" customWidth="1"/>
  </cols>
  <sheetData>
    <row r="1" spans="1:8" ht="30" customHeight="1" x14ac:dyDescent="0.3">
      <c r="A1" s="15" t="s">
        <v>482</v>
      </c>
      <c r="B1" s="15" t="s">
        <v>483</v>
      </c>
      <c r="C1" s="15" t="s">
        <v>484</v>
      </c>
      <c r="D1" s="15" t="s">
        <v>485</v>
      </c>
      <c r="E1" s="15" t="s">
        <v>486</v>
      </c>
      <c r="F1" s="15" t="s">
        <v>487</v>
      </c>
      <c r="G1" s="15" t="s">
        <v>488</v>
      </c>
      <c r="H1" s="15" t="s">
        <v>489</v>
      </c>
    </row>
    <row r="2" spans="1:8" ht="28.8" x14ac:dyDescent="0.3">
      <c r="A2" s="17" t="s">
        <v>490</v>
      </c>
      <c r="B2" s="17" t="s">
        <v>491</v>
      </c>
      <c r="C2" s="17" t="s">
        <v>492</v>
      </c>
      <c r="D2" s="17" t="s">
        <v>493</v>
      </c>
      <c r="E2" s="17" t="s">
        <v>494</v>
      </c>
      <c r="F2" s="17">
        <v>15000</v>
      </c>
      <c r="G2" s="17" t="s">
        <v>495</v>
      </c>
      <c r="H2" s="17" t="s">
        <v>496</v>
      </c>
    </row>
    <row r="3" spans="1:8" x14ac:dyDescent="0.3">
      <c r="A3" s="19" t="s">
        <v>497</v>
      </c>
      <c r="B3" s="19" t="s">
        <v>491</v>
      </c>
      <c r="C3" s="19" t="s">
        <v>498</v>
      </c>
      <c r="D3" s="19" t="s">
        <v>499</v>
      </c>
      <c r="E3" s="19" t="s">
        <v>500</v>
      </c>
      <c r="F3" s="19">
        <v>8000</v>
      </c>
      <c r="G3" s="19" t="s">
        <v>501</v>
      </c>
      <c r="H3" s="19" t="s">
        <v>502</v>
      </c>
    </row>
    <row r="4" spans="1:8" x14ac:dyDescent="0.3">
      <c r="A4" s="17" t="s">
        <v>503</v>
      </c>
      <c r="B4" s="17" t="s">
        <v>491</v>
      </c>
      <c r="C4" s="17" t="s">
        <v>504</v>
      </c>
      <c r="D4" s="17" t="s">
        <v>505</v>
      </c>
      <c r="E4" s="17" t="s">
        <v>506</v>
      </c>
      <c r="F4" s="17">
        <v>10000</v>
      </c>
      <c r="G4" s="17" t="s">
        <v>507</v>
      </c>
      <c r="H4" s="17" t="s">
        <v>502</v>
      </c>
    </row>
    <row r="5" spans="1:8" ht="28.8" x14ac:dyDescent="0.3">
      <c r="A5" s="19" t="s">
        <v>508</v>
      </c>
      <c r="B5" s="19" t="s">
        <v>509</v>
      </c>
      <c r="C5" s="19" t="s">
        <v>510</v>
      </c>
      <c r="D5" s="19" t="s">
        <v>511</v>
      </c>
      <c r="E5" s="19" t="s">
        <v>512</v>
      </c>
      <c r="F5" s="19">
        <v>12000</v>
      </c>
      <c r="G5" s="19" t="s">
        <v>513</v>
      </c>
      <c r="H5" s="19" t="s">
        <v>496</v>
      </c>
    </row>
    <row r="6" spans="1:8" x14ac:dyDescent="0.3">
      <c r="A6" s="17" t="s">
        <v>514</v>
      </c>
      <c r="B6" s="17" t="s">
        <v>515</v>
      </c>
      <c r="C6" s="17" t="s">
        <v>516</v>
      </c>
      <c r="D6" s="17" t="s">
        <v>517</v>
      </c>
      <c r="E6" s="17" t="s">
        <v>518</v>
      </c>
      <c r="F6" s="17">
        <v>20000</v>
      </c>
      <c r="G6" s="17" t="s">
        <v>519</v>
      </c>
      <c r="H6" s="17" t="s">
        <v>496</v>
      </c>
    </row>
    <row r="7" spans="1:8" x14ac:dyDescent="0.3">
      <c r="A7" s="19" t="s">
        <v>520</v>
      </c>
      <c r="B7" s="19" t="s">
        <v>509</v>
      </c>
      <c r="C7" s="19" t="s">
        <v>521</v>
      </c>
      <c r="D7" s="19" t="s">
        <v>522</v>
      </c>
      <c r="E7" s="19" t="s">
        <v>523</v>
      </c>
      <c r="F7" s="19">
        <v>8000</v>
      </c>
      <c r="G7" s="19" t="s">
        <v>524</v>
      </c>
      <c r="H7" s="19" t="s">
        <v>502</v>
      </c>
    </row>
    <row r="8" spans="1:8" x14ac:dyDescent="0.3">
      <c r="A8" s="17" t="s">
        <v>525</v>
      </c>
      <c r="B8" s="17" t="s">
        <v>509</v>
      </c>
      <c r="C8" s="17" t="s">
        <v>526</v>
      </c>
      <c r="D8" s="17" t="s">
        <v>527</v>
      </c>
      <c r="E8" s="17" t="s">
        <v>528</v>
      </c>
      <c r="F8" s="17">
        <v>6000</v>
      </c>
      <c r="G8" s="17" t="s">
        <v>507</v>
      </c>
      <c r="H8" s="17" t="s">
        <v>502</v>
      </c>
    </row>
    <row r="9" spans="1:8" x14ac:dyDescent="0.3">
      <c r="A9" s="19" t="s">
        <v>529</v>
      </c>
      <c r="B9" s="19" t="s">
        <v>530</v>
      </c>
      <c r="C9" s="19" t="s">
        <v>531</v>
      </c>
      <c r="D9" s="19" t="s">
        <v>532</v>
      </c>
      <c r="E9" s="19" t="s">
        <v>533</v>
      </c>
      <c r="F9" s="19">
        <v>2000</v>
      </c>
      <c r="G9" s="19" t="s">
        <v>534</v>
      </c>
      <c r="H9" s="19" t="s">
        <v>496</v>
      </c>
    </row>
    <row r="10" spans="1:8" x14ac:dyDescent="0.3">
      <c r="A10" s="17" t="s">
        <v>535</v>
      </c>
      <c r="B10" s="17" t="s">
        <v>530</v>
      </c>
      <c r="C10" s="17" t="s">
        <v>536</v>
      </c>
      <c r="D10" s="17" t="s">
        <v>537</v>
      </c>
      <c r="E10" s="17" t="s">
        <v>538</v>
      </c>
      <c r="F10" s="17">
        <v>0</v>
      </c>
      <c r="G10" s="17" t="s">
        <v>539</v>
      </c>
      <c r="H10" s="17" t="s">
        <v>496</v>
      </c>
    </row>
    <row r="11" spans="1:8" x14ac:dyDescent="0.3">
      <c r="A11" s="19" t="s">
        <v>540</v>
      </c>
      <c r="B11" s="19" t="s">
        <v>530</v>
      </c>
      <c r="C11" s="19" t="s">
        <v>541</v>
      </c>
      <c r="D11" s="19" t="s">
        <v>542</v>
      </c>
      <c r="E11" s="19" t="s">
        <v>543</v>
      </c>
      <c r="F11" s="19">
        <v>1000</v>
      </c>
      <c r="G11" s="19" t="s">
        <v>544</v>
      </c>
      <c r="H11" s="19" t="s">
        <v>502</v>
      </c>
    </row>
    <row r="12" spans="1:8" x14ac:dyDescent="0.3">
      <c r="A12" s="17" t="s">
        <v>545</v>
      </c>
      <c r="B12" s="17" t="s">
        <v>546</v>
      </c>
      <c r="C12" s="17" t="s">
        <v>547</v>
      </c>
      <c r="D12" s="17" t="s">
        <v>548</v>
      </c>
      <c r="E12" s="17" t="s">
        <v>549</v>
      </c>
      <c r="F12" s="17">
        <v>3000</v>
      </c>
      <c r="G12" s="17" t="s">
        <v>550</v>
      </c>
      <c r="H12" s="17" t="s">
        <v>502</v>
      </c>
    </row>
    <row r="13" spans="1:8" x14ac:dyDescent="0.3">
      <c r="A13" s="19" t="s">
        <v>551</v>
      </c>
      <c r="B13" s="19" t="s">
        <v>546</v>
      </c>
      <c r="C13" s="19" t="s">
        <v>552</v>
      </c>
      <c r="D13" s="19" t="s">
        <v>553</v>
      </c>
      <c r="E13" s="19" t="s">
        <v>554</v>
      </c>
      <c r="F13" s="19">
        <v>2000</v>
      </c>
      <c r="G13" s="19" t="s">
        <v>550</v>
      </c>
      <c r="H13" s="19" t="s">
        <v>502</v>
      </c>
    </row>
    <row r="14" spans="1:8" x14ac:dyDescent="0.3">
      <c r="A14" s="17" t="s">
        <v>555</v>
      </c>
      <c r="B14" s="17" t="s">
        <v>556</v>
      </c>
      <c r="C14" s="17" t="s">
        <v>557</v>
      </c>
      <c r="D14" s="17" t="s">
        <v>558</v>
      </c>
      <c r="E14" s="17" t="s">
        <v>559</v>
      </c>
      <c r="F14" s="17">
        <v>5000</v>
      </c>
      <c r="G14" s="17" t="s">
        <v>560</v>
      </c>
      <c r="H14" s="17" t="s">
        <v>496</v>
      </c>
    </row>
    <row r="15" spans="1:8" x14ac:dyDescent="0.3">
      <c r="A15" s="19" t="s">
        <v>561</v>
      </c>
      <c r="B15" s="19" t="s">
        <v>556</v>
      </c>
      <c r="C15" s="19" t="s">
        <v>552</v>
      </c>
      <c r="D15" s="19" t="s">
        <v>562</v>
      </c>
      <c r="E15" s="19" t="s">
        <v>563</v>
      </c>
      <c r="F15" s="19">
        <v>4000</v>
      </c>
      <c r="G15" s="19" t="s">
        <v>507</v>
      </c>
      <c r="H15" s="19" t="s">
        <v>502</v>
      </c>
    </row>
    <row r="16" spans="1:8" x14ac:dyDescent="0.3">
      <c r="A16" s="17" t="s">
        <v>564</v>
      </c>
      <c r="B16" s="17" t="s">
        <v>556</v>
      </c>
      <c r="C16" s="17" t="s">
        <v>492</v>
      </c>
      <c r="D16" s="17" t="s">
        <v>565</v>
      </c>
      <c r="E16" s="17" t="s">
        <v>566</v>
      </c>
      <c r="F16" s="17">
        <v>8000</v>
      </c>
      <c r="G16" s="17" t="s">
        <v>501</v>
      </c>
      <c r="H16" s="17" t="s">
        <v>496</v>
      </c>
    </row>
    <row r="17" spans="1:8" x14ac:dyDescent="0.3">
      <c r="A17" s="19" t="s">
        <v>567</v>
      </c>
      <c r="B17" s="19" t="s">
        <v>568</v>
      </c>
      <c r="C17" s="19" t="s">
        <v>569</v>
      </c>
      <c r="D17" s="19" t="s">
        <v>570</v>
      </c>
      <c r="E17" s="19" t="s">
        <v>571</v>
      </c>
      <c r="F17" s="19">
        <v>3000</v>
      </c>
      <c r="G17" s="19" t="s">
        <v>572</v>
      </c>
      <c r="H17" s="19" t="s">
        <v>502</v>
      </c>
    </row>
  </sheetData>
  <conditionalFormatting sqref="H2:H17">
    <cfRule type="cellIs" dxfId="1" priority="1" operator="equal">
      <formula>"Critical"</formula>
    </cfRule>
    <cfRule type="cellIs" dxfId="0" priority="2" operator="equal">
      <formula>"High"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A5AB-19E6-4BDE-8092-F71223D3DE83}">
  <sheetPr>
    <tabColor rgb="FF0D4F4F"/>
  </sheetPr>
  <dimension ref="A1:L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2" customWidth="1"/>
    <col min="3" max="3" width="26" customWidth="1"/>
    <col min="4" max="4" width="32" customWidth="1"/>
    <col min="5" max="5" width="14" customWidth="1"/>
    <col min="6" max="6" width="16" customWidth="1"/>
    <col min="7" max="7" width="12" customWidth="1"/>
    <col min="8" max="8" width="14" customWidth="1"/>
    <col min="9" max="9" width="10" customWidth="1"/>
    <col min="10" max="10" width="14" customWidth="1"/>
    <col min="12" max="12" width="46" customWidth="1"/>
  </cols>
  <sheetData>
    <row r="1" spans="1:12" ht="30" customHeight="1" x14ac:dyDescent="0.3">
      <c r="A1" s="15" t="s">
        <v>343</v>
      </c>
      <c r="B1" s="15" t="s">
        <v>344</v>
      </c>
      <c r="C1" s="15" t="s">
        <v>345</v>
      </c>
      <c r="D1" s="15" t="s">
        <v>346</v>
      </c>
      <c r="E1" s="15" t="s">
        <v>347</v>
      </c>
      <c r="F1" s="15" t="s">
        <v>348</v>
      </c>
      <c r="G1" s="15" t="s">
        <v>349</v>
      </c>
      <c r="H1" s="15" t="s">
        <v>350</v>
      </c>
      <c r="I1" s="15" t="s">
        <v>351</v>
      </c>
      <c r="J1" s="15" t="s">
        <v>352</v>
      </c>
      <c r="L1" s="16" t="s">
        <v>353</v>
      </c>
    </row>
    <row r="2" spans="1:12" ht="57.6" x14ac:dyDescent="0.3">
      <c r="A2" s="17" t="s">
        <v>354</v>
      </c>
      <c r="B2" s="17" t="s">
        <v>355</v>
      </c>
      <c r="C2" s="17" t="s">
        <v>356</v>
      </c>
      <c r="D2" s="17" t="s">
        <v>357</v>
      </c>
      <c r="E2" s="17" t="s">
        <v>358</v>
      </c>
      <c r="F2" s="17">
        <v>500</v>
      </c>
      <c r="G2" s="17">
        <v>100</v>
      </c>
      <c r="H2" s="17">
        <v>120</v>
      </c>
      <c r="I2" s="17" t="s">
        <v>359</v>
      </c>
      <c r="J2" s="17">
        <f t="shared" ref="J2:J36" si="0">IF(ISNUMBER(F2),F2-H2,"tiered")</f>
        <v>380</v>
      </c>
      <c r="L2" s="18" t="s">
        <v>360</v>
      </c>
    </row>
    <row r="3" spans="1:12" x14ac:dyDescent="0.3">
      <c r="A3" s="19" t="s">
        <v>361</v>
      </c>
      <c r="B3" s="19" t="s">
        <v>362</v>
      </c>
      <c r="C3" s="19" t="s">
        <v>356</v>
      </c>
      <c r="D3" s="19" t="s">
        <v>363</v>
      </c>
      <c r="E3" s="19" t="s">
        <v>364</v>
      </c>
      <c r="F3" s="19">
        <v>950</v>
      </c>
      <c r="G3" s="19">
        <v>190</v>
      </c>
      <c r="H3" s="19">
        <v>290</v>
      </c>
      <c r="I3" s="19" t="s">
        <v>359</v>
      </c>
      <c r="J3" s="19">
        <f t="shared" si="0"/>
        <v>660</v>
      </c>
    </row>
    <row r="4" spans="1:12" x14ac:dyDescent="0.3">
      <c r="A4" s="17" t="s">
        <v>365</v>
      </c>
      <c r="B4" s="17" t="s">
        <v>366</v>
      </c>
      <c r="C4" s="17" t="s">
        <v>356</v>
      </c>
      <c r="D4" s="17" t="s">
        <v>367</v>
      </c>
      <c r="E4" s="17" t="s">
        <v>358</v>
      </c>
      <c r="F4" s="17">
        <v>650</v>
      </c>
      <c r="G4" s="17">
        <v>130</v>
      </c>
      <c r="H4" s="17">
        <v>200</v>
      </c>
      <c r="I4" s="17" t="s">
        <v>359</v>
      </c>
      <c r="J4" s="17">
        <f t="shared" si="0"/>
        <v>450</v>
      </c>
    </row>
    <row r="5" spans="1:12" x14ac:dyDescent="0.3">
      <c r="A5" s="19" t="s">
        <v>368</v>
      </c>
      <c r="B5" s="19" t="s">
        <v>369</v>
      </c>
      <c r="C5" s="19" t="s">
        <v>356</v>
      </c>
      <c r="D5" s="19" t="s">
        <v>370</v>
      </c>
      <c r="E5" s="19" t="s">
        <v>371</v>
      </c>
      <c r="F5" s="19">
        <v>280</v>
      </c>
      <c r="G5" s="19">
        <v>56</v>
      </c>
      <c r="H5" s="19">
        <v>90</v>
      </c>
      <c r="I5" s="19" t="s">
        <v>359</v>
      </c>
      <c r="J5" s="19">
        <f t="shared" si="0"/>
        <v>190</v>
      </c>
    </row>
    <row r="6" spans="1:12" x14ac:dyDescent="0.3">
      <c r="A6" s="17" t="s">
        <v>372</v>
      </c>
      <c r="B6" s="17" t="s">
        <v>373</v>
      </c>
      <c r="C6" s="17" t="s">
        <v>374</v>
      </c>
      <c r="D6" s="17" t="s">
        <v>375</v>
      </c>
      <c r="E6" s="17" t="s">
        <v>364</v>
      </c>
      <c r="F6" s="17">
        <v>1200</v>
      </c>
      <c r="G6" s="17">
        <v>240</v>
      </c>
      <c r="H6" s="17">
        <v>360</v>
      </c>
      <c r="I6" s="17" t="s">
        <v>359</v>
      </c>
      <c r="J6" s="17">
        <f t="shared" si="0"/>
        <v>840</v>
      </c>
    </row>
    <row r="7" spans="1:12" x14ac:dyDescent="0.3">
      <c r="A7" s="19" t="s">
        <v>376</v>
      </c>
      <c r="B7" s="19" t="s">
        <v>377</v>
      </c>
      <c r="C7" s="19" t="s">
        <v>374</v>
      </c>
      <c r="D7" s="19" t="s">
        <v>378</v>
      </c>
      <c r="E7" s="19" t="s">
        <v>379</v>
      </c>
      <c r="F7" s="19">
        <v>2000</v>
      </c>
      <c r="G7" s="19">
        <v>400</v>
      </c>
      <c r="H7" s="19">
        <v>650</v>
      </c>
      <c r="I7" s="19" t="s">
        <v>359</v>
      </c>
      <c r="J7" s="19">
        <f t="shared" si="0"/>
        <v>1350</v>
      </c>
    </row>
    <row r="8" spans="1:12" x14ac:dyDescent="0.3">
      <c r="A8" s="17" t="s">
        <v>380</v>
      </c>
      <c r="B8" s="17" t="s">
        <v>381</v>
      </c>
      <c r="C8" s="17" t="s">
        <v>374</v>
      </c>
      <c r="D8" s="17" t="s">
        <v>375</v>
      </c>
      <c r="E8" s="17" t="s">
        <v>382</v>
      </c>
      <c r="F8" s="17">
        <v>1600</v>
      </c>
      <c r="G8" s="17">
        <v>320</v>
      </c>
      <c r="H8" s="17">
        <v>520</v>
      </c>
      <c r="I8" s="17" t="s">
        <v>359</v>
      </c>
      <c r="J8" s="17">
        <f t="shared" si="0"/>
        <v>1080</v>
      </c>
    </row>
    <row r="9" spans="1:12" x14ac:dyDescent="0.3">
      <c r="A9" s="19" t="s">
        <v>383</v>
      </c>
      <c r="B9" s="19" t="s">
        <v>384</v>
      </c>
      <c r="C9" s="19" t="s">
        <v>374</v>
      </c>
      <c r="D9" s="19" t="s">
        <v>385</v>
      </c>
      <c r="E9" s="19" t="s">
        <v>386</v>
      </c>
      <c r="F9" s="19">
        <v>3800</v>
      </c>
      <c r="G9" s="19">
        <v>760</v>
      </c>
      <c r="H9" s="19">
        <v>1500</v>
      </c>
      <c r="I9" s="19" t="s">
        <v>359</v>
      </c>
      <c r="J9" s="19">
        <f t="shared" si="0"/>
        <v>2300</v>
      </c>
    </row>
    <row r="10" spans="1:12" x14ac:dyDescent="0.3">
      <c r="A10" s="17" t="s">
        <v>387</v>
      </c>
      <c r="B10" s="17" t="s">
        <v>388</v>
      </c>
      <c r="C10" s="17" t="s">
        <v>374</v>
      </c>
      <c r="D10" s="17" t="s">
        <v>389</v>
      </c>
      <c r="E10" s="17" t="s">
        <v>390</v>
      </c>
      <c r="F10" s="17">
        <v>5500</v>
      </c>
      <c r="G10" s="17">
        <v>1100</v>
      </c>
      <c r="H10" s="17">
        <v>2200</v>
      </c>
      <c r="I10" s="17" t="s">
        <v>359</v>
      </c>
      <c r="J10" s="17">
        <f t="shared" si="0"/>
        <v>3300</v>
      </c>
    </row>
    <row r="11" spans="1:12" x14ac:dyDescent="0.3">
      <c r="A11" s="19" t="s">
        <v>391</v>
      </c>
      <c r="B11" s="19" t="s">
        <v>392</v>
      </c>
      <c r="C11" s="19" t="s">
        <v>374</v>
      </c>
      <c r="D11" s="19" t="s">
        <v>393</v>
      </c>
      <c r="E11" s="19" t="s">
        <v>394</v>
      </c>
      <c r="F11" s="19">
        <v>500</v>
      </c>
      <c r="G11" s="19">
        <v>100</v>
      </c>
      <c r="H11" s="19">
        <v>150</v>
      </c>
      <c r="I11" s="19" t="s">
        <v>359</v>
      </c>
      <c r="J11" s="19">
        <f t="shared" si="0"/>
        <v>350</v>
      </c>
    </row>
    <row r="12" spans="1:12" x14ac:dyDescent="0.3">
      <c r="A12" s="17" t="s">
        <v>395</v>
      </c>
      <c r="B12" s="17" t="s">
        <v>396</v>
      </c>
      <c r="C12" s="17" t="s">
        <v>374</v>
      </c>
      <c r="D12" s="17" t="s">
        <v>397</v>
      </c>
      <c r="E12" s="17" t="s">
        <v>358</v>
      </c>
      <c r="F12" s="17">
        <v>750</v>
      </c>
      <c r="G12" s="17">
        <v>150</v>
      </c>
      <c r="H12" s="17">
        <v>230</v>
      </c>
      <c r="I12" s="17" t="s">
        <v>359</v>
      </c>
      <c r="J12" s="17">
        <f t="shared" si="0"/>
        <v>520</v>
      </c>
    </row>
    <row r="13" spans="1:12" x14ac:dyDescent="0.3">
      <c r="A13" s="19" t="s">
        <v>398</v>
      </c>
      <c r="B13" s="19" t="s">
        <v>399</v>
      </c>
      <c r="C13" s="19" t="s">
        <v>400</v>
      </c>
      <c r="D13" s="19" t="s">
        <v>401</v>
      </c>
      <c r="E13" s="19" t="s">
        <v>358</v>
      </c>
      <c r="F13" s="19">
        <v>750</v>
      </c>
      <c r="G13" s="19">
        <v>150</v>
      </c>
      <c r="H13" s="19">
        <v>200</v>
      </c>
      <c r="I13" s="19" t="s">
        <v>359</v>
      </c>
      <c r="J13" s="19">
        <f t="shared" si="0"/>
        <v>550</v>
      </c>
    </row>
    <row r="14" spans="1:12" x14ac:dyDescent="0.3">
      <c r="A14" s="17" t="s">
        <v>402</v>
      </c>
      <c r="B14" s="17" t="s">
        <v>403</v>
      </c>
      <c r="C14" s="17" t="s">
        <v>400</v>
      </c>
      <c r="D14" s="17" t="s">
        <v>404</v>
      </c>
      <c r="E14" s="17" t="s">
        <v>394</v>
      </c>
      <c r="F14" s="17">
        <v>400</v>
      </c>
      <c r="G14" s="17">
        <v>80</v>
      </c>
      <c r="H14" s="17">
        <v>110</v>
      </c>
      <c r="I14" s="17" t="s">
        <v>359</v>
      </c>
      <c r="J14" s="17">
        <f t="shared" si="0"/>
        <v>290</v>
      </c>
    </row>
    <row r="15" spans="1:12" x14ac:dyDescent="0.3">
      <c r="A15" s="19" t="s">
        <v>405</v>
      </c>
      <c r="B15" s="19" t="s">
        <v>406</v>
      </c>
      <c r="C15" s="19" t="s">
        <v>400</v>
      </c>
      <c r="D15" s="19" t="s">
        <v>401</v>
      </c>
      <c r="E15" s="19" t="s">
        <v>394</v>
      </c>
      <c r="F15" s="19">
        <v>550</v>
      </c>
      <c r="G15" s="19">
        <v>110</v>
      </c>
      <c r="H15" s="19">
        <v>160</v>
      </c>
      <c r="I15" s="19" t="s">
        <v>359</v>
      </c>
      <c r="J15" s="19">
        <f t="shared" si="0"/>
        <v>390</v>
      </c>
    </row>
    <row r="16" spans="1:12" x14ac:dyDescent="0.3">
      <c r="A16" s="17" t="s">
        <v>407</v>
      </c>
      <c r="B16" s="17" t="s">
        <v>408</v>
      </c>
      <c r="C16" s="17" t="s">
        <v>400</v>
      </c>
      <c r="D16" s="17" t="s">
        <v>409</v>
      </c>
      <c r="E16" s="17" t="s">
        <v>358</v>
      </c>
      <c r="F16" s="17">
        <v>550</v>
      </c>
      <c r="G16" s="17">
        <v>110</v>
      </c>
      <c r="H16" s="17">
        <v>170</v>
      </c>
      <c r="I16" s="17" t="s">
        <v>359</v>
      </c>
      <c r="J16" s="17">
        <f t="shared" si="0"/>
        <v>380</v>
      </c>
    </row>
    <row r="17" spans="1:10" x14ac:dyDescent="0.3">
      <c r="A17" s="19" t="s">
        <v>410</v>
      </c>
      <c r="B17" s="19" t="s">
        <v>411</v>
      </c>
      <c r="C17" s="19" t="s">
        <v>400</v>
      </c>
      <c r="D17" s="19" t="s">
        <v>412</v>
      </c>
      <c r="E17" s="19" t="s">
        <v>394</v>
      </c>
      <c r="F17" s="19">
        <v>500</v>
      </c>
      <c r="G17" s="19">
        <v>100</v>
      </c>
      <c r="H17" s="19">
        <v>150</v>
      </c>
      <c r="I17" s="19" t="s">
        <v>359</v>
      </c>
      <c r="J17" s="19">
        <f t="shared" si="0"/>
        <v>350</v>
      </c>
    </row>
    <row r="18" spans="1:10" ht="28.8" x14ac:dyDescent="0.3">
      <c r="A18" s="17" t="s">
        <v>413</v>
      </c>
      <c r="B18" s="17" t="s">
        <v>414</v>
      </c>
      <c r="C18" s="17" t="s">
        <v>415</v>
      </c>
      <c r="D18" s="17" t="s">
        <v>416</v>
      </c>
      <c r="E18" s="17" t="s">
        <v>371</v>
      </c>
      <c r="F18" s="17">
        <v>300</v>
      </c>
      <c r="G18" s="17">
        <v>60</v>
      </c>
      <c r="H18" s="17">
        <v>90</v>
      </c>
      <c r="I18" s="17" t="s">
        <v>359</v>
      </c>
      <c r="J18" s="17">
        <f t="shared" si="0"/>
        <v>210</v>
      </c>
    </row>
    <row r="19" spans="1:10" ht="28.8" x14ac:dyDescent="0.3">
      <c r="A19" s="19" t="s">
        <v>417</v>
      </c>
      <c r="B19" s="19" t="s">
        <v>418</v>
      </c>
      <c r="C19" s="19" t="s">
        <v>415</v>
      </c>
      <c r="D19" s="19" t="s">
        <v>419</v>
      </c>
      <c r="E19" s="19" t="s">
        <v>420</v>
      </c>
      <c r="F19" s="19">
        <v>450</v>
      </c>
      <c r="G19" s="19">
        <v>90</v>
      </c>
      <c r="H19" s="19">
        <v>120</v>
      </c>
      <c r="I19" s="19" t="s">
        <v>359</v>
      </c>
      <c r="J19" s="19">
        <f t="shared" si="0"/>
        <v>330</v>
      </c>
    </row>
    <row r="20" spans="1:10" ht="28.8" x14ac:dyDescent="0.3">
      <c r="A20" s="17" t="s">
        <v>421</v>
      </c>
      <c r="B20" s="17" t="s">
        <v>422</v>
      </c>
      <c r="C20" s="17" t="s">
        <v>415</v>
      </c>
      <c r="D20" s="17" t="s">
        <v>423</v>
      </c>
      <c r="E20" s="17" t="s">
        <v>424</v>
      </c>
      <c r="F20" s="17">
        <v>1100</v>
      </c>
      <c r="G20" s="17">
        <v>220</v>
      </c>
      <c r="H20" s="17">
        <v>340</v>
      </c>
      <c r="I20" s="17" t="s">
        <v>359</v>
      </c>
      <c r="J20" s="17">
        <f t="shared" si="0"/>
        <v>760</v>
      </c>
    </row>
    <row r="21" spans="1:10" ht="28.8" x14ac:dyDescent="0.3">
      <c r="A21" s="19" t="s">
        <v>425</v>
      </c>
      <c r="B21" s="19" t="s">
        <v>426</v>
      </c>
      <c r="C21" s="19" t="s">
        <v>415</v>
      </c>
      <c r="D21" s="19" t="s">
        <v>423</v>
      </c>
      <c r="E21" s="19" t="s">
        <v>427</v>
      </c>
      <c r="F21" s="19">
        <v>900</v>
      </c>
      <c r="G21" s="19">
        <v>180</v>
      </c>
      <c r="H21" s="19">
        <v>280</v>
      </c>
      <c r="I21" s="19" t="s">
        <v>359</v>
      </c>
      <c r="J21" s="19">
        <f t="shared" si="0"/>
        <v>620</v>
      </c>
    </row>
    <row r="22" spans="1:10" x14ac:dyDescent="0.3">
      <c r="A22" s="17" t="s">
        <v>428</v>
      </c>
      <c r="B22" s="17" t="s">
        <v>429</v>
      </c>
      <c r="C22" s="17" t="s">
        <v>430</v>
      </c>
      <c r="D22" s="17" t="s">
        <v>431</v>
      </c>
      <c r="E22" s="17" t="s">
        <v>358</v>
      </c>
      <c r="F22" s="17">
        <v>600</v>
      </c>
      <c r="G22" s="17">
        <v>120</v>
      </c>
      <c r="H22" s="17">
        <v>180</v>
      </c>
      <c r="I22" s="17" t="s">
        <v>359</v>
      </c>
      <c r="J22" s="17">
        <f t="shared" si="0"/>
        <v>420</v>
      </c>
    </row>
    <row r="23" spans="1:10" x14ac:dyDescent="0.3">
      <c r="A23" s="19" t="s">
        <v>432</v>
      </c>
      <c r="B23" s="19" t="s">
        <v>433</v>
      </c>
      <c r="C23" s="19" t="s">
        <v>430</v>
      </c>
      <c r="D23" s="19" t="s">
        <v>434</v>
      </c>
      <c r="E23" s="19" t="s">
        <v>364</v>
      </c>
      <c r="F23" s="19">
        <v>1400</v>
      </c>
      <c r="G23" s="19">
        <v>280</v>
      </c>
      <c r="H23" s="19">
        <v>460</v>
      </c>
      <c r="I23" s="19" t="s">
        <v>359</v>
      </c>
      <c r="J23" s="19">
        <f t="shared" si="0"/>
        <v>940</v>
      </c>
    </row>
    <row r="24" spans="1:10" x14ac:dyDescent="0.3">
      <c r="A24" s="17" t="s">
        <v>435</v>
      </c>
      <c r="B24" s="17" t="s">
        <v>436</v>
      </c>
      <c r="C24" s="17" t="s">
        <v>430</v>
      </c>
      <c r="D24" s="17" t="s">
        <v>437</v>
      </c>
      <c r="E24" s="17" t="s">
        <v>379</v>
      </c>
      <c r="F24" s="17">
        <v>2400</v>
      </c>
      <c r="G24" s="17">
        <v>480</v>
      </c>
      <c r="H24" s="17">
        <v>820</v>
      </c>
      <c r="I24" s="17" t="s">
        <v>359</v>
      </c>
      <c r="J24" s="17">
        <f t="shared" si="0"/>
        <v>1580</v>
      </c>
    </row>
    <row r="25" spans="1:10" x14ac:dyDescent="0.3">
      <c r="A25" s="19" t="s">
        <v>438</v>
      </c>
      <c r="B25" s="19" t="s">
        <v>439</v>
      </c>
      <c r="C25" s="19" t="s">
        <v>430</v>
      </c>
      <c r="D25" s="19" t="s">
        <v>440</v>
      </c>
      <c r="E25" s="19" t="s">
        <v>427</v>
      </c>
      <c r="F25" s="19">
        <v>700</v>
      </c>
      <c r="G25" s="19">
        <v>140</v>
      </c>
      <c r="H25" s="19">
        <v>210</v>
      </c>
      <c r="I25" s="19" t="s">
        <v>359</v>
      </c>
      <c r="J25" s="19">
        <f t="shared" si="0"/>
        <v>490</v>
      </c>
    </row>
    <row r="26" spans="1:10" x14ac:dyDescent="0.3">
      <c r="A26" s="17" t="s">
        <v>441</v>
      </c>
      <c r="B26" s="17" t="s">
        <v>442</v>
      </c>
      <c r="C26" s="17" t="s">
        <v>443</v>
      </c>
      <c r="D26" s="17" t="s">
        <v>444</v>
      </c>
      <c r="E26" s="17" t="s">
        <v>394</v>
      </c>
      <c r="F26" s="17">
        <v>400</v>
      </c>
      <c r="G26" s="17">
        <v>80</v>
      </c>
      <c r="H26" s="17">
        <v>130</v>
      </c>
      <c r="I26" s="17" t="s">
        <v>359</v>
      </c>
      <c r="J26" s="17">
        <f t="shared" si="0"/>
        <v>270</v>
      </c>
    </row>
    <row r="27" spans="1:10" x14ac:dyDescent="0.3">
      <c r="A27" s="19" t="s">
        <v>445</v>
      </c>
      <c r="B27" s="19" t="s">
        <v>446</v>
      </c>
      <c r="C27" s="19" t="s">
        <v>443</v>
      </c>
      <c r="D27" s="19" t="s">
        <v>447</v>
      </c>
      <c r="E27" s="19" t="s">
        <v>358</v>
      </c>
      <c r="F27" s="19">
        <v>850</v>
      </c>
      <c r="G27" s="19">
        <v>170</v>
      </c>
      <c r="H27" s="19">
        <v>260</v>
      </c>
      <c r="I27" s="19" t="s">
        <v>359</v>
      </c>
      <c r="J27" s="19">
        <f t="shared" si="0"/>
        <v>590</v>
      </c>
    </row>
    <row r="28" spans="1:10" x14ac:dyDescent="0.3">
      <c r="A28" s="17" t="s">
        <v>448</v>
      </c>
      <c r="B28" s="17" t="s">
        <v>449</v>
      </c>
      <c r="C28" s="17" t="s">
        <v>443</v>
      </c>
      <c r="D28" s="17" t="s">
        <v>450</v>
      </c>
      <c r="E28" s="17" t="s">
        <v>394</v>
      </c>
      <c r="F28" s="17">
        <v>450</v>
      </c>
      <c r="G28" s="17">
        <v>90</v>
      </c>
      <c r="H28" s="17">
        <v>150</v>
      </c>
      <c r="I28" s="17" t="s">
        <v>359</v>
      </c>
      <c r="J28" s="17">
        <f t="shared" si="0"/>
        <v>300</v>
      </c>
    </row>
    <row r="29" spans="1:10" x14ac:dyDescent="0.3">
      <c r="A29" s="19" t="s">
        <v>451</v>
      </c>
      <c r="B29" s="19" t="s">
        <v>452</v>
      </c>
      <c r="C29" s="19" t="s">
        <v>443</v>
      </c>
      <c r="D29" s="19" t="s">
        <v>453</v>
      </c>
      <c r="E29" s="19" t="s">
        <v>394</v>
      </c>
      <c r="F29" s="19">
        <v>650</v>
      </c>
      <c r="G29" s="19">
        <v>130</v>
      </c>
      <c r="H29" s="19">
        <v>220</v>
      </c>
      <c r="I29" s="19" t="s">
        <v>359</v>
      </c>
      <c r="J29" s="19">
        <f t="shared" si="0"/>
        <v>430</v>
      </c>
    </row>
    <row r="30" spans="1:10" x14ac:dyDescent="0.3">
      <c r="A30" s="17" t="s">
        <v>454</v>
      </c>
      <c r="B30" s="17" t="s">
        <v>455</v>
      </c>
      <c r="C30" s="17" t="s">
        <v>443</v>
      </c>
      <c r="D30" s="17" t="s">
        <v>456</v>
      </c>
      <c r="E30" s="17" t="s">
        <v>457</v>
      </c>
      <c r="F30" s="17">
        <v>1300</v>
      </c>
      <c r="G30" s="17">
        <v>260</v>
      </c>
      <c r="H30" s="17">
        <v>430</v>
      </c>
      <c r="I30" s="17" t="s">
        <v>359</v>
      </c>
      <c r="J30" s="17">
        <f t="shared" si="0"/>
        <v>870</v>
      </c>
    </row>
    <row r="31" spans="1:10" x14ac:dyDescent="0.3">
      <c r="A31" s="19" t="s">
        <v>458</v>
      </c>
      <c r="B31" s="19" t="s">
        <v>459</v>
      </c>
      <c r="C31" s="19" t="s">
        <v>460</v>
      </c>
      <c r="D31" s="19" t="s">
        <v>461</v>
      </c>
      <c r="E31" s="19" t="s">
        <v>462</v>
      </c>
      <c r="F31" s="19" t="s">
        <v>463</v>
      </c>
      <c r="G31" s="19">
        <v>240</v>
      </c>
      <c r="H31" s="19">
        <v>360</v>
      </c>
      <c r="I31" s="19" t="s">
        <v>359</v>
      </c>
      <c r="J31" s="19" t="str">
        <f t="shared" si="0"/>
        <v>tiered</v>
      </c>
    </row>
    <row r="32" spans="1:10" x14ac:dyDescent="0.3">
      <c r="A32" s="17" t="s">
        <v>464</v>
      </c>
      <c r="B32" s="17" t="s">
        <v>465</v>
      </c>
      <c r="C32" s="17" t="s">
        <v>466</v>
      </c>
      <c r="D32" s="17" t="s">
        <v>467</v>
      </c>
      <c r="E32" s="17" t="s">
        <v>424</v>
      </c>
      <c r="F32" s="17">
        <v>680</v>
      </c>
      <c r="G32" s="17">
        <v>136</v>
      </c>
      <c r="H32" s="17">
        <v>200</v>
      </c>
      <c r="I32" s="17" t="s">
        <v>359</v>
      </c>
      <c r="J32" s="17">
        <f t="shared" si="0"/>
        <v>480</v>
      </c>
    </row>
    <row r="33" spans="1:10" x14ac:dyDescent="0.3">
      <c r="A33" s="19" t="s">
        <v>468</v>
      </c>
      <c r="B33" s="19" t="s">
        <v>469</v>
      </c>
      <c r="C33" s="19" t="s">
        <v>466</v>
      </c>
      <c r="D33" s="19" t="s">
        <v>470</v>
      </c>
      <c r="E33" s="19" t="s">
        <v>471</v>
      </c>
      <c r="F33" s="19">
        <v>3500</v>
      </c>
      <c r="G33" s="19">
        <v>700</v>
      </c>
      <c r="H33" s="19">
        <v>1200</v>
      </c>
      <c r="I33" s="19" t="s">
        <v>359</v>
      </c>
      <c r="J33" s="19">
        <f t="shared" si="0"/>
        <v>2300</v>
      </c>
    </row>
    <row r="34" spans="1:10" x14ac:dyDescent="0.3">
      <c r="A34" s="17" t="s">
        <v>472</v>
      </c>
      <c r="B34" s="17" t="s">
        <v>473</v>
      </c>
      <c r="C34" s="17" t="s">
        <v>466</v>
      </c>
      <c r="D34" s="17" t="s">
        <v>474</v>
      </c>
      <c r="E34" s="17" t="s">
        <v>475</v>
      </c>
      <c r="F34" s="17">
        <v>1500</v>
      </c>
      <c r="G34" s="17">
        <v>300</v>
      </c>
      <c r="H34" s="17">
        <v>470</v>
      </c>
      <c r="I34" s="17" t="s">
        <v>359</v>
      </c>
      <c r="J34" s="17">
        <f t="shared" si="0"/>
        <v>1030</v>
      </c>
    </row>
    <row r="35" spans="1:10" x14ac:dyDescent="0.3">
      <c r="A35" s="19" t="s">
        <v>476</v>
      </c>
      <c r="B35" s="19" t="s">
        <v>477</v>
      </c>
      <c r="C35" s="19" t="s">
        <v>466</v>
      </c>
      <c r="D35" s="19" t="s">
        <v>478</v>
      </c>
      <c r="E35" s="19" t="s">
        <v>471</v>
      </c>
      <c r="F35" s="19">
        <v>3800</v>
      </c>
      <c r="G35" s="19">
        <v>760</v>
      </c>
      <c r="H35" s="19">
        <v>1300</v>
      </c>
      <c r="I35" s="19" t="s">
        <v>359</v>
      </c>
      <c r="J35" s="19">
        <f t="shared" si="0"/>
        <v>2500</v>
      </c>
    </row>
    <row r="36" spans="1:10" x14ac:dyDescent="0.3">
      <c r="A36" s="17" t="s">
        <v>479</v>
      </c>
      <c r="B36" s="17" t="s">
        <v>480</v>
      </c>
      <c r="C36" s="17" t="s">
        <v>466</v>
      </c>
      <c r="D36" s="17" t="s">
        <v>481</v>
      </c>
      <c r="E36" s="17" t="s">
        <v>358</v>
      </c>
      <c r="F36" s="17">
        <v>900</v>
      </c>
      <c r="G36" s="17">
        <v>180</v>
      </c>
      <c r="H36" s="17">
        <v>280</v>
      </c>
      <c r="I36" s="17" t="s">
        <v>359</v>
      </c>
      <c r="J36" s="17">
        <f t="shared" si="0"/>
        <v>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A734-8BBA-4726-A222-D869648F0B18}">
  <sheetPr codeName="Sheet16"/>
  <dimension ref="A1:F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3" width="46" customWidth="1"/>
    <col min="4" max="4" width="38" customWidth="1"/>
    <col min="5" max="5" width="20" customWidth="1"/>
    <col min="6" max="6" width="26" customWidth="1"/>
  </cols>
  <sheetData>
    <row r="1" spans="1:6" ht="26.4" x14ac:dyDescent="0.3">
      <c r="A1" s="3" t="s">
        <v>276</v>
      </c>
      <c r="B1" s="3" t="s">
        <v>277</v>
      </c>
      <c r="C1" s="3" t="s">
        <v>278</v>
      </c>
      <c r="D1" s="3" t="s">
        <v>279</v>
      </c>
      <c r="E1" s="3" t="s">
        <v>280</v>
      </c>
      <c r="F1" s="3" t="s">
        <v>281</v>
      </c>
    </row>
    <row r="2" spans="1:6" ht="26.4" x14ac:dyDescent="0.3">
      <c r="A2" s="8" t="s">
        <v>282</v>
      </c>
      <c r="B2" s="1" t="s">
        <v>283</v>
      </c>
      <c r="C2" s="14" t="s">
        <v>284</v>
      </c>
      <c r="D2" s="1" t="s">
        <v>285</v>
      </c>
      <c r="E2" s="1" t="s">
        <v>286</v>
      </c>
      <c r="F2" s="1" t="s">
        <v>287</v>
      </c>
    </row>
    <row r="3" spans="1:6" ht="26.4" x14ac:dyDescent="0.3">
      <c r="A3" s="8" t="s">
        <v>288</v>
      </c>
      <c r="B3" s="1" t="s">
        <v>289</v>
      </c>
      <c r="C3" s="14" t="s">
        <v>290</v>
      </c>
      <c r="D3" s="1" t="s">
        <v>291</v>
      </c>
      <c r="E3" s="1" t="s">
        <v>292</v>
      </c>
      <c r="F3" s="1" t="s">
        <v>293</v>
      </c>
    </row>
    <row r="4" spans="1:6" ht="26.4" x14ac:dyDescent="0.3">
      <c r="A4" s="8" t="s">
        <v>294</v>
      </c>
      <c r="B4" s="1" t="s">
        <v>295</v>
      </c>
      <c r="C4" s="14" t="s">
        <v>296</v>
      </c>
      <c r="D4" s="1" t="s">
        <v>297</v>
      </c>
      <c r="E4" s="1" t="s">
        <v>298</v>
      </c>
      <c r="F4" s="1" t="s">
        <v>299</v>
      </c>
    </row>
    <row r="5" spans="1:6" ht="39.6" x14ac:dyDescent="0.3">
      <c r="A5" s="8" t="s">
        <v>300</v>
      </c>
      <c r="B5" s="1" t="s">
        <v>301</v>
      </c>
      <c r="C5" s="14" t="s">
        <v>302</v>
      </c>
      <c r="D5" s="1" t="s">
        <v>303</v>
      </c>
      <c r="E5" s="1" t="s">
        <v>304</v>
      </c>
      <c r="F5" s="1" t="s">
        <v>305</v>
      </c>
    </row>
    <row r="6" spans="1:6" ht="39.6" x14ac:dyDescent="0.3">
      <c r="A6" s="8" t="s">
        <v>306</v>
      </c>
      <c r="B6" s="1" t="s">
        <v>307</v>
      </c>
      <c r="C6" s="14" t="s">
        <v>308</v>
      </c>
      <c r="D6" s="1" t="s">
        <v>309</v>
      </c>
      <c r="E6" s="1" t="s">
        <v>310</v>
      </c>
      <c r="F6" s="1" t="s">
        <v>311</v>
      </c>
    </row>
    <row r="7" spans="1:6" ht="52.8" x14ac:dyDescent="0.3">
      <c r="A7" s="8" t="s">
        <v>312</v>
      </c>
      <c r="B7" s="1" t="s">
        <v>313</v>
      </c>
      <c r="C7" s="14" t="s">
        <v>314</v>
      </c>
      <c r="D7" s="1" t="s">
        <v>315</v>
      </c>
      <c r="E7" s="1" t="s">
        <v>298</v>
      </c>
      <c r="F7" s="1" t="s">
        <v>316</v>
      </c>
    </row>
    <row r="8" spans="1:6" ht="26.4" x14ac:dyDescent="0.3">
      <c r="A8" s="8" t="s">
        <v>317</v>
      </c>
      <c r="B8" s="1" t="s">
        <v>318</v>
      </c>
      <c r="C8" s="14" t="s">
        <v>319</v>
      </c>
      <c r="D8" s="1" t="s">
        <v>320</v>
      </c>
      <c r="E8" s="1" t="s">
        <v>321</v>
      </c>
      <c r="F8" s="1" t="s">
        <v>322</v>
      </c>
    </row>
    <row r="9" spans="1:6" ht="26.4" x14ac:dyDescent="0.3">
      <c r="A9" s="8" t="s">
        <v>323</v>
      </c>
      <c r="B9" s="1" t="s">
        <v>324</v>
      </c>
      <c r="C9" s="14" t="s">
        <v>325</v>
      </c>
      <c r="D9" s="1" t="s">
        <v>326</v>
      </c>
      <c r="E9" s="1" t="s">
        <v>327</v>
      </c>
      <c r="F9" s="1" t="s">
        <v>328</v>
      </c>
    </row>
    <row r="10" spans="1:6" ht="26.4" x14ac:dyDescent="0.3">
      <c r="A10" s="8" t="s">
        <v>329</v>
      </c>
      <c r="B10" s="1" t="s">
        <v>330</v>
      </c>
      <c r="C10" s="14" t="s">
        <v>331</v>
      </c>
      <c r="D10" s="1" t="s">
        <v>332</v>
      </c>
      <c r="E10" s="1" t="s">
        <v>333</v>
      </c>
      <c r="F10" s="1" t="s">
        <v>334</v>
      </c>
    </row>
    <row r="11" spans="1:6" ht="26.4" x14ac:dyDescent="0.3">
      <c r="A11" s="8" t="s">
        <v>335</v>
      </c>
      <c r="B11" s="1" t="s">
        <v>336</v>
      </c>
      <c r="C11" s="14" t="s">
        <v>337</v>
      </c>
      <c r="D11" s="1" t="s">
        <v>338</v>
      </c>
      <c r="E11" s="1" t="s">
        <v>339</v>
      </c>
      <c r="F11" s="1" t="s">
        <v>340</v>
      </c>
    </row>
    <row r="12" spans="1:6" ht="79.2" x14ac:dyDescent="0.3">
      <c r="A12" s="13"/>
      <c r="B12" s="12" t="s">
        <v>341</v>
      </c>
      <c r="C12" s="13" t="s">
        <v>342</v>
      </c>
      <c r="D12" s="13"/>
      <c r="E12" s="13"/>
      <c r="F12" s="1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C5B0-6361-46F1-B1EA-9B53DFF26B9A}">
  <sheetPr codeName="Sheet1"/>
  <dimension ref="A1:F29"/>
  <sheetViews>
    <sheetView topLeftCell="A3" workbookViewId="0">
      <selection activeCell="B33" sqref="B33"/>
    </sheetView>
  </sheetViews>
  <sheetFormatPr defaultRowHeight="14.4" x14ac:dyDescent="0.3"/>
  <cols>
    <col min="1" max="1" width="40" customWidth="1"/>
    <col min="2" max="2" width="14" customWidth="1"/>
    <col min="3" max="3" width="70" customWidth="1"/>
  </cols>
  <sheetData>
    <row r="1" spans="1:6" x14ac:dyDescent="0.3">
      <c r="A1" s="4" t="s">
        <v>225</v>
      </c>
      <c r="B1" s="5"/>
      <c r="C1" s="5"/>
      <c r="D1" s="5"/>
      <c r="E1" s="5"/>
      <c r="F1" s="5"/>
    </row>
    <row r="3" spans="1:6" ht="198" x14ac:dyDescent="0.3">
      <c r="A3" s="1" t="s">
        <v>226</v>
      </c>
      <c r="B3" s="6" t="s">
        <v>227</v>
      </c>
      <c r="C3" s="1" t="s">
        <v>228</v>
      </c>
      <c r="D3" s="1">
        <f>IF(B3="Lean",1,IF(B3="Stretch",1.6,1.3))</f>
        <v>1</v>
      </c>
      <c r="E3" s="1" t="s">
        <v>229</v>
      </c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7" t="s">
        <v>230</v>
      </c>
      <c r="B5" s="7" t="s">
        <v>231</v>
      </c>
      <c r="C5" s="7" t="s">
        <v>232</v>
      </c>
      <c r="D5" s="1"/>
      <c r="E5" s="1"/>
      <c r="F5" s="1"/>
    </row>
    <row r="6" spans="1:6" ht="39.6" x14ac:dyDescent="0.3">
      <c r="A6" s="1" t="s">
        <v>233</v>
      </c>
      <c r="B6" s="8">
        <v>12</v>
      </c>
      <c r="C6" s="1" t="s">
        <v>234</v>
      </c>
      <c r="D6" s="1"/>
      <c r="E6" s="1"/>
      <c r="F6" s="1"/>
    </row>
    <row r="7" spans="1:6" ht="26.4" x14ac:dyDescent="0.3">
      <c r="A7" s="1" t="s">
        <v>235</v>
      </c>
      <c r="B7" s="8">
        <v>70</v>
      </c>
      <c r="C7" s="1" t="s">
        <v>236</v>
      </c>
      <c r="D7" s="1"/>
      <c r="E7" s="1"/>
      <c r="F7" s="1"/>
    </row>
    <row r="8" spans="1:6" ht="26.4" x14ac:dyDescent="0.3">
      <c r="A8" s="1" t="s">
        <v>237</v>
      </c>
      <c r="B8" s="8">
        <v>90</v>
      </c>
      <c r="C8" s="1" t="s">
        <v>238</v>
      </c>
      <c r="D8" s="1"/>
      <c r="E8" s="1"/>
      <c r="F8" s="1"/>
    </row>
    <row r="9" spans="1:6" ht="26.4" x14ac:dyDescent="0.3">
      <c r="A9" s="1" t="s">
        <v>239</v>
      </c>
      <c r="B9" s="9">
        <v>0.3</v>
      </c>
      <c r="C9" s="1" t="s">
        <v>240</v>
      </c>
      <c r="D9" s="1"/>
      <c r="E9" s="1"/>
      <c r="F9" s="1"/>
    </row>
    <row r="10" spans="1:6" ht="26.4" x14ac:dyDescent="0.3">
      <c r="A10" s="1" t="s">
        <v>241</v>
      </c>
      <c r="B10" s="8">
        <v>2</v>
      </c>
      <c r="C10" s="1" t="s">
        <v>242</v>
      </c>
      <c r="D10" s="1"/>
      <c r="E10" s="1"/>
      <c r="F10" s="1"/>
    </row>
    <row r="11" spans="1:6" ht="26.4" x14ac:dyDescent="0.3">
      <c r="A11" s="1" t="s">
        <v>243</v>
      </c>
      <c r="B11" s="8">
        <v>850</v>
      </c>
      <c r="C11" s="1" t="s">
        <v>244</v>
      </c>
      <c r="D11" s="1"/>
      <c r="E11" s="1"/>
      <c r="F11" s="1"/>
    </row>
    <row r="12" spans="1:6" ht="26.4" x14ac:dyDescent="0.3">
      <c r="A12" s="1" t="s">
        <v>245</v>
      </c>
      <c r="B12" s="8">
        <v>0.19</v>
      </c>
      <c r="C12" s="1" t="s">
        <v>246</v>
      </c>
      <c r="D12" s="1"/>
      <c r="E12" s="1"/>
      <c r="F12" s="1"/>
    </row>
    <row r="13" spans="1:6" ht="26.4" x14ac:dyDescent="0.3">
      <c r="A13" s="1" t="s">
        <v>247</v>
      </c>
      <c r="B13" s="8">
        <v>1</v>
      </c>
      <c r="C13" s="1" t="s">
        <v>248</v>
      </c>
      <c r="D13" s="1"/>
      <c r="E13" s="1"/>
      <c r="F13" s="1"/>
    </row>
    <row r="14" spans="1:6" x14ac:dyDescent="0.3">
      <c r="A14" s="1" t="s">
        <v>249</v>
      </c>
      <c r="B14" s="8">
        <v>10500</v>
      </c>
      <c r="C14" s="1" t="s">
        <v>250</v>
      </c>
      <c r="D14" s="1"/>
      <c r="E14" s="1"/>
      <c r="F14" s="1"/>
    </row>
    <row r="15" spans="1:6" ht="26.4" x14ac:dyDescent="0.3">
      <c r="A15" s="1" t="s">
        <v>251</v>
      </c>
      <c r="B15" s="8">
        <v>0.65</v>
      </c>
      <c r="C15" s="1" t="s">
        <v>252</v>
      </c>
      <c r="D15" s="1"/>
      <c r="E15" s="1"/>
      <c r="F15" s="1"/>
    </row>
    <row r="16" spans="1:6" ht="26.4" x14ac:dyDescent="0.3">
      <c r="A16" s="1" t="s">
        <v>253</v>
      </c>
      <c r="B16" s="8">
        <v>4500</v>
      </c>
      <c r="C16" s="1" t="s">
        <v>254</v>
      </c>
      <c r="D16" s="1"/>
      <c r="E16" s="1"/>
      <c r="F16" s="1"/>
    </row>
    <row r="17" spans="1:6" ht="26.4" x14ac:dyDescent="0.3">
      <c r="A17" s="1" t="s">
        <v>255</v>
      </c>
      <c r="B17" s="8">
        <v>0.18</v>
      </c>
      <c r="C17" s="1" t="s">
        <v>256</v>
      </c>
      <c r="D17" s="1"/>
      <c r="E17" s="1"/>
      <c r="F17" s="1"/>
    </row>
    <row r="18" spans="1:6" ht="26.4" x14ac:dyDescent="0.3">
      <c r="A18" s="1" t="s">
        <v>257</v>
      </c>
      <c r="B18" s="8">
        <v>7.0000000000000007E-2</v>
      </c>
      <c r="C18" s="1" t="s">
        <v>258</v>
      </c>
      <c r="D18" s="1"/>
      <c r="E18" s="1"/>
      <c r="F18" s="1"/>
    </row>
    <row r="19" spans="1:6" x14ac:dyDescent="0.3">
      <c r="A19" s="7" t="s">
        <v>259</v>
      </c>
      <c r="B19" s="1"/>
      <c r="C19" s="1"/>
      <c r="D19" s="1"/>
      <c r="E19" s="1"/>
      <c r="F19" s="1"/>
    </row>
    <row r="20" spans="1:6" x14ac:dyDescent="0.3">
      <c r="A20" s="1" t="s">
        <v>260</v>
      </c>
      <c r="B20" s="1">
        <f>B6*B7*$D$3</f>
        <v>840</v>
      </c>
      <c r="C20" s="1" t="s">
        <v>261</v>
      </c>
      <c r="D20" s="1"/>
      <c r="E20" s="1"/>
      <c r="F20" s="1"/>
    </row>
    <row r="21" spans="1:6" x14ac:dyDescent="0.3">
      <c r="A21" s="1" t="s">
        <v>262</v>
      </c>
      <c r="B21" s="1">
        <f>B8*30*B9*$D$3</f>
        <v>810</v>
      </c>
      <c r="C21" s="1" t="s">
        <v>263</v>
      </c>
      <c r="D21" s="1"/>
      <c r="E21" s="1"/>
      <c r="F21" s="1"/>
    </row>
    <row r="22" spans="1:6" x14ac:dyDescent="0.3">
      <c r="A22" s="1" t="s">
        <v>264</v>
      </c>
      <c r="B22" s="1">
        <f>B10*B11*B12*$D$3</f>
        <v>323</v>
      </c>
      <c r="C22" s="1" t="s">
        <v>265</v>
      </c>
      <c r="D22" s="1"/>
      <c r="E22" s="1"/>
      <c r="F22" s="1"/>
    </row>
    <row r="23" spans="1:6" x14ac:dyDescent="0.3">
      <c r="A23" s="1" t="s">
        <v>266</v>
      </c>
      <c r="B23" s="1">
        <f>(B13*B14*(1-B15))/3*$D$3</f>
        <v>1224.9999999999998</v>
      </c>
      <c r="C23" s="1" t="s">
        <v>267</v>
      </c>
      <c r="D23" s="1"/>
      <c r="E23" s="1"/>
      <c r="F23" s="1"/>
    </row>
    <row r="24" spans="1:6" x14ac:dyDescent="0.3">
      <c r="A24" s="10" t="s">
        <v>268</v>
      </c>
      <c r="B24" s="11">
        <f>B20+B21+B22+B23</f>
        <v>3198</v>
      </c>
      <c r="C24" s="1"/>
      <c r="D24" s="1"/>
      <c r="E24" s="1"/>
      <c r="F24" s="1"/>
    </row>
    <row r="25" spans="1:6" x14ac:dyDescent="0.3">
      <c r="A25" s="1" t="s">
        <v>269</v>
      </c>
      <c r="B25" s="1">
        <f>B16*(1-B17-B18)</f>
        <v>3375</v>
      </c>
      <c r="C25" s="1" t="s">
        <v>270</v>
      </c>
      <c r="D25" s="1"/>
      <c r="E25" s="1"/>
      <c r="F25" s="1"/>
    </row>
    <row r="26" spans="1:6" x14ac:dyDescent="0.3">
      <c r="A26" s="12" t="s">
        <v>271</v>
      </c>
      <c r="B26" s="13">
        <f>B24-B25</f>
        <v>-177</v>
      </c>
      <c r="C26" s="1"/>
      <c r="D26" s="1"/>
      <c r="E26" s="1"/>
      <c r="F26" s="1"/>
    </row>
    <row r="27" spans="1:6" ht="52.8" x14ac:dyDescent="0.3">
      <c r="A27" s="1" t="s">
        <v>272</v>
      </c>
      <c r="B27" s="1" t="str">
        <f>IF(B26&gt;=0,"Self-covering at Lean mix","Monthly gap $"&amp;TEXT(-B26,"0")&amp;" → Pre-Seed sizes 18–24× this")</f>
        <v>Monthly gap $177 → Pre-Seed sizes 18–24× this</v>
      </c>
      <c r="C27" s="1" t="s">
        <v>273</v>
      </c>
      <c r="D27" s="1"/>
      <c r="E27" s="1"/>
      <c r="F27" s="1"/>
    </row>
    <row r="28" spans="1:6" x14ac:dyDescent="0.3">
      <c r="A28" s="1" t="s">
        <v>274</v>
      </c>
      <c r="B28" s="1">
        <f>B26*12</f>
        <v>-2124</v>
      </c>
      <c r="C28" s="1" t="s">
        <v>275</v>
      </c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</sheetData>
  <mergeCells count="1">
    <mergeCell ref="A1:F1"/>
  </mergeCells>
  <dataValidations count="1">
    <dataValidation type="list" sqref="B3" xr:uid="{F23AF56D-1433-4CD0-B0F7-EE11D787628C}">
      <formula1>"Lean,Base,Stretch"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6435-1AC8-44FF-A31B-60BC3C30B486}">
  <sheetPr codeName="Sheet2"/>
  <dimension ref="A1:E47"/>
  <sheetViews>
    <sheetView workbookViewId="0">
      <pane ySplit="1" topLeftCell="A9" activePane="bottomLeft" state="frozen"/>
      <selection pane="bottomLeft"/>
    </sheetView>
  </sheetViews>
  <sheetFormatPr defaultRowHeight="14.4" x14ac:dyDescent="0.3"/>
  <cols>
    <col min="1" max="1" width="7" customWidth="1"/>
    <col min="2" max="2" width="58" customWidth="1"/>
    <col min="3" max="3" width="52" customWidth="1"/>
    <col min="4" max="4" width="30" customWidth="1"/>
    <col min="5" max="5" width="28" customWidth="1"/>
  </cols>
  <sheetData>
    <row r="1" spans="1:5" x14ac:dyDescent="0.3">
      <c r="A1" s="3" t="s">
        <v>224</v>
      </c>
      <c r="B1" s="3" t="s">
        <v>223</v>
      </c>
      <c r="C1" s="3" t="s">
        <v>222</v>
      </c>
      <c r="D1" s="3" t="s">
        <v>221</v>
      </c>
      <c r="E1" s="3" t="s">
        <v>220</v>
      </c>
    </row>
    <row r="2" spans="1:5" ht="26.4" x14ac:dyDescent="0.3">
      <c r="A2" s="2" t="s">
        <v>219</v>
      </c>
      <c r="B2" s="1" t="s">
        <v>218</v>
      </c>
      <c r="C2" s="1" t="s">
        <v>217</v>
      </c>
      <c r="D2" s="1" t="s">
        <v>216</v>
      </c>
      <c r="E2" s="1" t="s">
        <v>215</v>
      </c>
    </row>
    <row r="3" spans="1:5" x14ac:dyDescent="0.3">
      <c r="A3" s="2" t="s">
        <v>214</v>
      </c>
      <c r="B3" s="1" t="s">
        <v>213</v>
      </c>
      <c r="C3" s="1" t="s">
        <v>212</v>
      </c>
      <c r="D3" s="1" t="s">
        <v>211</v>
      </c>
      <c r="E3" s="1" t="s">
        <v>210</v>
      </c>
    </row>
    <row r="4" spans="1:5" x14ac:dyDescent="0.3">
      <c r="A4" s="2" t="s">
        <v>209</v>
      </c>
      <c r="B4" s="1" t="s">
        <v>208</v>
      </c>
      <c r="C4" s="1" t="s">
        <v>207</v>
      </c>
      <c r="D4" s="1" t="s">
        <v>206</v>
      </c>
      <c r="E4" s="1" t="s">
        <v>205</v>
      </c>
    </row>
    <row r="5" spans="1:5" x14ac:dyDescent="0.3">
      <c r="A5" s="2" t="s">
        <v>204</v>
      </c>
      <c r="B5" s="1" t="s">
        <v>203</v>
      </c>
      <c r="C5" s="1" t="s">
        <v>202</v>
      </c>
      <c r="D5" s="1" t="s">
        <v>201</v>
      </c>
      <c r="E5" s="1" t="s">
        <v>200</v>
      </c>
    </row>
    <row r="6" spans="1:5" ht="26.4" x14ac:dyDescent="0.3">
      <c r="A6" s="2" t="s">
        <v>199</v>
      </c>
      <c r="B6" s="1" t="s">
        <v>198</v>
      </c>
      <c r="C6" s="1" t="s">
        <v>197</v>
      </c>
      <c r="D6" s="1" t="s">
        <v>196</v>
      </c>
      <c r="E6" s="1" t="s">
        <v>195</v>
      </c>
    </row>
    <row r="7" spans="1:5" ht="26.4" x14ac:dyDescent="0.3">
      <c r="A7" s="2" t="s">
        <v>194</v>
      </c>
      <c r="B7" s="1" t="s">
        <v>193</v>
      </c>
      <c r="C7" s="1" t="s">
        <v>192</v>
      </c>
      <c r="D7" s="1" t="s">
        <v>191</v>
      </c>
      <c r="E7" s="1" t="s">
        <v>190</v>
      </c>
    </row>
    <row r="8" spans="1:5" ht="26.4" x14ac:dyDescent="0.3">
      <c r="A8" s="2" t="s">
        <v>189</v>
      </c>
      <c r="B8" s="1" t="s">
        <v>188</v>
      </c>
      <c r="C8" s="1" t="s">
        <v>187</v>
      </c>
      <c r="D8" s="1" t="s">
        <v>186</v>
      </c>
      <c r="E8" s="1" t="s">
        <v>185</v>
      </c>
    </row>
    <row r="9" spans="1:5" ht="26.4" x14ac:dyDescent="0.3">
      <c r="A9" s="2" t="s">
        <v>184</v>
      </c>
      <c r="B9" s="1" t="s">
        <v>183</v>
      </c>
      <c r="C9" s="1" t="s">
        <v>182</v>
      </c>
      <c r="D9" s="1" t="s">
        <v>181</v>
      </c>
      <c r="E9" s="1" t="s">
        <v>180</v>
      </c>
    </row>
    <row r="10" spans="1:5" ht="26.4" x14ac:dyDescent="0.3">
      <c r="A10" s="2" t="s">
        <v>179</v>
      </c>
      <c r="B10" s="1" t="s">
        <v>23</v>
      </c>
      <c r="C10" s="1" t="s">
        <v>178</v>
      </c>
      <c r="D10" s="1" t="s">
        <v>133</v>
      </c>
      <c r="E10" s="1" t="s">
        <v>177</v>
      </c>
    </row>
    <row r="11" spans="1:5" ht="26.4" x14ac:dyDescent="0.3">
      <c r="A11" s="2" t="s">
        <v>176</v>
      </c>
      <c r="B11" s="1" t="s">
        <v>175</v>
      </c>
      <c r="C11" s="1" t="s">
        <v>174</v>
      </c>
      <c r="D11" s="1" t="s">
        <v>173</v>
      </c>
      <c r="E11" s="1" t="s">
        <v>172</v>
      </c>
    </row>
    <row r="12" spans="1:5" ht="26.4" x14ac:dyDescent="0.3">
      <c r="A12" s="2" t="s">
        <v>171</v>
      </c>
      <c r="B12" s="1" t="s">
        <v>170</v>
      </c>
      <c r="C12" s="1" t="s">
        <v>169</v>
      </c>
      <c r="D12" s="1" t="s">
        <v>168</v>
      </c>
      <c r="E12" s="1" t="s">
        <v>167</v>
      </c>
    </row>
    <row r="13" spans="1:5" ht="26.4" x14ac:dyDescent="0.3">
      <c r="A13" s="2" t="s">
        <v>166</v>
      </c>
      <c r="B13" s="1" t="s">
        <v>165</v>
      </c>
      <c r="C13" s="1" t="s">
        <v>164</v>
      </c>
      <c r="D13" s="1" t="s">
        <v>163</v>
      </c>
      <c r="E13" s="1" t="s">
        <v>162</v>
      </c>
    </row>
    <row r="14" spans="1:5" ht="26.4" x14ac:dyDescent="0.3">
      <c r="A14" s="2" t="s">
        <v>161</v>
      </c>
      <c r="B14" s="1" t="s">
        <v>160</v>
      </c>
      <c r="C14" s="1" t="s">
        <v>159</v>
      </c>
      <c r="D14" s="1" t="s">
        <v>158</v>
      </c>
      <c r="E14" s="1" t="s">
        <v>157</v>
      </c>
    </row>
    <row r="15" spans="1:5" ht="26.4" x14ac:dyDescent="0.3">
      <c r="A15" s="2" t="s">
        <v>156</v>
      </c>
      <c r="B15" s="1" t="s">
        <v>155</v>
      </c>
      <c r="C15" s="1" t="s">
        <v>154</v>
      </c>
      <c r="D15" s="1" t="s">
        <v>153</v>
      </c>
      <c r="E15" s="1" t="s">
        <v>152</v>
      </c>
    </row>
    <row r="16" spans="1:5" ht="26.4" x14ac:dyDescent="0.3">
      <c r="A16" s="2" t="s">
        <v>151</v>
      </c>
      <c r="B16" s="1" t="s">
        <v>150</v>
      </c>
      <c r="C16" s="1" t="s">
        <v>149</v>
      </c>
      <c r="D16" s="1" t="s">
        <v>148</v>
      </c>
      <c r="E16" s="1" t="s">
        <v>147</v>
      </c>
    </row>
    <row r="17" spans="1:5" ht="26.4" x14ac:dyDescent="0.3">
      <c r="A17" s="2" t="s">
        <v>146</v>
      </c>
      <c r="B17" s="1" t="s">
        <v>145</v>
      </c>
      <c r="C17" s="1" t="s">
        <v>144</v>
      </c>
      <c r="D17" s="1" t="s">
        <v>143</v>
      </c>
      <c r="E17" s="1" t="s">
        <v>142</v>
      </c>
    </row>
    <row r="18" spans="1:5" ht="26.4" x14ac:dyDescent="0.3">
      <c r="A18" s="2" t="s">
        <v>141</v>
      </c>
      <c r="B18" s="1" t="s">
        <v>140</v>
      </c>
      <c r="C18" s="1" t="s">
        <v>139</v>
      </c>
      <c r="D18" s="1" t="s">
        <v>138</v>
      </c>
      <c r="E18" s="1" t="s">
        <v>137</v>
      </c>
    </row>
    <row r="19" spans="1:5" ht="26.4" x14ac:dyDescent="0.3">
      <c r="A19" s="2" t="s">
        <v>136</v>
      </c>
      <c r="B19" s="1" t="s">
        <v>135</v>
      </c>
      <c r="C19" s="1" t="s">
        <v>134</v>
      </c>
      <c r="D19" s="1" t="s">
        <v>133</v>
      </c>
      <c r="E19" s="1" t="s">
        <v>132</v>
      </c>
    </row>
    <row r="20" spans="1:5" ht="26.4" x14ac:dyDescent="0.3">
      <c r="A20" s="2" t="s">
        <v>131</v>
      </c>
      <c r="B20" s="1" t="s">
        <v>130</v>
      </c>
      <c r="C20" s="1" t="s">
        <v>129</v>
      </c>
      <c r="D20" s="1" t="s">
        <v>115</v>
      </c>
      <c r="E20" s="1" t="s">
        <v>128</v>
      </c>
    </row>
    <row r="21" spans="1:5" ht="26.4" x14ac:dyDescent="0.3">
      <c r="A21" s="2" t="s">
        <v>127</v>
      </c>
      <c r="B21" s="1" t="s">
        <v>126</v>
      </c>
      <c r="C21" s="1" t="s">
        <v>125</v>
      </c>
      <c r="D21" s="1" t="s">
        <v>120</v>
      </c>
      <c r="E21" s="1" t="s">
        <v>124</v>
      </c>
    </row>
    <row r="22" spans="1:5" ht="26.4" x14ac:dyDescent="0.3">
      <c r="A22" s="2" t="s">
        <v>123</v>
      </c>
      <c r="B22" s="1" t="s">
        <v>122</v>
      </c>
      <c r="C22" s="1" t="s">
        <v>121</v>
      </c>
      <c r="D22" s="1" t="s">
        <v>120</v>
      </c>
      <c r="E22" s="1" t="s">
        <v>119</v>
      </c>
    </row>
    <row r="23" spans="1:5" ht="26.4" x14ac:dyDescent="0.3">
      <c r="A23" s="2" t="s">
        <v>118</v>
      </c>
      <c r="B23" s="1" t="s">
        <v>117</v>
      </c>
      <c r="C23" s="1" t="s">
        <v>116</v>
      </c>
      <c r="D23" s="1" t="s">
        <v>115</v>
      </c>
      <c r="E23" s="1" t="s">
        <v>114</v>
      </c>
    </row>
    <row r="24" spans="1:5" ht="26.4" x14ac:dyDescent="0.3">
      <c r="A24" s="2" t="s">
        <v>113</v>
      </c>
      <c r="B24" s="1" t="s">
        <v>112</v>
      </c>
      <c r="C24" s="1" t="s">
        <v>111</v>
      </c>
      <c r="D24" s="1" t="s">
        <v>94</v>
      </c>
      <c r="E24" s="1" t="s">
        <v>110</v>
      </c>
    </row>
    <row r="25" spans="1:5" x14ac:dyDescent="0.3">
      <c r="A25" s="2" t="s">
        <v>109</v>
      </c>
      <c r="B25" s="1" t="s">
        <v>108</v>
      </c>
      <c r="C25" s="1" t="s">
        <v>107</v>
      </c>
      <c r="D25" s="1" t="s">
        <v>79</v>
      </c>
      <c r="E25" s="1" t="s">
        <v>106</v>
      </c>
    </row>
    <row r="26" spans="1:5" x14ac:dyDescent="0.3">
      <c r="A26" s="2" t="s">
        <v>105</v>
      </c>
      <c r="B26" s="1" t="s">
        <v>104</v>
      </c>
      <c r="C26" s="1" t="s">
        <v>103</v>
      </c>
      <c r="D26" s="1" t="s">
        <v>79</v>
      </c>
      <c r="E26" s="1" t="s">
        <v>102</v>
      </c>
    </row>
    <row r="27" spans="1:5" ht="26.4" x14ac:dyDescent="0.3">
      <c r="A27" s="2" t="s">
        <v>101</v>
      </c>
      <c r="B27" s="1" t="s">
        <v>100</v>
      </c>
      <c r="C27" s="1" t="s">
        <v>99</v>
      </c>
      <c r="D27" s="1" t="s">
        <v>94</v>
      </c>
      <c r="E27" s="1" t="s">
        <v>98</v>
      </c>
    </row>
    <row r="28" spans="1:5" ht="26.4" x14ac:dyDescent="0.3">
      <c r="A28" s="2" t="s">
        <v>97</v>
      </c>
      <c r="B28" s="1" t="s">
        <v>96</v>
      </c>
      <c r="C28" s="1" t="s">
        <v>95</v>
      </c>
      <c r="D28" s="1" t="s">
        <v>94</v>
      </c>
      <c r="E28" s="1" t="s">
        <v>93</v>
      </c>
    </row>
    <row r="29" spans="1:5" x14ac:dyDescent="0.3">
      <c r="A29" s="2" t="s">
        <v>92</v>
      </c>
      <c r="B29" s="1" t="s">
        <v>91</v>
      </c>
      <c r="C29" s="1" t="s">
        <v>90</v>
      </c>
      <c r="D29" s="1" t="s">
        <v>89</v>
      </c>
      <c r="E29" s="1" t="s">
        <v>88</v>
      </c>
    </row>
    <row r="30" spans="1:5" x14ac:dyDescent="0.3">
      <c r="A30" s="2" t="s">
        <v>87</v>
      </c>
      <c r="B30" s="1" t="s">
        <v>86</v>
      </c>
      <c r="C30" s="1" t="s">
        <v>85</v>
      </c>
      <c r="D30" s="1" t="s">
        <v>84</v>
      </c>
      <c r="E30" s="1" t="s">
        <v>83</v>
      </c>
    </row>
    <row r="31" spans="1:5" x14ac:dyDescent="0.3">
      <c r="A31" s="2" t="s">
        <v>82</v>
      </c>
      <c r="B31" s="1" t="s">
        <v>81</v>
      </c>
      <c r="C31" s="1" t="s">
        <v>80</v>
      </c>
      <c r="D31" s="1" t="s">
        <v>79</v>
      </c>
      <c r="E31" s="1" t="s">
        <v>78</v>
      </c>
    </row>
    <row r="32" spans="1:5" ht="26.4" x14ac:dyDescent="0.3">
      <c r="A32" s="2" t="s">
        <v>77</v>
      </c>
      <c r="B32" s="1" t="s">
        <v>76</v>
      </c>
      <c r="C32" s="1" t="s">
        <v>75</v>
      </c>
      <c r="D32" s="1" t="s">
        <v>74</v>
      </c>
      <c r="E32" s="1" t="s">
        <v>73</v>
      </c>
    </row>
    <row r="33" spans="1:5" x14ac:dyDescent="0.3">
      <c r="A33" s="2" t="s">
        <v>72</v>
      </c>
      <c r="B33" s="1" t="s">
        <v>71</v>
      </c>
      <c r="C33" s="1" t="s">
        <v>70</v>
      </c>
      <c r="D33" s="1" t="s">
        <v>60</v>
      </c>
      <c r="E33" s="1" t="s">
        <v>69</v>
      </c>
    </row>
    <row r="34" spans="1:5" x14ac:dyDescent="0.3">
      <c r="A34" s="2" t="s">
        <v>68</v>
      </c>
      <c r="B34" s="1" t="s">
        <v>67</v>
      </c>
      <c r="C34" s="1" t="s">
        <v>66</v>
      </c>
      <c r="D34" s="1" t="s">
        <v>65</v>
      </c>
      <c r="E34" s="1" t="s">
        <v>64</v>
      </c>
    </row>
    <row r="35" spans="1:5" x14ac:dyDescent="0.3">
      <c r="A35" s="2" t="s">
        <v>63</v>
      </c>
      <c r="B35" s="1" t="s">
        <v>62</v>
      </c>
      <c r="C35" s="1" t="s">
        <v>61</v>
      </c>
      <c r="D35" s="1" t="s">
        <v>60</v>
      </c>
      <c r="E35" s="1" t="s">
        <v>59</v>
      </c>
    </row>
    <row r="36" spans="1:5" x14ac:dyDescent="0.3">
      <c r="A36" s="2" t="s">
        <v>58</v>
      </c>
      <c r="B36" s="1" t="s">
        <v>57</v>
      </c>
      <c r="C36" s="1" t="s">
        <v>56</v>
      </c>
      <c r="D36" s="1" t="s">
        <v>55</v>
      </c>
      <c r="E36" s="1" t="s">
        <v>54</v>
      </c>
    </row>
    <row r="37" spans="1:5" ht="26.4" x14ac:dyDescent="0.3">
      <c r="A37" s="2" t="s">
        <v>53</v>
      </c>
      <c r="B37" s="1" t="s">
        <v>52</v>
      </c>
      <c r="C37" s="1" t="s">
        <v>51</v>
      </c>
      <c r="D37" s="1" t="s">
        <v>50</v>
      </c>
      <c r="E37" s="1" t="s">
        <v>49</v>
      </c>
    </row>
    <row r="38" spans="1:5" x14ac:dyDescent="0.3">
      <c r="A38" s="2" t="s">
        <v>48</v>
      </c>
      <c r="B38" s="1" t="s">
        <v>47</v>
      </c>
      <c r="C38" s="1" t="s">
        <v>46</v>
      </c>
      <c r="D38" s="1" t="s">
        <v>41</v>
      </c>
      <c r="E38" s="1" t="s">
        <v>45</v>
      </c>
    </row>
    <row r="39" spans="1:5" x14ac:dyDescent="0.3">
      <c r="A39" s="2" t="s">
        <v>44</v>
      </c>
      <c r="B39" s="1" t="s">
        <v>43</v>
      </c>
      <c r="C39" s="1" t="s">
        <v>42</v>
      </c>
      <c r="D39" s="1" t="s">
        <v>41</v>
      </c>
      <c r="E39" s="1" t="s">
        <v>40</v>
      </c>
    </row>
    <row r="40" spans="1:5" ht="26.4" x14ac:dyDescent="0.3">
      <c r="A40" s="2" t="s">
        <v>39</v>
      </c>
      <c r="B40" s="1" t="s">
        <v>38</v>
      </c>
      <c r="C40" s="1" t="s">
        <v>37</v>
      </c>
      <c r="D40" s="1" t="s">
        <v>36</v>
      </c>
      <c r="E40" s="1" t="s">
        <v>35</v>
      </c>
    </row>
    <row r="41" spans="1:5" x14ac:dyDescent="0.3">
      <c r="A41" s="2" t="s">
        <v>34</v>
      </c>
      <c r="B41" s="1" t="s">
        <v>33</v>
      </c>
      <c r="C41" s="1" t="s">
        <v>32</v>
      </c>
      <c r="D41" s="1" t="s">
        <v>31</v>
      </c>
      <c r="E41" s="1" t="s">
        <v>30</v>
      </c>
    </row>
    <row r="42" spans="1:5" x14ac:dyDescent="0.3">
      <c r="A42" s="2" t="s">
        <v>29</v>
      </c>
      <c r="B42" s="1" t="s">
        <v>28</v>
      </c>
      <c r="C42" s="1" t="s">
        <v>27</v>
      </c>
      <c r="D42" s="1" t="s">
        <v>26</v>
      </c>
      <c r="E42" s="1" t="s">
        <v>25</v>
      </c>
    </row>
    <row r="43" spans="1:5" ht="26.4" x14ac:dyDescent="0.3">
      <c r="A43" s="2" t="s">
        <v>24</v>
      </c>
      <c r="B43" s="1" t="s">
        <v>23</v>
      </c>
      <c r="C43" s="1" t="s">
        <v>22</v>
      </c>
      <c r="D43" s="1" t="s">
        <v>21</v>
      </c>
      <c r="E43" s="1" t="s">
        <v>20</v>
      </c>
    </row>
    <row r="44" spans="1:5" ht="26.4" x14ac:dyDescent="0.3">
      <c r="A44" s="2" t="s">
        <v>19</v>
      </c>
      <c r="B44" s="1" t="s">
        <v>18</v>
      </c>
      <c r="C44" s="1" t="s">
        <v>17</v>
      </c>
      <c r="D44" s="1" t="s">
        <v>16</v>
      </c>
      <c r="E44" s="1" t="s">
        <v>15</v>
      </c>
    </row>
    <row r="45" spans="1:5" ht="26.4" x14ac:dyDescent="0.3">
      <c r="A45" s="2" t="s">
        <v>14</v>
      </c>
      <c r="B45" s="1" t="s">
        <v>13</v>
      </c>
      <c r="C45" s="1" t="s">
        <v>12</v>
      </c>
      <c r="D45" s="1" t="s">
        <v>11</v>
      </c>
      <c r="E45" s="1" t="s">
        <v>10</v>
      </c>
    </row>
    <row r="46" spans="1:5" ht="26.4" x14ac:dyDescent="0.3">
      <c r="A46" s="2" t="s">
        <v>9</v>
      </c>
      <c r="B46" s="1" t="s">
        <v>8</v>
      </c>
      <c r="C46" s="1" t="s">
        <v>7</v>
      </c>
      <c r="D46" s="1" t="s">
        <v>6</v>
      </c>
      <c r="E46" s="1" t="s">
        <v>5</v>
      </c>
    </row>
    <row r="47" spans="1:5" ht="26.4" x14ac:dyDescent="0.3">
      <c r="A47" s="2" t="s">
        <v>4</v>
      </c>
      <c r="B47" s="1" t="s">
        <v>3</v>
      </c>
      <c r="C47" s="1" t="s">
        <v>2</v>
      </c>
      <c r="D47" s="1" t="s">
        <v>1</v>
      </c>
      <c r="E47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02_Idea_Register</vt:lpstr>
      <vt:lpstr>12_Ideas_Bank</vt:lpstr>
      <vt:lpstr>10_Value_Propositions</vt:lpstr>
      <vt:lpstr>09_CSR_Programmes</vt:lpstr>
      <vt:lpstr>08_Partnership_Pipeline</vt:lpstr>
      <vt:lpstr>07_Stakeholder_Registry</vt:lpstr>
      <vt:lpstr>05_Product_Master</vt:lpstr>
      <vt:lpstr>17_Launch_Digital_Build</vt:lpstr>
      <vt:lpstr>14_Operating_Model</vt:lpstr>
      <vt:lpstr>10_Language_Bank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Faisal</dc:creator>
  <cp:lastModifiedBy>Mohamed Faisal</cp:lastModifiedBy>
  <dcterms:created xsi:type="dcterms:W3CDTF">2026-08-09T13:51:22Z</dcterms:created>
  <dcterms:modified xsi:type="dcterms:W3CDTF">2026-08-09T14:07:44Z</dcterms:modified>
</cp:coreProperties>
</file>