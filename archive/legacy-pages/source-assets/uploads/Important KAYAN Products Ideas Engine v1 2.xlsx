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Product_Master" sheetId="2" state="visible" r:id="rId4"/>
    <sheet name="02_Segments_PainPoints" sheetId="3" state="visible" r:id="rId5"/>
    <sheet name="03_Economics" sheetId="4" state="visible" r:id="rId6"/>
    <sheet name="04_Bundles_Journeys" sheetId="5" state="visible" r:id="rId7"/>
    <sheet name="05_AddOns_Rush" sheetId="6" state="visible" r:id="rId8"/>
    <sheet name="06_Ideas_Bank" sheetId="7" state="visible" r:id="rId9"/>
    <sheet name="07_Comparables" sheetId="8" state="visible" r:id="rId10"/>
    <sheet name="08_Launch_Roadmap" sheetId="9" state="visible" r:id="rId11"/>
    <sheet name="09_Tiers_GoodBetterBest" sheetId="10" state="visible" r:id="rId12"/>
    <sheet name="10_Specializations" sheetId="11" state="visible" r:id="rId13"/>
    <sheet name="11_Stakeholders_Targeting" sheetId="12" state="visible" r:id="rId14"/>
    <sheet name="12_Launch_Roles_KPI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<sst xmlns="http://schemas.openxmlformats.org/spreadsheetml/2006/main" count="1582" uniqueCount="1047">
  <si>
    <t xml:space="preserve">KAYAN  ·  PRODUCTS &amp; IDEAS ENGINE</t>
  </si>
  <si>
    <t xml:space="preserve">The living home for every Kayan product — what it is, who it is for, what it costs to build, and what each dollar buys.</t>
  </si>
  <si>
    <t xml:space="preserve">35 products · 8 families · 144 verified skills · 12 stakeholder targets · 13 launch roles · KAY-CLT-006-ENGINE</t>
  </si>
  <si>
    <t xml:space="preserve">WHAT THIS WORKBOOK IS</t>
  </si>
  <si>
    <t xml:space="preserve">A single, living engine for Kayan's productised services — 35 products across 8 families, from a $280 voice-over to a $5,500 custom platform. It maps every product to the segments and pain points it solves, states value-for-money plainly, and gives staff a place to propose new products. It is the operating brain behind the client-facing Ready Products Catalogue.</t>
  </si>
  <si>
    <t xml:space="preserve">THE 8 PRODUCT FAMILIES</t>
  </si>
  <si>
    <t xml:space="preserve">A Brand &amp; Creative · B Web, Apps &amp; Technology · C Marketing &amp; Growth · D Content, Writing &amp; Translation · E Research, Data &amp; Evaluation · F Finance, Admin &amp; Support · G Packages for New Businesses · H Enterprise &amp; Hospitality Suites. Each family is colour-coded across the workbook and the catalogue.</t>
  </si>
  <si>
    <t xml:space="preserve">HOW IT IS ORGANISED</t>
  </si>
  <si>
    <t xml:space="preserve">01 Product Master · 02 Segments &amp; Pain Points · 03 Economics · 04 Bundles &amp; Journeys · 05 Add-ons &amp; Rush · 06 Ideas Bank · 07 Comparables · 08 Launch Roadmap · 09 Tiers · 10 Specializations (full taxonomy) · 11 Stakeholders &amp; Targeting · 12 Launch Roles, KPIs &amp; Tasks.</t>
  </si>
  <si>
    <t xml:space="preserve">THE RULES BEHIND EVERY PRODUCT</t>
  </si>
  <si>
    <t xml:space="preserve">Fixed scope. Fixed price in USD. A named delivery day. A managed pod of verified talent. Three-layer QA. One free revision (extra at 20%). A 5-business-day acceptance window. 100% funded into escrow before any work begins — the founding rule, no exceptions. Kayan keeps a 20% net fee; talent receives 80%; a 2% holdback is kept 30 days.</t>
  </si>
  <si>
    <t xml:space="preserve">HOW PRICES WORK</t>
  </si>
  <si>
    <t xml:space="preserve">Prices are anchored in USD and held firm. Payment in YER converts at the actual Aden market rate on the day (≈1,535 in May 2026), against the dated rate table — never a notional rate. Cost-to-build is a conservative estimate of talent payout at regional rates (Egypt entry $8–12/hr, experienced $18–25/hr); a planning assumption, refined with real pod data.</t>
  </si>
  <si>
    <t xml:space="preserve">WHAT CHANGED IN THIS VERSION</t>
  </si>
  <si>
    <t xml:space="preserve">Expanded from 8 to 35 products: added mobile apps, custom platforms, IT/DevOps care, AI automation, bookkeeping, financial modelling, virtual assistant, customer-service desk, SEO, paid ads, voice-over; the tiered Startup-in-a-Box for new companies; and enterprise suites for big restaurants, larger hotels, and businessmen. Drawn from the Micro-Specialization Taxonomy, the earlier Offer Catalog (KAY-MKT-001), and live market research.</t>
  </si>
  <si>
    <t xml:space="preserve">Product Master Catalogue</t>
  </si>
  <si>
    <t xml:space="preserve">All 35 products across 8 families. Prices in USD; cost-to-build is estimated talent payout. Retainers priced per month; Startup-in-a-Box is tiered.</t>
  </si>
  <si>
    <t xml:space="preserve">Code</t>
  </si>
  <si>
    <t xml:space="preserve">Product</t>
  </si>
  <si>
    <t xml:space="preserve">Family</t>
  </si>
  <si>
    <t xml:space="preserve">Pod / team</t>
  </si>
  <si>
    <t xml:space="preserve">Delivery</t>
  </si>
  <si>
    <t xml:space="preserve">Price USD</t>
  </si>
  <si>
    <t xml:space="preserve">Kayan fee</t>
  </si>
  <si>
    <t xml:space="preserve">Cost to build</t>
  </si>
  <si>
    <t xml:space="preserve">Fee %</t>
  </si>
  <si>
    <t xml:space="preserve">What the client gets (specifics)</t>
  </si>
  <si>
    <t xml:space="preserve">Pain point solved</t>
  </si>
  <si>
    <t xml:space="preserve">What each dollar buys</t>
  </si>
  <si>
    <t xml:space="preserve">RP-001</t>
  </si>
  <si>
    <t xml:space="preserve">Brand Identity Pack</t>
  </si>
  <si>
    <t xml:space="preserve">Brand &amp; Creative</t>
  </si>
  <si>
    <t xml:space="preserve">Designer T2+ · QA</t>
  </si>
  <si>
    <t xml:space="preserve">14 days</t>
  </si>
  <si>
    <t xml:space="preserve">500</t>
  </si>
  <si>
    <t xml:space="preserve">Primary logo + 3 alternates (AI/PNG/SVG/PDF)  •  Brand guide — colour, type, usage rules  •  Stationery — card, letterhead, envelope, e-signature  •  Print + digital files  •  One free revision</t>
  </si>
  <si>
    <t xml:space="preserve">New ventures look improvised and untrustworthy</t>
  </si>
  <si>
    <t xml:space="preserve">A complete, ownable identity for less than one month of a junior hire</t>
  </si>
  <si>
    <t xml:space="preserve">RP-016</t>
  </si>
  <si>
    <t xml:space="preserve">Brand Refresh &amp; Rebrand</t>
  </si>
  <si>
    <t xml:space="preserve">Designer T3+ · Strategist · QA</t>
  </si>
  <si>
    <t xml:space="preserve">21 days</t>
  </si>
  <si>
    <t xml:space="preserve">950</t>
  </si>
  <si>
    <t xml:space="preserve">Brand audit  •  Refreshed logo system  •  Expanded palette + type  •  Messaging lines (AR/EN)  •  Applied templates (social, docs, signage)  •  Rollout guide</t>
  </si>
  <si>
    <t xml:space="preserve">An ageing brand undercuts a growing business</t>
  </si>
  <si>
    <t xml:space="preserve">A modern, consistent brand that matches where the business is now</t>
  </si>
  <si>
    <t xml:space="preserve">RP-020</t>
  </si>
  <si>
    <t xml:space="preserve">Video &amp; Motion Pack</t>
  </si>
  <si>
    <t xml:space="preserve">Editor T2+ · Motion · Writer</t>
  </si>
  <si>
    <t xml:space="preserve">650</t>
  </si>
  <si>
    <t xml:space="preserve">1 brand/promo video (60–90s)  •  4 short vertical social cuts  •  Subtitles AR/EN  •  Motion logo sting  •  Licence-safe music</t>
  </si>
  <si>
    <t xml:space="preserve">Static posts are ignored; no video skills in-house</t>
  </si>
  <si>
    <t xml:space="preserve">Scroll-stopping video — the single highest-engagement format</t>
  </si>
  <si>
    <t xml:space="preserve">RP-031</t>
  </si>
  <si>
    <t xml:space="preserve">Voice-Over &amp; Audio</t>
  </si>
  <si>
    <t xml:space="preserve">Voice artist T2+ · Audio editor</t>
  </si>
  <si>
    <t xml:space="preserve">7 days</t>
  </si>
  <si>
    <t xml:space="preserve">280</t>
  </si>
  <si>
    <t xml:space="preserve">Professional voice-over (AR/EN, up to 3 min)  •  Script polish  •  Clean mastered audio  •  Licence-safe music bed  •  2 formats; 1 revision</t>
  </si>
  <si>
    <t xml:space="preserve">Videos and ads need a professional voice; phone recordings sound cheap</t>
  </si>
  <si>
    <t xml:space="preserve">A broadcast-quality voice that makes content sound professional</t>
  </si>
  <si>
    <t xml:space="preserve">RP-002</t>
  </si>
  <si>
    <t xml:space="preserve">Professional Website</t>
  </si>
  <si>
    <t xml:space="preserve">Web, Apps &amp; Technology</t>
  </si>
  <si>
    <t xml:space="preserve">Dev T2+ · UI · Writer · QA</t>
  </si>
  <si>
    <t xml:space="preserve">1,200</t>
  </si>
  <si>
    <t xml:space="preserve">Responsive 5–7 page bilingual site (AR-RTL/EN)  •  Custom design  •  Basic SEO  •  SSL + year-1 hosting  •  CMS training (1h)  •  Two revisions</t>
  </si>
  <si>
    <t xml:space="preserve">No credible online presence; clients/donors can't find or verify</t>
  </si>
  <si>
    <t xml:space="preserve">A bilingual, credible web presence — the price of one overseas mock-up</t>
  </si>
  <si>
    <t xml:space="preserve">RP-008</t>
  </si>
  <si>
    <t xml:space="preserve">MVP Web Application</t>
  </si>
  <si>
    <t xml:space="preserve">Full-stack T3+ · UI/UX · QA · PM</t>
  </si>
  <si>
    <t xml:space="preserve">30 days</t>
  </si>
  <si>
    <t xml:space="preserve">2,000</t>
  </si>
  <si>
    <t xml:space="preserve">Responsive web app (5–8 screens)  •  Login + user management  •  Database + admin dashboard  •  Custom UI/UX  •  Testing + bug-fix  •  Technical docs + initial deployment</t>
  </si>
  <si>
    <t xml:space="preserve">An idea can't be tested or shown to investors without a working product</t>
  </si>
  <si>
    <t xml:space="preserve">A working, demoable product — a fraction of an overseas dev-shop quote</t>
  </si>
  <si>
    <t xml:space="preserve">RP-017</t>
  </si>
  <si>
    <t xml:space="preserve">E-commerce Storefront</t>
  </si>
  <si>
    <t xml:space="preserve">25 days</t>
  </si>
  <si>
    <t xml:space="preserve">1,600</t>
  </si>
  <si>
    <t xml:space="preserve">Online store (up to 30 products)  •  Local payment / COD + delivery options  •  Bilingual  •  Product photo editing (30)  •  Admin training  •  Launch promo set</t>
  </si>
  <si>
    <t xml:space="preserve">Sellers depend on WhatsApp orders; no real storefront, no scale</t>
  </si>
  <si>
    <t xml:space="preserve">A real online store that takes orders while the owner sleeps</t>
  </si>
  <si>
    <t xml:space="preserve">RP-021</t>
  </si>
  <si>
    <t xml:space="preserve">Mobile App (iOS &amp; Android)</t>
  </si>
  <si>
    <t xml:space="preserve">Mobile dev T3+ · UI/UX · QA · PM</t>
  </si>
  <si>
    <t xml:space="preserve">45 days</t>
  </si>
  <si>
    <t xml:space="preserve">3,800</t>
  </si>
  <si>
    <t xml:space="preserve">Cross-platform app, iOS + Android (up to 10 screens)  •  User accounts + push notifications  •  Backend API + admin panel  •  App-store submission (both stores)  •  Bilingual  •  Testing + 30-day post-launch support</t>
  </si>
  <si>
    <t xml:space="preserve">An idea needs a real mobile app to reach customers; overseas quotes top $10k</t>
  </si>
  <si>
    <t xml:space="preserve">A published, store-ready app on both platforms — a fraction of a studio quote</t>
  </si>
  <si>
    <t xml:space="preserve">RP-022</t>
  </si>
  <si>
    <t xml:space="preserve">Custom Web Platform</t>
  </si>
  <si>
    <t xml:space="preserve">Full-stack T4 · UI/UX · QA · PM</t>
  </si>
  <si>
    <t xml:space="preserve">8–12 weeks</t>
  </si>
  <si>
    <t xml:space="preserve">5,500</t>
  </si>
  <si>
    <t xml:space="preserve">Bespoke platform with custom workflows  •  Multi-role user management  •  Integrations (payment / SMS / maps)  •  Admin dashboard + reporting  •  Bilingual  •  Documentation + training  •  Deployment + 60-day support</t>
  </si>
  <si>
    <t xml:space="preserve">A growing organisation needs a real system built around its process</t>
  </si>
  <si>
    <t xml:space="preserve">A platform built around how you actually work — owned, not rented</t>
  </si>
  <si>
    <t xml:space="preserve">RP-023</t>
  </si>
  <si>
    <t xml:space="preserve">IT &amp; DevOps Care (Retainer)</t>
  </si>
  <si>
    <t xml:space="preserve">DevOps T3+ · Support</t>
  </si>
  <si>
    <t xml:space="preserve">Monthly</t>
  </si>
  <si>
    <t xml:space="preserve">500 / mo</t>
  </si>
  <si>
    <t xml:space="preserve">Hosting + domain management  •  Uptime monitoring  •  Weekly backups  •  Security updates  •  Bug-fix hours (up to 8/mo)  •  Monthly health report</t>
  </si>
  <si>
    <t xml:space="preserve">Sites and apps break and nobody maintains them; downtime loses revenue</t>
  </si>
  <si>
    <t xml:space="preserve">A site that stays up, secure, and current — peace of mind, monthly</t>
  </si>
  <si>
    <t xml:space="preserve">RP-024</t>
  </si>
  <si>
    <t xml:space="preserve">AI Automation &amp; Chatbot</t>
  </si>
  <si>
    <t xml:space="preserve">Developer T2+ · Content · QA</t>
  </si>
  <si>
    <t xml:space="preserve">750</t>
  </si>
  <si>
    <t xml:space="preserve">WhatsApp or web chatbot (bilingual)  •  FAQ + lead-capture flows  •  1 workflow automation (e.g. orders/bookings to a sheet)  •  Handover-to-human  •  Setup + training</t>
  </si>
  <si>
    <t xml:space="preserve">Owners answer the same messages all day; leads slip at night</t>
  </si>
  <si>
    <t xml:space="preserve">A tireless assistant that answers and captures leads 24/7</t>
  </si>
  <si>
    <t xml:space="preserve">RP-003</t>
  </si>
  <si>
    <t xml:space="preserve">Launch Marketing Pack</t>
  </si>
  <si>
    <t xml:space="preserve">Marketing &amp; Growth</t>
  </si>
  <si>
    <t xml:space="preserve">Marketer T2+ · Designer · Writer</t>
  </si>
  <si>
    <t xml:space="preserve">10-page launch strategy  •  15 social posts (design+copy, AR/EN)  •  3-platform account setup  •  Email template + 3 drafts  •  Competitor analysis</t>
  </si>
  <si>
    <t xml:space="preserve">Launches land silently; no audience, wasted opening window</t>
  </si>
  <si>
    <t xml:space="preserve">A full launch campaign and a 3-platform presence ready on day one</t>
  </si>
  <si>
    <t xml:space="preserve">RP-004</t>
  </si>
  <si>
    <t xml:space="preserve">Monthly Content Pack (Retainer)</t>
  </si>
  <si>
    <t xml:space="preserve">Writer T2+ · Designer</t>
  </si>
  <si>
    <t xml:space="preserve">400 / mo</t>
  </si>
  <si>
    <t xml:space="preserve">8 social posts (design+copy)  •  1 blog article (800–1,200w)  •  Monthly newsletter  •  Simple performance report  •  Next-month content calendar</t>
  </si>
  <si>
    <t xml:space="preserve">Brands go quiet after launch; no time to stay visible</t>
  </si>
  <si>
    <t xml:space="preserve">An always-on content team for a fraction of one part-time salary</t>
  </si>
  <si>
    <t xml:space="preserve">RP-009</t>
  </si>
  <si>
    <t xml:space="preserve">Social Media Management (Retainer)</t>
  </si>
  <si>
    <t xml:space="preserve">550 / mo</t>
  </si>
  <si>
    <t xml:space="preserve">16 posts/mo (design+copy AR/EN)  •  2 platforms managed  •  Community-reply guidance  •  Monthly ads-ready creative set  •  1 boosted-post setup  •  Monthly report</t>
  </si>
  <si>
    <t xml:space="preserve">Owner runs social personally and inconsistently</t>
  </si>
  <si>
    <t xml:space="preserve">A managed social presence that actually grows followers and footfall</t>
  </si>
  <si>
    <t xml:space="preserve">RP-029</t>
  </si>
  <si>
    <t xml:space="preserve">SEO Launch &amp; Optimization</t>
  </si>
  <si>
    <t xml:space="preserve">SEO specialist T2+ · Writer</t>
  </si>
  <si>
    <t xml:space="preserve">550</t>
  </si>
  <si>
    <t xml:space="preserve">Technical SEO audit + fixes  •  Keyword research (AR/EN)  •  On-page optimization (up to 10 pages)  •  Google Business + Maps  •  Analytics + Search Console  •  90-day action plan</t>
  </si>
  <si>
    <t xml:space="preserve">A site exists but nobody finds it; invisible on Google</t>
  </si>
  <si>
    <t xml:space="preserve">Found by the customers already searching for you</t>
  </si>
  <si>
    <t xml:space="preserve">RP-030</t>
  </si>
  <si>
    <t xml:space="preserve">Paid Ads Management (Retainer)</t>
  </si>
  <si>
    <t xml:space="preserve">Ads specialist T2+ · Designer</t>
  </si>
  <si>
    <t xml:space="preserve">500 / mo *</t>
  </si>
  <si>
    <t xml:space="preserve">Campaign setup (Meta / Google)  •  4 ad creatives/mo  •  Audience targeting  •  Budget management  •  A/B testing  •  Monthly performance report</t>
  </si>
  <si>
    <t xml:space="preserve">Owners boost posts randomly and waste money</t>
  </si>
  <si>
    <t xml:space="preserve">Every ad dollar measured and optimised — not guessed (ad spend billed separately)</t>
  </si>
  <si>
    <t xml:space="preserve">RP-005</t>
  </si>
  <si>
    <t xml:space="preserve">Professional Translation</t>
  </si>
  <si>
    <t xml:space="preserve">Content, Writing &amp; Translation</t>
  </si>
  <si>
    <t xml:space="preserve">Translator T2+ · Reviewer</t>
  </si>
  <si>
    <t xml:space="preserve">300</t>
  </si>
  <si>
    <t xml:space="preserve">Up to 10,000 words AR↔EN  •  Second-translator review  •  Final formatting (PDF+Word)  •  Client glossary  •  One free revision</t>
  </si>
  <si>
    <t xml:space="preserve">Reports/proposals fail in the other language</t>
  </si>
  <si>
    <t xml:space="preserve">Donor-grade bilingual documents, reviewed twice, in a week</t>
  </si>
  <si>
    <t xml:space="preserve">RP-007</t>
  </si>
  <si>
    <t xml:space="preserve">Corporate Documents Pack</t>
  </si>
  <si>
    <t xml:space="preserve">Writer T2+ · Designer · Reviewer</t>
  </si>
  <si>
    <t xml:space="preserve">10 days</t>
  </si>
  <si>
    <t xml:space="preserve">450</t>
  </si>
  <si>
    <t xml:space="preserve">Company profile (AR+EN)  •  15–20 slide presentation  •  5 correspondence templates  •  3 report templates  •  Unified brand-aligned design</t>
  </si>
  <si>
    <t xml:space="preserve">Organisation can't present itself professionally</t>
  </si>
  <si>
    <t xml:space="preserve">A complete document kit that makes a small team look established</t>
  </si>
  <si>
    <t xml:space="preserve">RP-018</t>
  </si>
  <si>
    <t xml:space="preserve">Annual Report (Design + Write)</t>
  </si>
  <si>
    <t xml:space="preserve">Writer T3+ · Designer · Translator</t>
  </si>
  <si>
    <t xml:space="preserve">18 days</t>
  </si>
  <si>
    <t xml:space="preserve">1,100</t>
  </si>
  <si>
    <t xml:space="preserve">Narrative writing/editing (up to 30 pages)  •  Data-visualisation  •  Bilingual layout  •  Print + digital  •  Executive summary  •  2 revisions</t>
  </si>
  <si>
    <t xml:space="preserve">Annual reports are rushed and ugly; a missed credibility moment</t>
  </si>
  <si>
    <t xml:space="preserve">A flagship report that makes the year's work look as good as it was</t>
  </si>
  <si>
    <t xml:space="preserve">RP-012</t>
  </si>
  <si>
    <t xml:space="preserve">NGO Report &amp; Proposal Pack</t>
  </si>
  <si>
    <t xml:space="preserve">Writer T3+ · Designer · Translator · QA</t>
  </si>
  <si>
    <t xml:space="preserve">12 days</t>
  </si>
  <si>
    <t xml:space="preserve">900</t>
  </si>
  <si>
    <t xml:space="preserve">Donor-ready report or proposal (up to 40 pages, AR/EN)  •  Data-visualisation of results  •  Branded layout to donor template  •  Executive summary  •  2 revisions</t>
  </si>
  <si>
    <t xml:space="preserve">Strong content in weak layout loses to better-presented bids</t>
  </si>
  <si>
    <t xml:space="preserve">A donor-grade document that competes on presentation, not just content</t>
  </si>
  <si>
    <t xml:space="preserve">RP-006</t>
  </si>
  <si>
    <t xml:space="preserve">Market Study</t>
  </si>
  <si>
    <t xml:space="preserve">Research, Data &amp; Evaluation</t>
  </si>
  <si>
    <t xml:space="preserve">Researcher T3+ · Analyst · QA</t>
  </si>
  <si>
    <t xml:space="preserve">600</t>
  </si>
  <si>
    <t xml:space="preserve">20–30 page market analysis  •  5–10 competitor analysis  •  Target-audience analysis  •  Strategic recommendations  •  3-page executive summary  •  Findings presentation</t>
  </si>
  <si>
    <t xml:space="preserve">Founders commit capital on hunches; no evidence base</t>
  </si>
  <si>
    <t xml:space="preserve">An evidence base for a major decision — cheaper than one wrong hire</t>
  </si>
  <si>
    <t xml:space="preserve">RP-013</t>
  </si>
  <si>
    <t xml:space="preserve">Data Collection &amp; Dashboard</t>
  </si>
  <si>
    <t xml:space="preserve">Data analyst T3+ · Field lead · QA</t>
  </si>
  <si>
    <t xml:space="preserve">1,400</t>
  </si>
  <si>
    <t xml:space="preserve">KoBo/ODK form design  •  Enumerator training (1 day)  •  Supervised collection (sample up to 400)  •  Cleaned dataset  •  Live dashboard (PowerBI/Looker)  •  Findings brief</t>
  </si>
  <si>
    <t xml:space="preserve">MEAL teams lack surge capacity for collection + clean data + a dashboard</t>
  </si>
  <si>
    <t xml:space="preserve">Defensible field data and a live dashboard — TPM quality, locally delivered</t>
  </si>
  <si>
    <t xml:space="preserve">RP-014</t>
  </si>
  <si>
    <t xml:space="preserve">Monitoring &amp; Evaluation Study</t>
  </si>
  <si>
    <t xml:space="preserve">M&amp;E lead T4 · Analyst · QA</t>
  </si>
  <si>
    <t xml:space="preserve">2,400</t>
  </si>
  <si>
    <t xml:space="preserve">Evaluation design (logframe-aligned)  •  Tools  •  Mixed-method data collection  •  Analysis  •  Full evaluation report (AR/EN)  •  Validation workshop  •  Presentation</t>
  </si>
  <si>
    <t xml:space="preserve">Donors require independent evaluation; few credible local providers</t>
  </si>
  <si>
    <t xml:space="preserve">An independent, donor-grade evaluation delivered from inside Yemen</t>
  </si>
  <si>
    <t xml:space="preserve">RP-015</t>
  </si>
  <si>
    <t xml:space="preserve">Pitch Deck &amp; Investor Pack</t>
  </si>
  <si>
    <t xml:space="preserve">Writer T3+ · Designer · Analyst</t>
  </si>
  <si>
    <t xml:space="preserve">700</t>
  </si>
  <si>
    <t xml:space="preserve">Investor pitch deck (12–16 slides, AR/EN)  •  1-page teaser  •  Simple 3-yr financial model  •  Data-room checklist  •  Rehearsal notes</t>
  </si>
  <si>
    <t xml:space="preserve">Founders can't translate a business into an investable story</t>
  </si>
  <si>
    <t xml:space="preserve">An investor-ready story and model — the difference between a meeting and a pass</t>
  </si>
  <si>
    <t xml:space="preserve">RP-025</t>
  </si>
  <si>
    <t xml:space="preserve">Bookkeeping &amp; Accounting (Retainer)</t>
  </si>
  <si>
    <t xml:space="preserve">Finance, Admin &amp; Support</t>
  </si>
  <si>
    <t xml:space="preserve">Bookkeeper T2+ · Reviewer</t>
  </si>
  <si>
    <t xml:space="preserve">Monthly books (up to 100 transactions)  •  Bank reconciliation  •  VAT-ready summaries  •  Simple P&amp;L + cash report  •  Receipts organised  •  Year-end pack</t>
  </si>
  <si>
    <t xml:space="preserve">SMEs keep books in a drawer; no clarity, painful at tax time</t>
  </si>
  <si>
    <t xml:space="preserve">Clean, current books and a clear monthly picture of the business</t>
  </si>
  <si>
    <t xml:space="preserve">RP-026</t>
  </si>
  <si>
    <t xml:space="preserve">Financial Model &amp; Projections</t>
  </si>
  <si>
    <t xml:space="preserve">Financial modeler T3+ · Analyst · QA</t>
  </si>
  <si>
    <t xml:space="preserve">850</t>
  </si>
  <si>
    <t xml:space="preserve">3-year financial model (revenue, costs, cash)  •  3 scenarios  •  Assumptions sheet  •  Break-even + key ratios  •  Investor-ready summary  •  Walkthrough</t>
  </si>
  <si>
    <t xml:space="preserve">Founders can't answer 'what are your numbers?'</t>
  </si>
  <si>
    <t xml:space="preserve">The numbers behind the story — ready for a bank or an investor</t>
  </si>
  <si>
    <t xml:space="preserve">RP-027</t>
  </si>
  <si>
    <t xml:space="preserve">Virtual Assistant (Retainer)</t>
  </si>
  <si>
    <t xml:space="preserve">VA T2+</t>
  </si>
  <si>
    <t xml:space="preserve">450 / mo</t>
  </si>
  <si>
    <t xml:space="preserve">Up to 40 hours/mo remote admin  •  Inbox + calendar management  •  Data entry  •  Document formatting  •  Research  •  Weekly check-in</t>
  </si>
  <si>
    <t xml:space="preserve">Owners drown in admin instead of growing the business</t>
  </si>
  <si>
    <t xml:space="preserve">Forty hours of your time back, every month</t>
  </si>
  <si>
    <t xml:space="preserve">RP-028</t>
  </si>
  <si>
    <t xml:space="preserve">Customer Service Desk (Retainer)</t>
  </si>
  <si>
    <t xml:space="preserve">Support agents T2+ · Lead</t>
  </si>
  <si>
    <t xml:space="preserve">650 / mo</t>
  </si>
  <si>
    <t xml:space="preserve">Managed WhatsApp/social/email support (business hours)  •  Response within SLA  •  Order/enquiry handling  •  Bilingual  •  Escalation rules  •  Monthly satisfaction report</t>
  </si>
  <si>
    <t xml:space="preserve">Messages go unanswered; customers feel ignored</t>
  </si>
  <si>
    <t xml:space="preserve">Every customer answered fast, bilingually — without hiring a team</t>
  </si>
  <si>
    <t xml:space="preserve">RP-019</t>
  </si>
  <si>
    <t xml:space="preserve">Training Workshop (Design + Deliver)</t>
  </si>
  <si>
    <t xml:space="preserve">Trainer T4 · Designer · Coordinator</t>
  </si>
  <si>
    <t xml:space="preserve">Per cohort</t>
  </si>
  <si>
    <t xml:space="preserve">1,300</t>
  </si>
  <si>
    <t xml:space="preserve">Curriculum design  •  Bilingual materials + slides  •  2-day facilitated workshop (up to 20)  •  Workbooks  •  Certificates  •  Post-workshop report</t>
  </si>
  <si>
    <t xml:space="preserve">Teams need capability; external trainers fly in at high cost and leave nothing</t>
  </si>
  <si>
    <t xml:space="preserve">A capability your team keeps — designed and delivered locally</t>
  </si>
  <si>
    <t xml:space="preserve">RP-032</t>
  </si>
  <si>
    <t xml:space="preserve">Startup-in-a-Box</t>
  </si>
  <si>
    <t xml:space="preserve">Packages for New Businesses</t>
  </si>
  <si>
    <t xml:space="preserve">Multi-role pod · PM</t>
  </si>
  <si>
    <t xml:space="preserve">10–30 days</t>
  </si>
  <si>
    <t xml:space="preserve">500 / 1,200 / 2,500</t>
  </si>
  <si>
    <t xml:space="preserve">ESSENTIALS ($500): logo + business card + 3-page website + social setup (2 platforms) + 1-month content calendar  •  PROFESSIONAL ($1,200): + full brand guidelines, 7-page website with CMS, email setup, letterhead + invoice templates, pitch deck, 3-month content plan  •  PREMIUM ($2,500): + marketing strategy, competitor analysis, CRM setup, 6-month social management, monthly reporting</t>
  </si>
  <si>
    <t xml:space="preserve">New founders must assemble a brand, site, and presence from scratch under pressure</t>
  </si>
  <si>
    <t xml:space="preserve">A business that looks established from its first day — in one decision</t>
  </si>
  <si>
    <t xml:space="preserve">RP-010</t>
  </si>
  <si>
    <t xml:space="preserve">Restaurant Launch Kit</t>
  </si>
  <si>
    <t xml:space="preserve">Enterprise &amp; Hospitality</t>
  </si>
  <si>
    <t xml:space="preserve">Designer T2+ · Writer · Photographer*</t>
  </si>
  <si>
    <t xml:space="preserve">680</t>
  </si>
  <si>
    <t xml:space="preserve">Menu design (print + digital/QR, AR/EN)  •  30 food-photo edits  •  Table-talkers + signage  •  Delivery-app profile setup  •  Opening social pack (10 posts)</t>
  </si>
  <si>
    <t xml:space="preserve">New venues open with phone-photo menus and no delivery-app presence</t>
  </si>
  <si>
    <t xml:space="preserve">A fully branded, delivery-ready launch — everything a guest sees, done right</t>
  </si>
  <si>
    <t xml:space="preserve">RP-033</t>
  </si>
  <si>
    <t xml:space="preserve">Enterprise Restaurant Suite</t>
  </si>
  <si>
    <t xml:space="preserve">Designer T3 · Dev · Photographer · Marketer · PM</t>
  </si>
  <si>
    <t xml:space="preserve">35 days</t>
  </si>
  <si>
    <t xml:space="preserve">3,500</t>
  </si>
  <si>
    <t xml:space="preserve">Full brand system (multi-branch ready)  •  Bilingual website with menu + reservations  •  60 professional food-photo edits  •  Delivery-app setup across platforms  •  QR + print menus  •  3-month social management  •  Signage system  •  Loyalty-card concept</t>
  </si>
  <si>
    <t xml:space="preserve">A serious or multi-branch restaurant needs a complete, consistent presence everywhere</t>
  </si>
  <si>
    <t xml:space="preserve">One coherent brand across every branch, platform, and plate</t>
  </si>
  <si>
    <t xml:space="preserve">RP-011</t>
  </si>
  <si>
    <t xml:space="preserve">Hotel Digital Presence</t>
  </si>
  <si>
    <t xml:space="preserve">Dev T2+ · UI · Writer · Photographer*</t>
  </si>
  <si>
    <t xml:space="preserve">24 days</t>
  </si>
  <si>
    <t xml:space="preserve">1,500</t>
  </si>
  <si>
    <t xml:space="preserve">Bilingual hotel site with room showcase + enquiry form  •  40 property-photo edits  •  Google Business Profile setup  •  3 OTA listing profiles (copy+photos)  •  Review-response playbook</t>
  </si>
  <si>
    <t xml:space="preserve">Hotels rely on walk-ins; invisible online; no direct-enquiry channel</t>
  </si>
  <si>
    <t xml:space="preserve">A direct booking channel and a credible presence where guests look</t>
  </si>
  <si>
    <t xml:space="preserve">RP-034</t>
  </si>
  <si>
    <t xml:space="preserve">Hotel Revenue Suite</t>
  </si>
  <si>
    <t xml:space="preserve">Dev T3 · UI · Photographer · Marketer · PM</t>
  </si>
  <si>
    <t xml:space="preserve">Multilingual site with booking-request engine  •  60 property-photo edits  •  Google Business + 4 OTA listings managed  •  Review-management system  •  3-month social  •  Email-enquiry automation  •  Rate-display setup</t>
  </si>
  <si>
    <t xml:space="preserve">A larger hotel leaves money on the table with no direct channel and poor OTA presence</t>
  </si>
  <si>
    <t xml:space="preserve">A direct booking channel plus a managed presence everywhere guests look</t>
  </si>
  <si>
    <t xml:space="preserve">RP-035</t>
  </si>
  <si>
    <t xml:space="preserve">Executive &amp; Personal Brand</t>
  </si>
  <si>
    <t xml:space="preserve">Writer T3 · Designer · Marketer</t>
  </si>
  <si>
    <t xml:space="preserve">Personal brand strategy  •  LinkedIn profile rewrite + banner  •  Professional bio (AR/EN, 3 lengths)  •  One-page media kit  •  Headshot direction  •  10 thought-leadership post drafts  •  Personal 1-page website</t>
  </si>
  <si>
    <t xml:space="preserve">A leader has no credible personal presence; invisible to partners and media</t>
  </si>
  <si>
    <t xml:space="preserve">A leader who looks the part online — to partners, press, and investors</t>
  </si>
  <si>
    <t xml:space="preserve">* Paid Ads retainer excludes ad spend (billed to client). Startup-in-a-Box price shows the three tiers; see 09_Tiers. Kayan fee = 20% of GMV (band 15–22%; 15% floor needs CEO approval). Cost-to-build (blue) = planning estimate of talent payout. * = specialist role drawn from the registry as available.</t>
  </si>
  <si>
    <t xml:space="preserve">Segments &amp; Pain Points</t>
  </si>
  <si>
    <t xml:space="preserve">Who buys, what hurts, and which products answer — built from the Yemen reality (97% micro/SME; UN/INGO relocating to Aden; rial stable since mid-2025).</t>
  </si>
  <si>
    <t xml:space="preserve">Client segment</t>
  </si>
  <si>
    <t xml:space="preserve">Who they are (Aden reality)</t>
  </si>
  <si>
    <t xml:space="preserve">Their sharpest pain</t>
  </si>
  <si>
    <t xml:space="preserve">Products that answer</t>
  </si>
  <si>
    <t xml:space="preserve">Entry product</t>
  </si>
  <si>
    <t xml:space="preserve">Upsell path</t>
  </si>
  <si>
    <t xml:space="preserve">New company founders</t>
  </si>
  <si>
    <t xml:space="preserve">People establishing a company now — need everything at once</t>
  </si>
  <si>
    <t xml:space="preserve">Must assemble brand, site, paperwork, presence from scratch under pressure</t>
  </si>
  <si>
    <t xml:space="preserve">RP-032, RP-001, RP-002, RP-026</t>
  </si>
  <si>
    <t xml:space="preserve">RP-032 Startup-in-a-Box</t>
  </si>
  <si>
    <t xml:space="preserve">Startup-in-a-Box → Website → Bookkeeping retainer</t>
  </si>
  <si>
    <t xml:space="preserve">Big / multi-branch restaurants</t>
  </si>
  <si>
    <t xml:space="preserve">Established venues and small chains competing on brand and delivery</t>
  </si>
  <si>
    <t xml:space="preserve">Inconsistent brand across branches; weak delivery-app + reservation presence</t>
  </si>
  <si>
    <t xml:space="preserve">RP-033, RP-009, RP-020, RP-024</t>
  </si>
  <si>
    <t xml:space="preserve">RP-033 Enterprise Restaurant Suite</t>
  </si>
  <si>
    <t xml:space="preserve">Suite → Social retainer → AI ordering bot</t>
  </si>
  <si>
    <t xml:space="preserve">Restaurants &amp; cafés (single)</t>
  </si>
  <si>
    <t xml:space="preserve">Family-run venues on the Corniche</t>
  </si>
  <si>
    <t xml:space="preserve">Phone-photo menus, no delivery-app profile, losing covers</t>
  </si>
  <si>
    <t xml:space="preserve">RP-010, RP-009, RP-020</t>
  </si>
  <si>
    <t xml:space="preserve">RP-010 Restaurant Launch Kit</t>
  </si>
  <si>
    <t xml:space="preserve">Launch Kit → Social retainer → Video</t>
  </si>
  <si>
    <t xml:space="preserve">Hotels &amp; guesthouses</t>
  </si>
  <si>
    <t xml:space="preserve">Reliant on walk-ins; UN/INGO staff arriving need rooms</t>
  </si>
  <si>
    <t xml:space="preserve">Invisible online; no direct-enquiry or booking channel</t>
  </si>
  <si>
    <t xml:space="preserve">RP-011, RP-034, RP-020</t>
  </si>
  <si>
    <t xml:space="preserve">RP-011 Hotel Digital Presence</t>
  </si>
  <si>
    <t xml:space="preserve">Digital Presence → Revenue Suite → Social retainer</t>
  </si>
  <si>
    <t xml:space="preserve">Businessmen &amp; executives</t>
  </si>
  <si>
    <t xml:space="preserve">Owners and leaders who are invisible online</t>
  </si>
  <si>
    <t xml:space="preserve">No credible personal presence; not found by partners, press, investors</t>
  </si>
  <si>
    <t xml:space="preserve">RP-035, RP-015, RP-026</t>
  </si>
  <si>
    <t xml:space="preserve">RP-035 Executive &amp; Personal Brand</t>
  </si>
  <si>
    <t xml:space="preserve">Personal brand → Pitch pack → Financial model</t>
  </si>
  <si>
    <t xml:space="preserve">SMEs &amp; shops</t>
  </si>
  <si>
    <t xml:space="preserve">97% of the private sector; want credibility and sales</t>
  </si>
  <si>
    <t xml:space="preserve">No identity, no website, WhatsApp-only orders</t>
  </si>
  <si>
    <t xml:space="preserve">RP-001, RP-002, RP-017, RP-025</t>
  </si>
  <si>
    <t xml:space="preserve">RP-001 Brand Identity</t>
  </si>
  <si>
    <t xml:space="preserve">Brand → Website → E-commerce → Bookkeeping</t>
  </si>
  <si>
    <t xml:space="preserve">Startups &amp; founders</t>
  </si>
  <si>
    <t xml:space="preserve">EU/WATHBA-backed ecosystem; test ideas and raise</t>
  </si>
  <si>
    <t xml:space="preserve">No MVP or app, no evidence base, no investable story</t>
  </si>
  <si>
    <t xml:space="preserve">RP-006, RP-015, RP-008, RP-021</t>
  </si>
  <si>
    <t xml:space="preserve">RP-006 Market Study</t>
  </si>
  <si>
    <t xml:space="preserve">Study → Pitch → MVP → Mobile app → raise</t>
  </si>
  <si>
    <t xml:space="preserve">NGOs &amp; INGOs</t>
  </si>
  <si>
    <t xml:space="preserve">UN/INGO relocating to Aden; procurement-driven</t>
  </si>
  <si>
    <t xml:space="preserve">Surge gaps in translation, reports, data, evaluation</t>
  </si>
  <si>
    <t xml:space="preserve">RP-005, RP-012, RP-013, RP-014, RP-018</t>
  </si>
  <si>
    <t xml:space="preserve">RP-005 Translation</t>
  </si>
  <si>
    <t xml:space="preserve">Translation → Report → Data+Dashboard → Evaluation</t>
  </si>
  <si>
    <t xml:space="preserve">Government &amp; semi-public</t>
  </si>
  <si>
    <t xml:space="preserve">MOPIC and line ministries rebuilding donor credibility</t>
  </si>
  <si>
    <t xml:space="preserve">Need professional docs, data, apps, capability without fly-in cost</t>
  </si>
  <si>
    <t xml:space="preserve">RP-013, RP-019, RP-022, RP-018</t>
  </si>
  <si>
    <t xml:space="preserve">RP-007 Corporate Docs</t>
  </si>
  <si>
    <t xml:space="preserve">Docs → Training → Data → Custom platform</t>
  </si>
  <si>
    <t xml:space="preserve">Retailers &amp; producers</t>
  </si>
  <si>
    <t xml:space="preserve">Honey, coffee, crafts, shops — sellable goods, no route to market</t>
  </si>
  <si>
    <t xml:space="preserve">WhatsApp-only sales; no storefront; no reach; no support capacity</t>
  </si>
  <si>
    <t xml:space="preserve">RP-017, RP-028, RP-001, RP-030</t>
  </si>
  <si>
    <t xml:space="preserve">Brand → E-commerce → Service desk → Paid ads</t>
  </si>
  <si>
    <t xml:space="preserve">Schools, clinics &amp; services</t>
  </si>
  <si>
    <t xml:space="preserve">Private schools, clinics serving a paying middle class</t>
  </si>
  <si>
    <t xml:space="preserve">No brand, no bookings/online presence, unanswered messages</t>
  </si>
  <si>
    <t xml:space="preserve">RP-001, RP-002, RP-009, RP-024</t>
  </si>
  <si>
    <t xml:space="preserve">Brand → Website → Social → AI booking bot</t>
  </si>
  <si>
    <t xml:space="preserve">Individuals &amp; professionals</t>
  </si>
  <si>
    <t xml:space="preserve">Diaspora, jobseekers, consultants</t>
  </si>
  <si>
    <t xml:space="preserve">No CV/portfolio that travels; no personal brand; no English-grade docs</t>
  </si>
  <si>
    <t xml:space="preserve">RP-005, RP-035, RP-015</t>
  </si>
  <si>
    <t xml:space="preserve">Translation → Personal brand → Portfolio site</t>
  </si>
  <si>
    <t xml:space="preserve">Product Economics</t>
  </si>
  <si>
    <t xml:space="preserve">Client funds GMV into escrow; talent receives 80%; Kayan keeps the 20% net fee. Cost-to-build is the talent-payout estimate; 'buffer' is the slack left in the talent pool.</t>
  </si>
  <si>
    <t xml:space="preserve">Talent 80%</t>
  </si>
  <si>
    <t xml:space="preserve">Buffer in pool</t>
  </si>
  <si>
    <t xml:space="preserve">Kayan fee 20%</t>
  </si>
  <si>
    <t xml:space="preserve">Holdback 2%</t>
  </si>
  <si>
    <t xml:space="preserve">Fee % GMV</t>
  </si>
  <si>
    <t xml:space="preserve">Floor ≥15%</t>
  </si>
  <si>
    <t xml:space="preserve">PORTFOLIO (one of each)</t>
  </si>
  <si>
    <t xml:space="preserve">Bundles &amp; Client Journeys</t>
  </si>
  <si>
    <t xml:space="preserve">Products are the start of a relationship, not the end of a transaction. Bundles raise value and basket size; journeys map the natural next step.</t>
  </si>
  <si>
    <t xml:space="preserve">Bundle</t>
  </si>
  <si>
    <t xml:space="preserve">For</t>
  </si>
  <si>
    <t xml:space="preserve">Products included</t>
  </si>
  <si>
    <t xml:space="preserve">List USD</t>
  </si>
  <si>
    <t xml:space="preserve">Bundle USD</t>
  </si>
  <si>
    <t xml:space="preserve">Saves</t>
  </si>
  <si>
    <t xml:space="preserve">Why it works</t>
  </si>
  <si>
    <t xml:space="preserve">Business Starter</t>
  </si>
  <si>
    <t xml:space="preserve">New SMEs</t>
  </si>
  <si>
    <t xml:space="preserve">RP-032 Startup-in-a-Box (Pro) + RP-025 Bookkeeping (1 mo)</t>
  </si>
  <si>
    <t xml:space="preserve">Open credibly and keep the books clean from month one</t>
  </si>
  <si>
    <t xml:space="preserve">Restaurant Opening</t>
  </si>
  <si>
    <t xml:space="preserve">Single venues</t>
  </si>
  <si>
    <t xml:space="preserve">RP-010 Launch Kit + RP-009 Social (1 mo) + RP-020 Video</t>
  </si>
  <si>
    <t xml:space="preserve">A guest-ready brand, a managed presence, and video that fills tables</t>
  </si>
  <si>
    <t xml:space="preserve">Restaurant Group</t>
  </si>
  <si>
    <t xml:space="preserve">Big / multi-branch</t>
  </si>
  <si>
    <t xml:space="preserve">RP-033 Suite + RP-024 AI ordering bot + RP-030 Paid ads (1 mo)</t>
  </si>
  <si>
    <t xml:space="preserve">One brand across branches, an ordering bot, and ads that drive covers</t>
  </si>
  <si>
    <t xml:space="preserve">Hotel Online</t>
  </si>
  <si>
    <t xml:space="preserve">Hotels</t>
  </si>
  <si>
    <t xml:space="preserve">RP-011 Digital Presence + RP-009 Social (1 mo) + RP-020 Video</t>
  </si>
  <si>
    <t xml:space="preserve">A direct booking channel and the content to keep it full</t>
  </si>
  <si>
    <t xml:space="preserve">Hotel Revenue</t>
  </si>
  <si>
    <t xml:space="preserve">Larger hotels</t>
  </si>
  <si>
    <t xml:space="preserve">RP-034 Revenue Suite + RP-030 Paid ads (1 mo) + RP-028 Service desk (1 mo)</t>
  </si>
  <si>
    <t xml:space="preserve">Direct bookings, paid demand, and guests answered around the clock</t>
  </si>
  <si>
    <t xml:space="preserve">Founder's Raise</t>
  </si>
  <si>
    <t xml:space="preserve">Startups</t>
  </si>
  <si>
    <t xml:space="preserve">RP-006 Market Study + RP-015 Pitch Pack + RP-008 MVP</t>
  </si>
  <si>
    <t xml:space="preserve">From evidence, to story, to a working product an investor can see</t>
  </si>
  <si>
    <t xml:space="preserve">App Launch</t>
  </si>
  <si>
    <t xml:space="preserve">Funded ventures</t>
  </si>
  <si>
    <t xml:space="preserve">RP-021 Mobile App + RP-029 SEO + RP-030 Paid ads (1 mo)</t>
  </si>
  <si>
    <t xml:space="preserve">A store-ready app and the demand engine to get it installed</t>
  </si>
  <si>
    <t xml:space="preserve">Donor-Ready NGO</t>
  </si>
  <si>
    <t xml:space="preserve">NGOs/INGOs</t>
  </si>
  <si>
    <t xml:space="preserve">RP-012 Report Pack + RP-013 Data+Dashboard + RP-005 Translation</t>
  </si>
  <si>
    <t xml:space="preserve">Win and report on funding: data, document, and bilingual delivery</t>
  </si>
  <si>
    <t xml:space="preserve">Executive Launch</t>
  </si>
  <si>
    <t xml:space="preserve">Businessmen</t>
  </si>
  <si>
    <t xml:space="preserve">RP-035 Personal Brand + RP-015 Pitch Pack + RP-026 Financial Model</t>
  </si>
  <si>
    <t xml:space="preserve">A credible leader, an investable story, and the numbers to back it</t>
  </si>
  <si>
    <t xml:space="preserve">Always-On Growth</t>
  </si>
  <si>
    <t xml:space="preserve">Any SME</t>
  </si>
  <si>
    <t xml:space="preserve">RP-004 Content + RP-009 Social + RP-030 Paid ads (per month)</t>
  </si>
  <si>
    <t xml:space="preserve">A complete outsourced growth team on a monthly footing</t>
  </si>
  <si>
    <t xml:space="preserve">Add-ons &amp; Rush</t>
  </si>
  <si>
    <t xml:space="preserve">Controlled ways to extend scope without breaking the fixed-price promise — the discipline that protects margin and prevents scope creep.</t>
  </si>
  <si>
    <t xml:space="preserve">Add-on</t>
  </si>
  <si>
    <t xml:space="preserve">Applies to</t>
  </si>
  <si>
    <t xml:space="preserve">What it adds</t>
  </si>
  <si>
    <t xml:space="preserve">Price</t>
  </si>
  <si>
    <t xml:space="preserve">Notes</t>
  </si>
  <si>
    <t xml:space="preserve">Extra revision</t>
  </si>
  <si>
    <t xml:space="preserve">All products</t>
  </si>
  <si>
    <t xml:space="preserve">One revision beyond what the product includes</t>
  </si>
  <si>
    <t xml:space="preserve">20% of GMV</t>
  </si>
  <si>
    <t xml:space="preserve">First revision always free; Website includes two</t>
  </si>
  <si>
    <t xml:space="preserve">Rush delivery</t>
  </si>
  <si>
    <t xml:space="preserve">Most products</t>
  </si>
  <si>
    <t xml:space="preserve">Compresses the timeline by adding pod capacity</t>
  </si>
  <si>
    <t xml:space="preserve">+10% of GMV</t>
  </si>
  <si>
    <t xml:space="preserve">Accelerates the pod — never skips a gate or QA</t>
  </si>
  <si>
    <t xml:space="preserve">Additional language</t>
  </si>
  <si>
    <t xml:space="preserve">Translation, content, docs</t>
  </si>
  <si>
    <t xml:space="preserve">A third language beyond AR/EN (e.g. French for donors)</t>
  </si>
  <si>
    <t xml:space="preserve">From $80</t>
  </si>
  <si>
    <t xml:space="preserve">Subject to verified talent availability</t>
  </si>
  <si>
    <t xml:space="preserve">Extra social posts</t>
  </si>
  <si>
    <t xml:space="preserve">RP-009, RP-004</t>
  </si>
  <si>
    <t xml:space="preserve">Block of 8 additional posts (design+copy)</t>
  </si>
  <si>
    <t xml:space="preserve">$120</t>
  </si>
  <si>
    <t xml:space="preserve">Keeps the retainer scope clean</t>
  </si>
  <si>
    <t xml:space="preserve">Extra web/app screens</t>
  </si>
  <si>
    <t xml:space="preserve">RP-002, RP-008, RP-021</t>
  </si>
  <si>
    <t xml:space="preserve">Each additional page/screen beyond the set</t>
  </si>
  <si>
    <t xml:space="preserve">$90–150</t>
  </si>
  <si>
    <t xml:space="preserve">Quoted before work begins</t>
  </si>
  <si>
    <t xml:space="preserve">Photography day</t>
  </si>
  <si>
    <t xml:space="preserve">Hospitality, e-commerce</t>
  </si>
  <si>
    <t xml:space="preserve">On-site shoot day (verified photographer)</t>
  </si>
  <si>
    <t xml:space="preserve">From $150</t>
  </si>
  <si>
    <t xml:space="preserve">Aden only; travel quoted separately</t>
  </si>
  <si>
    <t xml:space="preserve">Ad spend management</t>
  </si>
  <si>
    <t xml:space="preserve">Managing budgets above $1,000/mo</t>
  </si>
  <si>
    <t xml:space="preserve">+5% of spend</t>
  </si>
  <si>
    <t xml:space="preserve">Ad spend always billed to the client directly</t>
  </si>
  <si>
    <t xml:space="preserve">Print management</t>
  </si>
  <si>
    <t xml:space="preserve">Brand, docs, reports</t>
  </si>
  <si>
    <t xml:space="preserve">Manage print production with a local press</t>
  </si>
  <si>
    <t xml:space="preserve">Cost + 15%</t>
  </si>
  <si>
    <t xml:space="preserve">Kayan coordinates; client may pay the press directly</t>
  </si>
  <si>
    <t xml:space="preserve">Priority support</t>
  </si>
  <si>
    <t xml:space="preserve">Retainers</t>
  </si>
  <si>
    <t xml:space="preserve">Same-day reply window + monthly strategy call</t>
  </si>
  <si>
    <t xml:space="preserve">$60/mo</t>
  </si>
  <si>
    <t xml:space="preserve">For retainer clients</t>
  </si>
  <si>
    <t xml:space="preserve">Ideas Bank</t>
  </si>
  <si>
    <t xml:space="preserve">Where the team proposes the next products. Anyone can add a row. The best graduate into the catalogue each quarter. Be specific — name the client, the pain, the deliverable.</t>
  </si>
  <si>
    <t xml:space="preserve">#</t>
  </si>
  <si>
    <t xml:space="preserve">Proposed product</t>
  </si>
  <si>
    <t xml:space="preserve">Proposed by</t>
  </si>
  <si>
    <t xml:space="preserve">Date</t>
  </si>
  <si>
    <t xml:space="preserve">Target segment</t>
  </si>
  <si>
    <t xml:space="preserve">Pain it solves</t>
  </si>
  <si>
    <t xml:space="preserve">What the client would get</t>
  </si>
  <si>
    <t xml:space="preserve">Pod / skills</t>
  </si>
  <si>
    <t xml:space="preserve">Status</t>
  </si>
  <si>
    <t xml:space="preserve">CEO/Sales note</t>
  </si>
  <si>
    <t xml:space="preserve">WhatsApp Catalogue Setup</t>
  </si>
  <si>
    <t xml:space="preserve">[seed]</t>
  </si>
  <si>
    <t xml:space="preserve">2026-06</t>
  </si>
  <si>
    <t xml:space="preserve">SMEs, producers</t>
  </si>
  <si>
    <t xml:space="preserve">No structured catalogue; orders chaotic</t>
  </si>
  <si>
    <t xml:space="preserve">WhatsApp Business catalogue + 20 products + auto-replies + ordering flow</t>
  </si>
  <si>
    <t xml:space="preserve">200</t>
  </si>
  <si>
    <t xml:space="preserve">Marketer T2 + designer</t>
  </si>
  <si>
    <t xml:space="preserve">Proposed</t>
  </si>
  <si>
    <t xml:space="preserve">Strong low-price entry; pairs with AI bot</t>
  </si>
  <si>
    <t xml:space="preserve">Google Business Profile Setup</t>
  </si>
  <si>
    <t xml:space="preserve">Restaurants, hotels, clinics</t>
  </si>
  <si>
    <t xml:space="preserve">Invisible on Maps; no reviews strategy</t>
  </si>
  <si>
    <t xml:space="preserve">Profile claimed + photos + hours + posts + review playbook</t>
  </si>
  <si>
    <t xml:space="preserve">150</t>
  </si>
  <si>
    <t xml:space="preserve">Marketer T2</t>
  </si>
  <si>
    <t xml:space="preserve">High value-for-money; bundle with hospitality</t>
  </si>
  <si>
    <t xml:space="preserve">CV &amp; LinkedIn Pack (individuals)</t>
  </si>
  <si>
    <t xml:space="preserve">Individuals, diaspora</t>
  </si>
  <si>
    <t xml:space="preserve">No English-grade CV/profile that travels</t>
  </si>
  <si>
    <t xml:space="preserve">ATS CV (AR/EN) + LinkedIn rewrite + cover-letter template</t>
  </si>
  <si>
    <t xml:space="preserve">90</t>
  </si>
  <si>
    <t xml:space="preserve">Writer T2 + reviewer</t>
  </si>
  <si>
    <t xml:space="preserve">Opens the individual segment; feeds the Card</t>
  </si>
  <si>
    <t xml:space="preserve">Podcast / Audio Series Setup</t>
  </si>
  <si>
    <t xml:space="preserve">NGOs, founders, media</t>
  </si>
  <si>
    <t xml:space="preserve">No way to produce credible audio</t>
  </si>
  <si>
    <t xml:space="preserve">Intro/outro + 4 episode edits + cover art + distribution</t>
  </si>
  <si>
    <t xml:space="preserve">350</t>
  </si>
  <si>
    <t xml:space="preserve">Audio editor T2 + designer</t>
  </si>
  <si>
    <t xml:space="preserve">Idea</t>
  </si>
  <si>
    <t xml:space="preserve">Check verified audio talent on the registry</t>
  </si>
  <si>
    <t xml:space="preserve">Annual Social Photography Retainer</t>
  </si>
  <si>
    <t xml:space="preserve">Hotels, restaurants</t>
  </si>
  <si>
    <t xml:space="preserve">Content goes stale; no fresh photography</t>
  </si>
  <si>
    <t xml:space="preserve">Quarterly on-site shoot + 40 edited images/quarter</t>
  </si>
  <si>
    <t xml:space="preserve">300 / qtr</t>
  </si>
  <si>
    <t xml:space="preserve">Photographer T2</t>
  </si>
  <si>
    <t xml:space="preserve">Recurring revenue; hospitality upsell</t>
  </si>
  <si>
    <t xml:space="preserve">What We Learned — Regional &amp; Global</t>
  </si>
  <si>
    <t xml:space="preserve">Productized-service models that inform Kayan's design. The pattern: fixed scope + price + turnaround, tiers, retainers, and add-ons to stop scope creep.</t>
  </si>
  <si>
    <t xml:space="preserve">Model / source</t>
  </si>
  <si>
    <t xml:space="preserve">What they do</t>
  </si>
  <si>
    <t xml:space="preserve">The lesson for Kayan</t>
  </si>
  <si>
    <t xml:space="preserve">Designjoy (solo productized design)</t>
  </si>
  <si>
    <t xml:space="preserve">Monthly subscription (~$5k/mo), no calls, simple queue — ~$1.7M/yr</t>
  </si>
  <si>
    <t xml:space="preserve">A tightly productized offer with zero scope ambiguity scales without headcount; Kayan's pods do this with a team</t>
  </si>
  <si>
    <t xml:space="preserve">Productized-agency playbook</t>
  </si>
  <si>
    <t xml:space="preserve">Fixed price, fixed scope, set turnaround; 'avoid vague offerings'; intake portals; recurring retainers</t>
  </si>
  <si>
    <t xml:space="preserve">Name the deliverable, the days, the price precisely; sell retainers for stable revenue; intake form, not email threads</t>
  </si>
  <si>
    <t xml:space="preserve">Good/Better/Best tiering</t>
  </si>
  <si>
    <t xml:space="preserve">Three tiers let buyers self-select by budget; add-ons sold separately</t>
  </si>
  <si>
    <t xml:space="preserve">Kayan now offers Lite/Standard/Pro on top sellers (see 09_Tiers) without bespoke scoping</t>
  </si>
  <si>
    <t xml:space="preserve">Andela (verified talent + trust)</t>
  </si>
  <si>
    <t xml:space="preserve">Verified talent to global clients via a quality framework</t>
  </si>
  <si>
    <t xml:space="preserve">Validates RP-008/021/022 managed delivery to international clients; the gates are the quality framework</t>
  </si>
  <si>
    <t xml:space="preserve">MEAL Center (Yemen competitor)</t>
  </si>
  <si>
    <t xml:space="preserve">Registered Yemeni firm offering MEAL, third-party monitoring, dashboards</t>
  </si>
  <si>
    <t xml:space="preserve">A real, paid local market for RP-013/014; Kayan competes on verified talent + escrow trust</t>
  </si>
  <si>
    <t xml:space="preserve">NGO 3-quote procurement rule</t>
  </si>
  <si>
    <t xml:space="preserve">Purchases above a threshold need 3 written quotes; lowest credible bid wins</t>
  </si>
  <si>
    <t xml:space="preserve">Fixed-price products are quote-ready out of the box — a structural advantage in INGO buying</t>
  </si>
  <si>
    <t xml:space="preserve">Booming demand (2026)</t>
  </si>
  <si>
    <t xml:space="preserve">Mobile apps, e-commerce, short-form video, AI chatbots/automation, dashboards</t>
  </si>
  <si>
    <t xml:space="preserve">Drove the new products: RP-021 mobile, RP-024 AI automation, RP-017 e-commerce, RP-020 video, RP-013 dashboards</t>
  </si>
  <si>
    <t xml:space="preserve">Regional freelance rates</t>
  </si>
  <si>
    <t xml:space="preserve">Egypt entry $8–12/hr, experienced $18–25/hr; far below Western agencies</t>
  </si>
  <si>
    <t xml:space="preserve">Confirms cost-to-build leaves real margin while underpricing overseas agencies for clients</t>
  </si>
  <si>
    <t xml:space="preserve">Launch Roadmap</t>
  </si>
  <si>
    <t xml:space="preserve">Which products ship when — sequenced by demand, pod readiness, and the verified bench. Tier 1 launches with the doors on 30 June 2026.</t>
  </si>
  <si>
    <t xml:space="preserve">Wave</t>
  </si>
  <si>
    <t xml:space="preserve">When</t>
  </si>
  <si>
    <t xml:space="preserve">Products</t>
  </si>
  <si>
    <t xml:space="preserve">Why now</t>
  </si>
  <si>
    <t xml:space="preserve">Depends on</t>
  </si>
  <si>
    <t xml:space="preserve">Tier 1</t>
  </si>
  <si>
    <t xml:space="preserve">Launch 30 Jun</t>
  </si>
  <si>
    <t xml:space="preserve">RP-001 Brand · RP-002 Website · RP-005 Translation · RP-007 Docs · RP-009 Social · RP-032 Startup-in-a-Box</t>
  </si>
  <si>
    <t xml:space="preserve">Broadest demand; pods staffable day one; new-company founders are the clearest first buyers</t>
  </si>
  <si>
    <t xml:space="preserve">Founding bench: designers, writers, devs, translators</t>
  </si>
  <si>
    <t xml:space="preserve">Tier 2</t>
  </si>
  <si>
    <t xml:space="preserve">Months 2–4</t>
  </si>
  <si>
    <t xml:space="preserve">RP-003 Marketing · RP-004 Content · RP-010 Restaurant Kit · RP-011 Hotel Presence · RP-020 Video · RP-029 SEO · RP-031 Voice-over</t>
  </si>
  <si>
    <t xml:space="preserve">Hospitality is Aden's clearest paying segment; video + voice are highest-engagement</t>
  </si>
  <si>
    <t xml:space="preserve">Photographer/editor/voice on the registry; first delivery records</t>
  </si>
  <si>
    <t xml:space="preserve">Tier 3</t>
  </si>
  <si>
    <t xml:space="preserve">Months 4–8</t>
  </si>
  <si>
    <t xml:space="preserve">RP-006 Study · RP-012 NGO Report · RP-013 Data+Dashboard · RP-015 Pitch · RP-017 E-commerce · RP-024 AI bot · RP-025 Bookkeeping · RP-035 Exec brand</t>
  </si>
  <si>
    <t xml:space="preserve">UN/INGO relocation demand; founders raising; finance/admin retainers add recurring revenue</t>
  </si>
  <si>
    <t xml:space="preserve">T3/T4 researchers, M&amp;E, bookkeepers; first NGO references</t>
  </si>
  <si>
    <t xml:space="preserve">Tier 4</t>
  </si>
  <si>
    <t xml:space="preserve">Months 8–12</t>
  </si>
  <si>
    <t xml:space="preserve">RP-008 MVP · RP-014 Evaluation · RP-016 Rebrand · RP-018 Annual Report · RP-019 Training · RP-021 Mobile App · RP-022 Platform · RP-023 IT Care · RP-026 Model · RP-027 VA · RP-028 Service · RP-030 Ads · RP-033 Restaurant Suite · RP-034 Hotel Suite</t>
  </si>
  <si>
    <t xml:space="preserve">Higher-value, higher-complexity; enterprise suites sold on a proven record</t>
  </si>
  <si>
    <t xml:space="preserve">Senior pods; QA depth; track record from Tiers 1–3</t>
  </si>
  <si>
    <t xml:space="preserve">Tiers — Good / Better / Best</t>
  </si>
  <si>
    <t xml:space="preserve">Tiered versions of top sellers let a client self-select by budget without bespoke scoping. The Startup-in-a-Box tiers are the flagship for new companies.</t>
  </si>
  <si>
    <t xml:space="preserve">Tier</t>
  </si>
  <si>
    <t xml:space="preserve">What's included</t>
  </si>
  <si>
    <t xml:space="preserve">Best for</t>
  </si>
  <si>
    <t xml:space="preserve">Website</t>
  </si>
  <si>
    <t xml:space="preserve">Lite</t>
  </si>
  <si>
    <t xml:space="preserve">3-page template site, bilingual, contact form, mobile-ready</t>
  </si>
  <si>
    <t xml:space="preserve">A micro-business that just needs to exist online</t>
  </si>
  <si>
    <t xml:space="preserve">Standard</t>
  </si>
  <si>
    <t xml:space="preserve">5–7 custom pages, bilingual, basic SEO, SSL + hosting, CMS training</t>
  </si>
  <si>
    <t xml:space="preserve">A growing SME that needs credibility</t>
  </si>
  <si>
    <t xml:space="preserve">Pro</t>
  </si>
  <si>
    <t xml:space="preserve">10+ pages, advanced CMS, blog, integrations, performance tuning</t>
  </si>
  <si>
    <t xml:space="preserve">An established business or NGO</t>
  </si>
  <si>
    <t xml:space="preserve">Brand Identity</t>
  </si>
  <si>
    <t xml:space="preserve">Logo (2 concepts, 1 final) + business card</t>
  </si>
  <si>
    <t xml:space="preserve">A founder who needs a mark fast</t>
  </si>
  <si>
    <t xml:space="preserve">Full identity: logo system, guide, stationery</t>
  </si>
  <si>
    <t xml:space="preserve">A new venture that wants to look established</t>
  </si>
  <si>
    <t xml:space="preserve">Rebrand: audit, strategy, expanded system, rollout</t>
  </si>
  <si>
    <t xml:space="preserve">An established business that has outgrown its look</t>
  </si>
  <si>
    <t xml:space="preserve">Social Media</t>
  </si>
  <si>
    <t xml:space="preserve">8 posts/mo, 1 platform, monthly report</t>
  </si>
  <si>
    <t xml:space="preserve">A small shop testing social</t>
  </si>
  <si>
    <t xml:space="preserve">16 posts/mo, 2 platforms, ads-ready set, report</t>
  </si>
  <si>
    <t xml:space="preserve">A venue serious about presence</t>
  </si>
  <si>
    <t xml:space="preserve">24 posts/mo, 3 platforms, ads-ready, community mgmt</t>
  </si>
  <si>
    <t xml:space="preserve">A multi-branch or busy brand</t>
  </si>
  <si>
    <t xml:space="preserve">Essentials</t>
  </si>
  <si>
    <t xml:space="preserve">Logo + card + 3-page site + social setup (2) + 1-mo content calendar</t>
  </si>
  <si>
    <t xml:space="preserve">Opening on a tight budget, fast</t>
  </si>
  <si>
    <t xml:space="preserve">Professional</t>
  </si>
  <si>
    <t xml:space="preserve">+ brand guidelines, 7-page CMS site, email, letterhead+invoice, pitch deck, 3-mo content</t>
  </si>
  <si>
    <t xml:space="preserve">A serious launch that needs the full kit</t>
  </si>
  <si>
    <t xml:space="preserve">Premium</t>
  </si>
  <si>
    <t xml:space="preserve">+ marketing strategy, competitor analysis, CRM, 6-mo social mgmt, monthly reporting</t>
  </si>
  <si>
    <t xml:space="preserve">A funded launch that wants momentum from day one</t>
  </si>
  <si>
    <t xml:space="preserve">Desk research, competitors, audience, recommendations</t>
  </si>
  <si>
    <t xml:space="preserve">A founder validating a decision</t>
  </si>
  <si>
    <t xml:space="preserve">+ primary research (survey/interviews), deeper analysis</t>
  </si>
  <si>
    <t xml:space="preserve">An investor-facing or high-stakes decision</t>
  </si>
  <si>
    <t xml:space="preserve">Specializations &amp; Micro-Specializations</t>
  </si>
  <si>
    <t xml:space="preserve">The full skills map behind every product — 10 domains, 35 specialties, 144 verified skills. This is both the service menu and the verification spine (each skill has an assessment method and a required trust level).</t>
  </si>
  <si>
    <t xml:space="preserve">Domain</t>
  </si>
  <si>
    <t xml:space="preserve">Specialty</t>
  </si>
  <si>
    <t xml:space="preserve">Skill / Micro-specialization</t>
  </si>
  <si>
    <t xml:space="preserve">How it is verified (assessment)</t>
  </si>
  <si>
    <t xml:space="preserve">Min. trust level</t>
  </si>
  <si>
    <t xml:space="preserve">Maps to products</t>
  </si>
  <si>
    <t xml:space="preserve">D01 · Web Development</t>
  </si>
  <si>
    <t xml:space="preserve">Frontend Development</t>
  </si>
  <si>
    <t xml:space="preserve">HTML5 / CSS3 / Responsive Design</t>
  </si>
  <si>
    <t xml:space="preserve">Portfolio + Practical Test</t>
  </si>
  <si>
    <t xml:space="preserve">T1</t>
  </si>
  <si>
    <t xml:space="preserve">RP-002, RP-008, RP-017, RP-021, RP-022, RP-023</t>
  </si>
  <si>
    <t xml:space="preserve">React / Next.js</t>
  </si>
  <si>
    <t xml:space="preserve">Vue.js / Nuxt.js</t>
  </si>
  <si>
    <t xml:space="preserve">Angular / TypeScript</t>
  </si>
  <si>
    <t xml:space="preserve">Tailwind CSS / Bootstrap</t>
  </si>
  <si>
    <t xml:space="preserve">JavaScript / TypeScript</t>
  </si>
  <si>
    <t xml:space="preserve">Backend Development</t>
  </si>
  <si>
    <t xml:space="preserve">Node.js / Express / NestJS</t>
  </si>
  <si>
    <t xml:space="preserve">Python / Django / Flask / FastAPI</t>
  </si>
  <si>
    <t xml:space="preserve">PHP / Laravel</t>
  </si>
  <si>
    <t xml:space="preserve">Java / Spring Boot</t>
  </si>
  <si>
    <t xml:space="preserve">Database Design / SQL</t>
  </si>
  <si>
    <t xml:space="preserve">API Design / REST / GraphQL</t>
  </si>
  <si>
    <t xml:space="preserve">Full-Stack Development</t>
  </si>
  <si>
    <t xml:space="preserve">MERN Stack (MongoDB/Express/React/Node)</t>
  </si>
  <si>
    <t xml:space="preserve">PERN Stack (PostgreSQL/Express/React/Node)</t>
  </si>
  <si>
    <t xml:space="preserve">Next.js Full-Stack</t>
  </si>
  <si>
    <t xml:space="preserve">WordPress Full-Stack</t>
  </si>
  <si>
    <t xml:space="preserve">CMS &amp; E-Commerce</t>
  </si>
  <si>
    <t xml:space="preserve">WordPress Development</t>
  </si>
  <si>
    <t xml:space="preserve">Shopify / E-Commerce</t>
  </si>
  <si>
    <t xml:space="preserve">Webflow / No-Code</t>
  </si>
  <si>
    <t xml:space="preserve">Sanity / Strapi / Headless CMS</t>
  </si>
  <si>
    <t xml:space="preserve">Mobile &amp; PWA</t>
  </si>
  <si>
    <t xml:space="preserve">React Native</t>
  </si>
  <si>
    <t xml:space="preserve">Flutter / Dart</t>
  </si>
  <si>
    <t xml:space="preserve">Progressive Web Apps (PWA)</t>
  </si>
  <si>
    <t xml:space="preserve">Mobile-Responsive Optimization</t>
  </si>
  <si>
    <t xml:space="preserve">DevOps &amp; Infrastructure</t>
  </si>
  <si>
    <t xml:space="preserve">Docker / Docker Compose</t>
  </si>
  <si>
    <t xml:space="preserve">CI/CD / GitHub Actions</t>
  </si>
  <si>
    <t xml:space="preserve">Linux Server Administration</t>
  </si>
  <si>
    <t xml:space="preserve">Cloud Deployment (AWS/GCP/DO)</t>
  </si>
  <si>
    <t xml:space="preserve">D02 · Design</t>
  </si>
  <si>
    <t xml:space="preserve">Logo Design</t>
  </si>
  <si>
    <t xml:space="preserve">RP-001, RP-016, RP-010</t>
  </si>
  <si>
    <t xml:space="preserve">Brand Guidelines / Style Guide</t>
  </si>
  <si>
    <t xml:space="preserve">Business Card &amp; Stationery</t>
  </si>
  <si>
    <t xml:space="preserve">Brand Strategy &amp; Naming</t>
  </si>
  <si>
    <t xml:space="preserve">UI Design</t>
  </si>
  <si>
    <t xml:space="preserve">Web UI Design</t>
  </si>
  <si>
    <t xml:space="preserve">Mobile App UI Design</t>
  </si>
  <si>
    <t xml:space="preserve">Dashboard / Data UI</t>
  </si>
  <si>
    <t xml:space="preserve">Design System Creation</t>
  </si>
  <si>
    <t xml:space="preserve">UX Design</t>
  </si>
  <si>
    <t xml:space="preserve">User Research &amp; Personas</t>
  </si>
  <si>
    <t xml:space="preserve">Wireframing &amp; Prototyping</t>
  </si>
  <si>
    <t xml:space="preserve">Usability Testing</t>
  </si>
  <si>
    <t xml:space="preserve">Information Architecture</t>
  </si>
  <si>
    <t xml:space="preserve">Print Design</t>
  </si>
  <si>
    <t xml:space="preserve">Brochure / Flyer / Poster</t>
  </si>
  <si>
    <t xml:space="preserve">Packaging Design</t>
  </si>
  <si>
    <t xml:space="preserve">Book / Magazine Layout</t>
  </si>
  <si>
    <t xml:space="preserve">Signage &amp; Environmental</t>
  </si>
  <si>
    <t xml:space="preserve">Social Media Design</t>
  </si>
  <si>
    <t xml:space="preserve">Social Media Templates</t>
  </si>
  <si>
    <t xml:space="preserve">Story / Reel Design</t>
  </si>
  <si>
    <t xml:space="preserve">Ad Creative / Banner Design</t>
  </si>
  <si>
    <t xml:space="preserve">Content Graphics / Infographics</t>
  </si>
  <si>
    <t xml:space="preserve">Motion &amp; Animation</t>
  </si>
  <si>
    <t xml:space="preserve">Motion Graphics (After Effects)</t>
  </si>
  <si>
    <t xml:space="preserve">Lottie / Web Animations</t>
  </si>
  <si>
    <t xml:space="preserve">2D Animation</t>
  </si>
  <si>
    <t xml:space="preserve">3D Rendering (Blender)</t>
  </si>
  <si>
    <t xml:space="preserve">D03 · Content &amp; Writing</t>
  </si>
  <si>
    <t xml:space="preserve">Article &amp; Blog Writing</t>
  </si>
  <si>
    <t xml:space="preserve">SEO Blog Posts (AR/EN)</t>
  </si>
  <si>
    <t xml:space="preserve">RP-007, RP-012, RP-018, RP-004</t>
  </si>
  <si>
    <t xml:space="preserve">Thought Leadership / Opinion</t>
  </si>
  <si>
    <t xml:space="preserve">News &amp; Reporting</t>
  </si>
  <si>
    <t xml:space="preserve">Listicles &amp; How-To Guides</t>
  </si>
  <si>
    <t xml:space="preserve">Technical Writing</t>
  </si>
  <si>
    <t xml:space="preserve">User Manuals / Documentation</t>
  </si>
  <si>
    <t xml:space="preserve">SOP &amp; Process Documentation</t>
  </si>
  <si>
    <t xml:space="preserve">Training Materials</t>
  </si>
  <si>
    <t xml:space="preserve">Proposal &amp; Report Writing</t>
  </si>
  <si>
    <t xml:space="preserve">Copywriting</t>
  </si>
  <si>
    <t xml:space="preserve">Website Copy (AR/EN)</t>
  </si>
  <si>
    <t xml:space="preserve">Ad Copy / Campaign Writing</t>
  </si>
  <si>
    <t xml:space="preserve">Brand Voice &amp; Messaging</t>
  </si>
  <si>
    <t xml:space="preserve">Email Marketing Copy</t>
  </si>
  <si>
    <t xml:space="preserve">Script &amp; Narrative</t>
  </si>
  <si>
    <t xml:space="preserve">Video Scripts (Explainer/Promo)</t>
  </si>
  <si>
    <t xml:space="preserve">Podcast Scripts / Show Notes</t>
  </si>
  <si>
    <t xml:space="preserve">Presentation Scripts</t>
  </si>
  <si>
    <t xml:space="preserve">Social Media Captions</t>
  </si>
  <si>
    <t xml:space="preserve">D04 · Translation &amp; Localization</t>
  </si>
  <si>
    <t xml:space="preserve">General Translation</t>
  </si>
  <si>
    <t xml:space="preserve">Arabic → English Translation</t>
  </si>
  <si>
    <t xml:space="preserve">English → Arabic Translation</t>
  </si>
  <si>
    <t xml:space="preserve">Proofreading &amp; Editing (AR)</t>
  </si>
  <si>
    <t xml:space="preserve">Proofreading &amp; Editing (EN)</t>
  </si>
  <si>
    <t xml:space="preserve">Specialized Translation</t>
  </si>
  <si>
    <t xml:space="preserve">Legal Translation (AR↔EN)</t>
  </si>
  <si>
    <t xml:space="preserve">Medical Translation (AR↔EN)</t>
  </si>
  <si>
    <t xml:space="preserve">Technical Translation (AR↔EN)</t>
  </si>
  <si>
    <t xml:space="preserve">Financial Translation (AR↔EN)</t>
  </si>
  <si>
    <t xml:space="preserve">Localization</t>
  </si>
  <si>
    <t xml:space="preserve">Website Localization (AR↔EN)</t>
  </si>
  <si>
    <t xml:space="preserve">App Localization</t>
  </si>
  <si>
    <t xml:space="preserve">Marketing Localization</t>
  </si>
  <si>
    <t xml:space="preserve">Subtitling &amp; Captioning</t>
  </si>
  <si>
    <t xml:space="preserve">D05 · Digital Marketing</t>
  </si>
  <si>
    <t xml:space="preserve">Social Media Management</t>
  </si>
  <si>
    <t xml:space="preserve">Content Calendar &amp; Planning</t>
  </si>
  <si>
    <t xml:space="preserve">RP-003, RP-009, RP-029, RP-030, RP-024</t>
  </si>
  <si>
    <t xml:space="preserve">Community Management</t>
  </si>
  <si>
    <t xml:space="preserve">Social Listening &amp; Analytics</t>
  </si>
  <si>
    <t xml:space="preserve">Platform Management (Multi)</t>
  </si>
  <si>
    <t xml:space="preserve">Paid Advertising</t>
  </si>
  <si>
    <t xml:space="preserve">Google Ads (Search/Display)</t>
  </si>
  <si>
    <t xml:space="preserve">Meta Ads (Facebook/Instagram)</t>
  </si>
  <si>
    <t xml:space="preserve">LinkedIn Advertising</t>
  </si>
  <si>
    <t xml:space="preserve">Campaign Analytics &amp; Reporting</t>
  </si>
  <si>
    <t xml:space="preserve">SEO</t>
  </si>
  <si>
    <t xml:space="preserve">On-Page SEO</t>
  </si>
  <si>
    <t xml:space="preserve">Technical SEO</t>
  </si>
  <si>
    <t xml:space="preserve">Content SEO Strategy</t>
  </si>
  <si>
    <t xml:space="preserve">Local SEO (Aden/Yemen)</t>
  </si>
  <si>
    <t xml:space="preserve">Content Marketing</t>
  </si>
  <si>
    <t xml:space="preserve">Content Strategy Development</t>
  </si>
  <si>
    <t xml:space="preserve">Email Marketing</t>
  </si>
  <si>
    <t xml:space="preserve">Influencer Outreach</t>
  </si>
  <si>
    <t xml:space="preserve">Brand Storytelling</t>
  </si>
  <si>
    <t xml:space="preserve">D06 · Video &amp; Audio</t>
  </si>
  <si>
    <t xml:space="preserve">Video Editing</t>
  </si>
  <si>
    <t xml:space="preserve">Corporate / Promo Video Editing</t>
  </si>
  <si>
    <t xml:space="preserve">RP-020, RP-031</t>
  </si>
  <si>
    <t xml:space="preserve">Social Media Video (Short-form)</t>
  </si>
  <si>
    <t xml:space="preserve">Documentary / Long-form Editing</t>
  </si>
  <si>
    <t xml:space="preserve">Color Grading &amp; Sound Design</t>
  </si>
  <si>
    <t xml:space="preserve">Photography &amp; Videography</t>
  </si>
  <si>
    <t xml:space="preserve">Product Photography</t>
  </si>
  <si>
    <t xml:space="preserve">Event Photography / Videography</t>
  </si>
  <si>
    <t xml:space="preserve">Drone Videography</t>
  </si>
  <si>
    <t xml:space="preserve">Photo Editing / Retouching</t>
  </si>
  <si>
    <t xml:space="preserve">Arabic Voice-Over (Male/Female)</t>
  </si>
  <si>
    <t xml:space="preserve">English Voice-Over</t>
  </si>
  <si>
    <t xml:space="preserve">Podcast Production</t>
  </si>
  <si>
    <t xml:space="preserve">Audio Transcription (AR/EN)</t>
  </si>
  <si>
    <t xml:space="preserve">D07 · Research &amp; Data</t>
  </si>
  <si>
    <t xml:space="preserve">Market Research</t>
  </si>
  <si>
    <t xml:space="preserve">Market Analysis &amp; Sizing</t>
  </si>
  <si>
    <t xml:space="preserve">RP-006, RP-013, RP-014, RP-015</t>
  </si>
  <si>
    <t xml:space="preserve">Customer Research</t>
  </si>
  <si>
    <t xml:space="preserve">Competitive Intelligence</t>
  </si>
  <si>
    <t xml:space="preserve">Feasibility Studies</t>
  </si>
  <si>
    <t xml:space="preserve">Data Analysis</t>
  </si>
  <si>
    <t xml:space="preserve">Excel / Google Sheets Advanced</t>
  </si>
  <si>
    <t xml:space="preserve">Python Data Analysis (Pandas)</t>
  </si>
  <si>
    <t xml:space="preserve">Data Visualization (Tableau/Power BI)</t>
  </si>
  <si>
    <t xml:space="preserve">Statistical Analysis</t>
  </si>
  <si>
    <t xml:space="preserve">Monitoring &amp; Evaluation</t>
  </si>
  <si>
    <t xml:space="preserve">M&amp;E Framework Design</t>
  </si>
  <si>
    <t xml:space="preserve">Survey Design &amp; Implementation</t>
  </si>
  <si>
    <t xml:space="preserve">Impact Assessment</t>
  </si>
  <si>
    <t xml:space="preserve">Donor Reporting</t>
  </si>
  <si>
    <t xml:space="preserve">D08 · Finance &amp; Accounting</t>
  </si>
  <si>
    <t xml:space="preserve">Bookkeeping &amp; Accounting</t>
  </si>
  <si>
    <t xml:space="preserve">Daily Bookkeeping</t>
  </si>
  <si>
    <t xml:space="preserve">RP-025, RP-026</t>
  </si>
  <si>
    <t xml:space="preserve">Financial Statement Preparation</t>
  </si>
  <si>
    <t xml:space="preserve">Tax Preparation (Yemen)</t>
  </si>
  <si>
    <t xml:space="preserve">Payroll Processing</t>
  </si>
  <si>
    <t xml:space="preserve">Financial Modeling</t>
  </si>
  <si>
    <t xml:space="preserve">Budget Development</t>
  </si>
  <si>
    <t xml:space="preserve">Revenue Modeling</t>
  </si>
  <si>
    <t xml:space="preserve">Investor-Ready Financials</t>
  </si>
  <si>
    <t xml:space="preserve">Cash Flow Management</t>
  </si>
  <si>
    <t xml:space="preserve">D09 · Admin &amp; Support</t>
  </si>
  <si>
    <t xml:space="preserve">Virtual Assistance</t>
  </si>
  <si>
    <t xml:space="preserve">Calendar &amp; Email Management</t>
  </si>
  <si>
    <t xml:space="preserve">RP-027, RP-028</t>
  </si>
  <si>
    <t xml:space="preserve">Data Entry &amp; Processing</t>
  </si>
  <si>
    <t xml:space="preserve">Document Preparation</t>
  </si>
  <si>
    <t xml:space="preserve">Travel &amp; Event Coordination</t>
  </si>
  <si>
    <t xml:space="preserve">Customer Service</t>
  </si>
  <si>
    <t xml:space="preserve">Live Chat / Ticket Support</t>
  </si>
  <si>
    <t xml:space="preserve">Phone / WhatsApp Support</t>
  </si>
  <si>
    <t xml:space="preserve">CRM Data Management</t>
  </si>
  <si>
    <t xml:space="preserve">Process Documentation</t>
  </si>
  <si>
    <t xml:space="preserve">D10 · Training &amp; Development</t>
  </si>
  <si>
    <t xml:space="preserve">Curriculum Design</t>
  </si>
  <si>
    <t xml:space="preserve">Course Development</t>
  </si>
  <si>
    <t xml:space="preserve">E-Learning Content</t>
  </si>
  <si>
    <t xml:space="preserve">Workshop Facilitation</t>
  </si>
  <si>
    <t xml:space="preserve">Assessment &amp; Certification</t>
  </si>
  <si>
    <t xml:space="preserve">Corporate Training</t>
  </si>
  <si>
    <t xml:space="preserve">Digital Skills Training</t>
  </si>
  <si>
    <t xml:space="preserve">Soft Skills Training</t>
  </si>
  <si>
    <t xml:space="preserve">Technical Training Delivery</t>
  </si>
  <si>
    <t xml:space="preserve">Training Needs Assessment</t>
  </si>
  <si>
    <t xml:space="preserve">Stakeholders, Targeting &amp; Revenue Lines</t>
  </si>
  <si>
    <t xml:space="preserve">Who we approach, why they say yes, what we sell them, and when. The persuasive argument for each audience plus the revenue line it opens. Status is a dropdown; owner is named.</t>
  </si>
  <si>
    <t xml:space="preserve">Stakeholder</t>
  </si>
  <si>
    <t xml:space="preserve">Their need / mandate</t>
  </si>
  <si>
    <t xml:space="preserve">What Kayan offers them</t>
  </si>
  <si>
    <t xml:space="preserve">The persuasive argument (why yes)</t>
  </si>
  <si>
    <t xml:space="preserve">Revenue line</t>
  </si>
  <si>
    <t xml:space="preserve">When to target</t>
  </si>
  <si>
    <t xml:space="preserve">Channel / entry point</t>
  </si>
  <si>
    <t xml:space="preserve">Owner</t>
  </si>
  <si>
    <t xml:space="preserve">UN agencies (UNDP, UNICEF, WFP, UN Women, IOM, FAO)</t>
  </si>
  <si>
    <t xml:space="preserve">Local execution capacity that is auditable, PSEA-compliant, and fast</t>
  </si>
  <si>
    <t xml:space="preserve">Surge pods for translation, data collection, MEAL, reports, dashboards — commissioned as outcomes, not headcount</t>
  </si>
  <si>
    <t xml:space="preserve">You get guaranteed outcomes with escrow protection and verification, at no operating cost to carry — you commission a result, we hold the risk; PSEA + AML controls already in place; quote-ready for your 3-quote rule</t>
  </si>
  <si>
    <t xml:space="preserve">INGO retainer (18%) + data/MEAL products</t>
  </si>
  <si>
    <t xml:space="preserve">Post-launch M1–M6</t>
  </si>
  <si>
    <t xml:space="preserve">Vendor registration + LinkedIn + warm intro</t>
  </si>
  <si>
    <t xml:space="preserve">Gov Rel / CEO</t>
  </si>
  <si>
    <t xml:space="preserve">INGOs (NRC, DRC, Oxfam, Save, MercyCorps, CARE)</t>
  </si>
  <si>
    <t xml:space="preserve">Reliable local delivery without managing freelancers at scale</t>
  </si>
  <si>
    <t xml:space="preserve">Managed delivery pods + translation + reports + data; a single accountable counterpart</t>
  </si>
  <si>
    <t xml:space="preserve">One contract, one guarantee, verified talent, escrow — you stop chasing individual freelancers and carry no payroll; we deliver to your donor template</t>
  </si>
  <si>
    <t xml:space="preserve">INGO retainer (18%) + per-project fee (20%)</t>
  </si>
  <si>
    <t xml:space="preserve">Direct BD + service catalogue + referrals</t>
  </si>
  <si>
    <t xml:space="preserve">Bilateral &amp; multilateral donors (EU, KfW, WB/IDA, SDRPY/KSrelief)</t>
  </si>
  <si>
    <t xml:space="preserve">Convert programme funding into measurable, absorbed local outcomes</t>
  </si>
  <si>
    <t xml:space="preserve">The absorption layer: trained youth converted into income-earning, credentialled practitioners with published outcomes</t>
  </si>
  <si>
    <t xml:space="preserve">Kayan is the auditable mechanism that turns your money into engaged talent and verified results — value-for-money, youth &amp; women economic empowerment, SDG-aligned, fiduciary-safe (escrow, verification, QA)</t>
  </si>
  <si>
    <t xml:space="preserve">Sponsor-a-cohort ($3–8k) + funded training + data</t>
  </si>
  <si>
    <t xml:space="preserve">M3–M12 (post first references)</t>
  </si>
  <si>
    <t xml:space="preserve">Concept notes + partnership meetings</t>
  </si>
  <si>
    <t xml:space="preserve">CEO / Gov Rel</t>
  </si>
  <si>
    <t xml:space="preserve">MOPIC &amp; line ministries</t>
  </si>
  <si>
    <t xml:space="preserve">Rebuild donor credibility; youth jobs; private-sector growth</t>
  </si>
  <si>
    <t xml:space="preserve">An auditable national delivery + absorption mechanism that needs no fiscal outlay</t>
  </si>
  <si>
    <t xml:space="preserve">Youth &amp; women economic empowerment and private-sector job creation with zero fiscal burden and a fully auditable trail — the implementation safeguard donors ask for; aligns with the Minister's aid-absorption agenda</t>
  </si>
  <si>
    <t xml:space="preserve">Endorsement (unlocks INGO/donor) + gov training</t>
  </si>
  <si>
    <t xml:space="preserve">M2–M9</t>
  </si>
  <si>
    <t xml:space="preserve">Formal letter + in-person (Ali)</t>
  </si>
  <si>
    <t xml:space="preserve">Gov Rel (Ali)</t>
  </si>
  <si>
    <t xml:space="preserve">Local authorities (Aden governorate, municipality)</t>
  </si>
  <si>
    <t xml:space="preserve">Visible youth employment and community impact</t>
  </si>
  <si>
    <t xml:space="preserve">Community programmes, events, local hiring, training cohorts</t>
  </si>
  <si>
    <t xml:space="preserve">Real, local, dignified jobs and visible impact in Aden — no cost to the authority; a private institution carrying the delivery</t>
  </si>
  <si>
    <t xml:space="preserve">Endorsement + event sponsorship</t>
  </si>
  <si>
    <t xml:space="preserve">Pre-launch + ongoing</t>
  </si>
  <si>
    <t xml:space="preserve">In-person + grand opening invite</t>
  </si>
  <si>
    <t xml:space="preserve">Aden Chamber of Commerce</t>
  </si>
  <si>
    <t xml:space="preserve">Member services; SME growth; jobs data</t>
  </si>
  <si>
    <t xml:space="preserve">Verified talent directory; SME products; joint events</t>
  </si>
  <si>
    <t xml:space="preserve">A professional-services backbone for Aden's SMEs and a youth-employment story for your reports — built, not promised</t>
  </si>
  <si>
    <t xml:space="preserve">Membership + SME product sales</t>
  </si>
  <si>
    <t xml:space="preserve">Pre-launch</t>
  </si>
  <si>
    <t xml:space="preserve">Visit (Maher + Ali)</t>
  </si>
  <si>
    <t xml:space="preserve">University of Aden</t>
  </si>
  <si>
    <t xml:space="preserve">Student work experience; employability</t>
  </si>
  <si>
    <t xml:space="preserve">Internships, hackathons, student membership, talent pipeline</t>
  </si>
  <si>
    <t xml:space="preserve">A real pathway from classroom to paid, verified work for your graduates — and a campus partner that hires</t>
  </si>
  <si>
    <t xml:space="preserve">Talent pipeline + student memberships</t>
  </si>
  <si>
    <t xml:space="preserve">Deans of CS + Business</t>
  </si>
  <si>
    <t xml:space="preserve">Gov Rel</t>
  </si>
  <si>
    <t xml:space="preserve">SMEs &amp; businesses (Aden)</t>
  </si>
  <si>
    <t xml:space="preserve">Credibility, customers, capacity</t>
  </si>
  <si>
    <t xml:space="preserve">Brand, website, e-commerce, social, bookkeeping, AI bot</t>
  </si>
  <si>
    <t xml:space="preserve">Look established and win customers for the price of part-time help — fixed scope, fixed price, escrow-protected; no risk</t>
  </si>
  <si>
    <t xml:space="preserve">Productized fees (20%)</t>
  </si>
  <si>
    <t xml:space="preserve">Launch onward</t>
  </si>
  <si>
    <t xml:space="preserve">Walk-in + WhatsApp + social</t>
  </si>
  <si>
    <t xml:space="preserve">Sales / Hub</t>
  </si>
  <si>
    <t xml:space="preserve">Big restaurants &amp; hotels</t>
  </si>
  <si>
    <t xml:space="preserve">Brand consistency, direct bookings, delivery presence</t>
  </si>
  <si>
    <t xml:space="preserve">Enterprise Restaurant Suite; Hotel Revenue Suite; social</t>
  </si>
  <si>
    <t xml:space="preserve">One coherent brand and a direct revenue channel across every branch/platform — done once, done right</t>
  </si>
  <si>
    <t xml:space="preserve">Enterprise suites ($3.5–3.8k) + retainers</t>
  </si>
  <si>
    <t xml:space="preserve">M2 onward</t>
  </si>
  <si>
    <t xml:space="preserve">Direct BD + portfolio</t>
  </si>
  <si>
    <t xml:space="preserve">Sales</t>
  </si>
  <si>
    <t xml:space="preserve">Validate, build, raise</t>
  </si>
  <si>
    <t xml:space="preserve">Market study, pitch pack, MVP, mobile app, model</t>
  </si>
  <si>
    <t xml:space="preserve">From evidence to an investable story to a working product — everything a raise needs, locally and affordably</t>
  </si>
  <si>
    <t xml:space="preserve">Productized + MVP/app fees</t>
  </si>
  <si>
    <t xml:space="preserve">Ecosystem + events + LinkedIn</t>
  </si>
  <si>
    <t xml:space="preserve">Sales / CEO</t>
  </si>
  <si>
    <t xml:space="preserve">Credible personal presence; investment readiness</t>
  </si>
  <si>
    <t xml:space="preserve">Executive &amp; personal brand; pitch pack; financial model</t>
  </si>
  <si>
    <t xml:space="preserve">Be found and taken seriously by partners, press, and investors — a leader who looks the part</t>
  </si>
  <si>
    <t xml:space="preserve">Referral + LinkedIn</t>
  </si>
  <si>
    <t xml:space="preserve">Diaspora &amp; Gulf businesses</t>
  </si>
  <si>
    <t xml:space="preserve">Trusted local execution; CSR impact</t>
  </si>
  <si>
    <t xml:space="preserve">Managed delivery; sponsor-a-desk/cohort; impact reports</t>
  </si>
  <si>
    <t xml:space="preserve">Execute in Yemen through an institution you can audit, and show measurable social impact for your CSR</t>
  </si>
  <si>
    <t xml:space="preserve">Managed delivery + sponsorship</t>
  </si>
  <si>
    <t xml:space="preserve">M3 onward</t>
  </si>
  <si>
    <t xml:space="preserve">Cairo presence + LinkedIn</t>
  </si>
  <si>
    <t xml:space="preserve">CEO</t>
  </si>
  <si>
    <t xml:space="preserve">Banks &amp; corporates (CSR)</t>
  </si>
  <si>
    <t xml:space="preserve">Visible, reportable social impact</t>
  </si>
  <si>
    <t xml:space="preserve">Sponsor-a-cohort/desk; co-branded training; impact reports</t>
  </si>
  <si>
    <t xml:space="preserve">Fund dignified youth employment with quarterly, photo-backed impact reporting — CSR that is real and auditable</t>
  </si>
  <si>
    <t xml:space="preserve">Sponsorship ($0.4–8k)</t>
  </si>
  <si>
    <t xml:space="preserve">BD + proposals</t>
  </si>
  <si>
    <t xml:space="preserve">Launch Roles, Responsibilities, KPIs &amp; Tasks</t>
  </si>
  <si>
    <t xml:space="preserve">Who does what to stand Kayan up and run the products — for the launch on 30 June 2026 and the run-up before it. Each role: responsibilities, KPIs, the value it creates, cost band, timeframe, and the forms/tools it uses. Status is a dropdown.</t>
  </si>
  <si>
    <t xml:space="preserve">Role</t>
  </si>
  <si>
    <t xml:space="preserve">Owner / holder</t>
  </si>
  <si>
    <t xml:space="preserve">What they own (responsibilities)</t>
  </si>
  <si>
    <t xml:space="preserve">KPIs</t>
  </si>
  <si>
    <t xml:space="preserve">Value they create</t>
  </si>
  <si>
    <t xml:space="preserve">Cost band (USD/mo)</t>
  </si>
  <si>
    <t xml:space="preserve">Timeframe</t>
  </si>
  <si>
    <t xml:space="preserve">Forms / tools they use</t>
  </si>
  <si>
    <t xml:space="preserve">Launch-critical?</t>
  </si>
  <si>
    <t xml:space="preserve">CEO / Founder</t>
  </si>
  <si>
    <t xml:space="preserve">Maher Faisal Saeed Farea</t>
  </si>
  <si>
    <t xml:space="preserve">Strategy, governance, final QA gate, investor &amp; donor relations, dual-approval signatory</t>
  </si>
  <si>
    <t xml:space="preserve">Revenue vs plan; partnerships won; gate-9 approvals on time</t>
  </si>
  <si>
    <t xml:space="preserve">Direction, trust, and the institutional guarantee</t>
  </si>
  <si>
    <t xml:space="preserve">Founder</t>
  </si>
  <si>
    <t xml:space="preserve">Now → ongoing</t>
  </si>
  <si>
    <t xml:space="preserve">Decision Log; DoA; QA scorecard</t>
  </si>
  <si>
    <t xml:space="preserve">Yes</t>
  </si>
  <si>
    <t xml:space="preserve">Active</t>
  </si>
  <si>
    <t xml:space="preserve">Finance &amp; Admin Lead</t>
  </si>
  <si>
    <t xml:space="preserve">Tariq Ahmed Al-Mukhdari</t>
  </si>
  <si>
    <t xml:space="preserve">Escrow &amp; books, 2nd signatory, compliance officer, payroll, FX at Aden rate, tax calendar</t>
  </si>
  <si>
    <t xml:space="preserve">Escrow reconciled 100%; books current; 0 compliance misses</t>
  </si>
  <si>
    <t xml:space="preserve">Money is safe, traceable, and auditable</t>
  </si>
  <si>
    <t xml:space="preserve">Co-founder (10%)</t>
  </si>
  <si>
    <t xml:space="preserve">Finance SOP; escrow ledger; compliance calendar</t>
  </si>
  <si>
    <t xml:space="preserve">Government Relations Lead</t>
  </si>
  <si>
    <t xml:space="preserve">Ali Qaed Ahmed</t>
  </si>
  <si>
    <t xml:space="preserve">Registration, ministry/authority relations, partnership outreach, endorsements</t>
  </si>
  <si>
    <t xml:space="preserve">Registration certificate; meetings held; endorsements secured</t>
  </si>
  <si>
    <t xml:space="preserve">Legitimacy and the door into UN/INGO/donor/gov</t>
  </si>
  <si>
    <t xml:space="preserve">Co-founder (2.5%)</t>
  </si>
  <si>
    <t xml:space="preserve">Stakeholder tracker; outreach letters</t>
  </si>
  <si>
    <t xml:space="preserve">Delivery / Pod Lead</t>
  </si>
  <si>
    <t xml:space="preserve">To hire (T3+)</t>
  </si>
  <si>
    <t xml:space="preserve">Scope projects, assemble pods, run gates G0–G9, manage milestones</t>
  </si>
  <si>
    <t xml:space="preserve">On-time delivery rate; QA pass rate; rework &lt;5%</t>
  </si>
  <si>
    <t xml:space="preserve">Outcomes the client accepts and pays for</t>
  </si>
  <si>
    <t xml:space="preserve">800–1,200</t>
  </si>
  <si>
    <t xml:space="preserve">Hire by M1</t>
  </si>
  <si>
    <t xml:space="preserve">SOW; gate checklist; delivery note</t>
  </si>
  <si>
    <t xml:space="preserve">To hire</t>
  </si>
  <si>
    <t xml:space="preserve">QA Reviewer (independent)</t>
  </si>
  <si>
    <t xml:space="preserve">To hire (T3+) / CEO</t>
  </si>
  <si>
    <t xml:space="preserve">Independent quality review before any deliverable is released (Layer 3)</t>
  </si>
  <si>
    <t xml:space="preserve">QA scores ≥4.0; defects caught pre-delivery</t>
  </si>
  <si>
    <t xml:space="preserve">The guarantee behind every product</t>
  </si>
  <si>
    <t xml:space="preserve">Per-project / part-time</t>
  </si>
  <si>
    <t xml:space="preserve">By launch</t>
  </si>
  <si>
    <t xml:space="preserve">5-dimension QA scorecard</t>
  </si>
  <si>
    <t xml:space="preserve">Marketing &amp; Sales Lead</t>
  </si>
  <si>
    <t xml:space="preserve">Catalogue selling, pipeline, pricing discipline, CRM, discount authority 0–5%</t>
  </si>
  <si>
    <t xml:space="preserve">Qualified leads; conversion; basket size; revenue</t>
  </si>
  <si>
    <t xml:space="preserve">Demand and signed, funded orders</t>
  </si>
  <si>
    <t xml:space="preserve">500–800</t>
  </si>
  <si>
    <t xml:space="preserve">Catalogue; CRM; intake form; discount matrix</t>
  </si>
  <si>
    <t xml:space="preserve">Content &amp; Social Creator</t>
  </si>
  <si>
    <t xml:space="preserve">To hire / volunteer→paid</t>
  </si>
  <si>
    <t xml:space="preserve">Social posts, website content, product sell-copy, reels, community replies</t>
  </si>
  <si>
    <t xml:space="preserve">Followers; engagement &gt;5%; content cadence; cost/registration &lt;$2</t>
  </si>
  <si>
    <t xml:space="preserve">The voice that fills the pipeline</t>
  </si>
  <si>
    <t xml:space="preserve">300–500</t>
  </si>
  <si>
    <t xml:space="preserve">Content calendar; brand guide; post templates</t>
  </si>
  <si>
    <t xml:space="preserve">Tech / Web Lead</t>
  </si>
  <si>
    <t xml:space="preserve">Website, platform, hosting/devops, AI bot setups, product tech delivery</t>
  </si>
  <si>
    <t xml:space="preserve">Uptime; build on-time; tech QA pass</t>
  </si>
  <si>
    <t xml:space="preserve">The product Kayan ships and runs</t>
  </si>
  <si>
    <t xml:space="preserve">700–1,000</t>
  </si>
  <si>
    <t xml:space="preserve">Hire by M2</t>
  </si>
  <si>
    <t xml:space="preserve">Repo; deployment checklist; IT-care SOP</t>
  </si>
  <si>
    <t xml:space="preserve">Partly</t>
  </si>
  <si>
    <t xml:space="preserve">Hub Coordinator / Reception</t>
  </si>
  <si>
    <t xml:space="preserve">Front desk, bookings, member onboarding, café liaison, walk-in conversion</t>
  </si>
  <si>
    <t xml:space="preserve">Occupancy; bookings; walk-in→lead; member NPS</t>
  </si>
  <si>
    <t xml:space="preserve">The front door and the daily experience</t>
  </si>
  <si>
    <t xml:space="preserve">250–400</t>
  </si>
  <si>
    <t xml:space="preserve">Hire by launch</t>
  </si>
  <si>
    <t xml:space="preserve">Booking sheet; member form; visitor log</t>
  </si>
  <si>
    <t xml:space="preserve">Talent Verification Officer</t>
  </si>
  <si>
    <t xml:space="preserve">Pod Lead / part-time</t>
  </si>
  <si>
    <t xml:space="preserve">Run skill assessments, T0→T4 verification, registry &amp; Card issuance</t>
  </si>
  <si>
    <t xml:space="preserve">Talent verified; pool depth per specialty; time-to-verify</t>
  </si>
  <si>
    <t xml:space="preserve">The verified bench every product depends on</t>
  </si>
  <si>
    <t xml:space="preserve">Part-time</t>
  </si>
  <si>
    <t xml:space="preserve">Taxonomy; assessment rubric; registry</t>
  </si>
  <si>
    <t xml:space="preserve">Intern — Marketing/Content</t>
  </si>
  <si>
    <t xml:space="preserve">2–3 interns</t>
  </si>
  <si>
    <t xml:space="preserve">Assist content, scheduling, community, events, listening</t>
  </si>
  <si>
    <t xml:space="preserve">Posts assisted; events supported; hours logged</t>
  </si>
  <si>
    <t xml:space="preserve">Capacity + a paid-role pipeline</t>
  </si>
  <si>
    <t xml:space="preserve">Stipend / volunteer</t>
  </si>
  <si>
    <t xml:space="preserve">Volunteer agreement; content calendar</t>
  </si>
  <si>
    <t xml:space="preserve">No</t>
  </si>
  <si>
    <t xml:space="preserve">To recruit</t>
  </si>
  <si>
    <t xml:space="preserve">Intern — Delivery/Data</t>
  </si>
  <si>
    <t xml:space="preserve">Support pods, data entry/cleaning, QA assistance, documentation</t>
  </si>
  <si>
    <t xml:space="preserve">Tasks delivered; accuracy; hours logged</t>
  </si>
  <si>
    <t xml:space="preserve">Surge capacity + T1 pipeline</t>
  </si>
  <si>
    <t xml:space="preserve">SOW; data tools; QA checklist</t>
  </si>
  <si>
    <t xml:space="preserve">Intern — Admin/Front desk</t>
  </si>
  <si>
    <t xml:space="preserve">1–2 interns</t>
  </si>
  <si>
    <t xml:space="preserve">Reception support, filing, bookings, café support</t>
  </si>
  <si>
    <t xml:space="preserve">Shifts covered; visitor log accuracy</t>
  </si>
  <si>
    <t xml:space="preserve">Coverage + a paid-role pipeline</t>
  </si>
  <si>
    <t xml:space="preserve">Visitor log; booking sheet</t>
  </si>
  <si>
    <t xml:space="preserve">Executive Assistant Intern</t>
  </si>
  <si>
    <t xml:space="preserve">To recruit (now)</t>
  </si>
  <si>
    <t xml:space="preserve">Platform &amp; account registration (per the Registration Playbook), CEO diary &amp; inbox support, document filing, follow-ups, keeping the live registers current</t>
  </si>
  <si>
    <t xml:space="preserve">Platforms registered on time; register kept current; 0 missed renewals; follow-ups closed</t>
  </si>
  <si>
    <t xml:space="preserve">Gets Kayan registered, present, and findable everywhere — and frees the CEO</t>
  </si>
  <si>
    <t xml:space="preserve">Recruit now (pre-launch)</t>
  </si>
  <si>
    <t xml:space="preserve">Registration Playbook (KAY-OPS-REG-001); password manager; live registers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</si>
</sst>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D4F4F"/>
      <name val="Arial"/>
      <family val="0"/>
      <charset val="1"/>
    </font>
    <font>
      <b val="true"/>
      <sz val="10.5"/>
      <color rgb="FFC8962E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C8962E"/>
      <name val="Arial"/>
      <family val="0"/>
      <charset val="1"/>
    </font>
    <font>
      <sz val="9.5"/>
      <color rgb="FF222222"/>
      <name val="Arial"/>
      <family val="0"/>
      <charset val="1"/>
    </font>
    <font>
      <b val="true"/>
      <sz val="17"/>
      <color rgb="FF0D4F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222222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4F4F"/>
        <bgColor rgb="FF0B3A33"/>
      </patternFill>
    </fill>
    <fill>
      <patternFill patternType="solid">
        <fgColor rgb="FF5F8A6E"/>
        <bgColor rgb="FF6B6B6B"/>
      </patternFill>
    </fill>
    <fill>
      <patternFill patternType="solid">
        <fgColor rgb="FF2F6F8F"/>
        <bgColor rgb="FF008080"/>
      </patternFill>
    </fill>
    <fill>
      <patternFill patternType="solid">
        <fgColor rgb="FF6A4C7C"/>
        <bgColor rgb="FF6B6B6B"/>
      </patternFill>
    </fill>
    <fill>
      <patternFill patternType="solid">
        <fgColor rgb="FFC0633F"/>
        <bgColor rgb="FFB0496B"/>
      </patternFill>
    </fill>
    <fill>
      <patternFill patternType="solid">
        <fgColor rgb="FFC8962E"/>
        <bgColor rgb="FFC0633F"/>
      </patternFill>
    </fill>
    <fill>
      <patternFill patternType="solid">
        <fgColor rgb="FFB0496B"/>
        <bgColor rgb="FFC0633F"/>
      </patternFill>
    </fill>
    <fill>
      <patternFill patternType="solid">
        <fgColor rgb="FFF6F2EA"/>
        <bgColor rgb="FFFFFFFF"/>
      </patternFill>
    </fill>
    <fill>
      <patternFill patternType="solid">
        <fgColor rgb="FF6B6B6B"/>
        <bgColor rgb="FF6A4C7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FFFFFF"/>
      </font>
      <fill>
        <patternFill>
          <bgColor rgb="FFB0496B"/>
        </patternFill>
      </fill>
    </dxf>
    <dxf>
      <font>
        <b val="1"/>
        <color rgb="FFFFFFFF"/>
      </font>
      <fill>
        <patternFill>
          <bgColor rgb="FFC8962E"/>
        </patternFill>
      </fill>
    </dxf>
    <dxf>
      <font>
        <b val="1"/>
        <color rgb="FFFFFFFF"/>
      </font>
      <fill>
        <patternFill>
          <bgColor rgb="FF2F6F8F"/>
        </patternFill>
      </fill>
    </dxf>
    <dxf>
      <font>
        <b val="1"/>
        <color rgb="FFFFFFFF"/>
      </font>
      <fill>
        <patternFill>
          <bgColor rgb="FF5F8A6E"/>
        </patternFill>
      </fill>
    </dxf>
    <dxf>
      <font>
        <b val="1"/>
        <color rgb="FF0B3A33"/>
      </font>
      <fill>
        <patternFill>
          <bgColor rgb="FFD9EAD3"/>
        </patternFill>
      </fill>
    </dxf>
    <dxf>
      <font>
        <b val="1"/>
        <color rgb="FF7A4F00"/>
      </font>
      <fill>
        <patternFill>
          <bgColor rgb="FFFCE4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8F"/>
      <rgbColor rgb="FFC0C0C0"/>
      <rgbColor rgb="FF5F8A6E"/>
      <rgbColor rgb="FF9999FF"/>
      <rgbColor rgb="FFB0496B"/>
      <rgbColor rgb="FFF6F2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B6"/>
      <rgbColor rgb="FF3366FF"/>
      <rgbColor rgb="FF33CCCC"/>
      <rgbColor rgb="FF99CC00"/>
      <rgbColor rgb="FFFFCC00"/>
      <rgbColor rgb="FFC8962E"/>
      <rgbColor rgb="FFC0633F"/>
      <rgbColor rgb="FF6B6B6B"/>
      <rgbColor rgb="FF969696"/>
      <rgbColor rgb="FF0B3A33"/>
      <rgbColor rgb="FF339966"/>
      <rgbColor rgb="FF0D4F4F"/>
      <rgbColor rgb="FF333300"/>
      <rgbColor rgb="FF7A4F00"/>
      <rgbColor rgb="FF6A4C7C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6" min="3" style="1" width="22"/>
    <col collapsed="false" customWidth="true" hidden="false" outlineLevel="0" max="7" min="7" style="1" width="16"/>
  </cols>
  <sheetData>
    <row r="2" customFormat="false" ht="24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7" customFormat="false" ht="61.5" hidden="false" customHeight="true" outlineLevel="0" collapsed="false">
      <c r="B7" s="6" t="s">
        <v>4</v>
      </c>
      <c r="C7" s="6"/>
      <c r="D7" s="6"/>
      <c r="E7" s="6"/>
      <c r="F7" s="6"/>
      <c r="G7" s="6"/>
    </row>
    <row r="9" customFormat="false" ht="15" hidden="false" customHeight="true" outlineLevel="0" collapsed="false">
      <c r="B9" s="5" t="s">
        <v>5</v>
      </c>
    </row>
    <row r="10" customFormat="false" ht="61.5" hidden="false" customHeight="true" outlineLevel="0" collapsed="false">
      <c r="B10" s="6" t="s">
        <v>6</v>
      </c>
      <c r="C10" s="6"/>
      <c r="D10" s="6"/>
      <c r="E10" s="6"/>
      <c r="F10" s="6"/>
      <c r="G10" s="6"/>
    </row>
    <row r="12" customFormat="false" ht="15" hidden="false" customHeight="true" outlineLevel="0" collapsed="false">
      <c r="B12" s="5" t="s">
        <v>7</v>
      </c>
    </row>
    <row r="13" customFormat="false" ht="61.5" hidden="false" customHeight="true" outlineLevel="0" collapsed="false">
      <c r="B13" s="6" t="s">
        <v>8</v>
      </c>
      <c r="C13" s="6"/>
      <c r="D13" s="6"/>
      <c r="E13" s="6"/>
      <c r="F13" s="6"/>
      <c r="G13" s="6"/>
    </row>
    <row r="15" customFormat="false" ht="15" hidden="false" customHeight="true" outlineLevel="0" collapsed="false">
      <c r="B15" s="5" t="s">
        <v>9</v>
      </c>
    </row>
    <row r="16" customFormat="false" ht="61.5" hidden="false" customHeight="true" outlineLevel="0" collapsed="false">
      <c r="B16" s="6" t="s">
        <v>10</v>
      </c>
      <c r="C16" s="6"/>
      <c r="D16" s="6"/>
      <c r="E16" s="6"/>
      <c r="F16" s="6"/>
      <c r="G16" s="6"/>
    </row>
    <row r="18" customFormat="false" ht="15" hidden="false" customHeight="true" outlineLevel="0" collapsed="false">
      <c r="B18" s="5" t="s">
        <v>11</v>
      </c>
    </row>
    <row r="19" customFormat="false" ht="61.5" hidden="false" customHeight="true" outlineLevel="0" collapsed="false">
      <c r="B19" s="6" t="s">
        <v>12</v>
      </c>
      <c r="C19" s="6"/>
      <c r="D19" s="6"/>
      <c r="E19" s="6"/>
      <c r="F19" s="6"/>
      <c r="G19" s="6"/>
    </row>
    <row r="21" customFormat="false" ht="15" hidden="false" customHeight="true" outlineLevel="0" collapsed="false">
      <c r="B21" s="5" t="s">
        <v>13</v>
      </c>
    </row>
    <row r="22" customFormat="false" ht="61.5" hidden="false" customHeight="true" outlineLevel="0" collapsed="false">
      <c r="B22" s="6" t="s">
        <v>14</v>
      </c>
      <c r="C22" s="6"/>
      <c r="D22" s="6"/>
      <c r="E22" s="6"/>
      <c r="F22" s="6"/>
      <c r="G22" s="6"/>
    </row>
  </sheetData>
  <mergeCells count="6">
    <mergeCell ref="B7:G7"/>
    <mergeCell ref="B10:G10"/>
    <mergeCell ref="B13:G13"/>
    <mergeCell ref="B16:G16"/>
    <mergeCell ref="B19:G19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6" min="5" style="1" width="11"/>
    <col collapsed="false" customWidth="true" hidden="false" outlineLevel="0" max="7" min="7" style="1" width="9"/>
    <col collapsed="false" customWidth="true" hidden="false" outlineLevel="0" max="8" min="8" style="1" width="11"/>
    <col collapsed="false" customWidth="true" hidden="false" outlineLevel="0" max="9" min="9" style="1" width="7"/>
    <col collapsed="false" customWidth="true" hidden="false" outlineLevel="0" max="10" min="10" style="1" width="46"/>
    <col collapsed="false" customWidth="true" hidden="false" outlineLevel="0" max="11" min="11" style="1" width="32"/>
    <col collapsed="false" customWidth="true" hidden="false" outlineLevel="0" max="12" min="12" style="1" width="30"/>
  </cols>
  <sheetData>
    <row r="1" customFormat="false" ht="20.25" hidden="false" customHeight="true" outlineLevel="0" collapsed="false">
      <c r="A1" s="7" t="s">
        <v>15</v>
      </c>
    </row>
    <row r="2" customFormat="false" ht="15" hidden="false" customHeight="true" outlineLevel="0" collapsed="false">
      <c r="A2" s="3" t="s">
        <v>16</v>
      </c>
    </row>
    <row r="4" customFormat="false" ht="23.25" hidden="false" customHeight="true" outlineLevel="0" collapsed="false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  <c r="J4" s="8" t="s">
        <v>26</v>
      </c>
      <c r="K4" s="8" t="s">
        <v>27</v>
      </c>
      <c r="L4" s="8" t="s">
        <v>28</v>
      </c>
    </row>
    <row r="5" customFormat="false" ht="84" hidden="false" customHeight="true" outlineLevel="0" collapsed="false">
      <c r="A5" s="9" t="s">
        <v>29</v>
      </c>
      <c r="B5" s="10" t="s">
        <v>30</v>
      </c>
      <c r="C5" s="11" t="s">
        <v>31</v>
      </c>
      <c r="D5" s="10" t="s">
        <v>32</v>
      </c>
      <c r="E5" s="12" t="s">
        <v>33</v>
      </c>
      <c r="F5" s="9" t="s">
        <v>34</v>
      </c>
      <c r="G5" s="13" t="n">
        <f aca="false">ROUND(500*0.2,0)</f>
        <v>100</v>
      </c>
      <c r="H5" s="14" t="n">
        <v>120</v>
      </c>
      <c r="I5" s="15" t="n">
        <v>0.2</v>
      </c>
      <c r="J5" s="10" t="s">
        <v>35</v>
      </c>
      <c r="K5" s="10" t="s">
        <v>36</v>
      </c>
      <c r="L5" s="10" t="s">
        <v>37</v>
      </c>
    </row>
    <row r="6" customFormat="false" ht="84" hidden="false" customHeight="true" outlineLevel="0" collapsed="false">
      <c r="A6" s="9" t="s">
        <v>38</v>
      </c>
      <c r="B6" s="10" t="s">
        <v>39</v>
      </c>
      <c r="C6" s="11" t="s">
        <v>31</v>
      </c>
      <c r="D6" s="10" t="s">
        <v>40</v>
      </c>
      <c r="E6" s="12" t="s">
        <v>41</v>
      </c>
      <c r="F6" s="9" t="s">
        <v>42</v>
      </c>
      <c r="G6" s="13" t="n">
        <f aca="false">ROUND(950*0.2,0)</f>
        <v>190</v>
      </c>
      <c r="H6" s="14" t="n">
        <v>290</v>
      </c>
      <c r="I6" s="15" t="n">
        <v>0.2</v>
      </c>
      <c r="J6" s="10" t="s">
        <v>43</v>
      </c>
      <c r="K6" s="10" t="s">
        <v>44</v>
      </c>
      <c r="L6" s="10" t="s">
        <v>45</v>
      </c>
    </row>
    <row r="7" customFormat="false" ht="84" hidden="false" customHeight="true" outlineLevel="0" collapsed="false">
      <c r="A7" s="9" t="s">
        <v>46</v>
      </c>
      <c r="B7" s="10" t="s">
        <v>47</v>
      </c>
      <c r="C7" s="11" t="s">
        <v>31</v>
      </c>
      <c r="D7" s="10" t="s">
        <v>48</v>
      </c>
      <c r="E7" s="12" t="s">
        <v>33</v>
      </c>
      <c r="F7" s="9" t="s">
        <v>49</v>
      </c>
      <c r="G7" s="13" t="n">
        <f aca="false">ROUND(650*0.2,0)</f>
        <v>130</v>
      </c>
      <c r="H7" s="14" t="n">
        <v>200</v>
      </c>
      <c r="I7" s="15" t="n">
        <v>0.2</v>
      </c>
      <c r="J7" s="10" t="s">
        <v>50</v>
      </c>
      <c r="K7" s="10" t="s">
        <v>51</v>
      </c>
      <c r="L7" s="10" t="s">
        <v>52</v>
      </c>
    </row>
    <row r="8" customFormat="false" ht="84" hidden="false" customHeight="true" outlineLevel="0" collapsed="false">
      <c r="A8" s="9" t="s">
        <v>53</v>
      </c>
      <c r="B8" s="10" t="s">
        <v>54</v>
      </c>
      <c r="C8" s="11" t="s">
        <v>31</v>
      </c>
      <c r="D8" s="10" t="s">
        <v>55</v>
      </c>
      <c r="E8" s="12" t="s">
        <v>56</v>
      </c>
      <c r="F8" s="9" t="s">
        <v>57</v>
      </c>
      <c r="G8" s="13" t="n">
        <f aca="false">ROUND(280*0.2,0)</f>
        <v>56</v>
      </c>
      <c r="H8" s="14" t="n">
        <v>90</v>
      </c>
      <c r="I8" s="15" t="n">
        <v>0.2</v>
      </c>
      <c r="J8" s="10" t="s">
        <v>58</v>
      </c>
      <c r="K8" s="10" t="s">
        <v>59</v>
      </c>
      <c r="L8" s="10" t="s">
        <v>60</v>
      </c>
    </row>
    <row r="9" customFormat="false" ht="84" hidden="false" customHeight="true" outlineLevel="0" collapsed="false">
      <c r="A9" s="9" t="s">
        <v>61</v>
      </c>
      <c r="B9" s="10" t="s">
        <v>62</v>
      </c>
      <c r="C9" s="16" t="s">
        <v>63</v>
      </c>
      <c r="D9" s="10" t="s">
        <v>64</v>
      </c>
      <c r="E9" s="12" t="s">
        <v>41</v>
      </c>
      <c r="F9" s="9" t="s">
        <v>65</v>
      </c>
      <c r="G9" s="13" t="n">
        <f aca="false">ROUND(1200*0.2,0)</f>
        <v>240</v>
      </c>
      <c r="H9" s="14" t="n">
        <v>360</v>
      </c>
      <c r="I9" s="15" t="n">
        <v>0.2</v>
      </c>
      <c r="J9" s="10" t="s">
        <v>66</v>
      </c>
      <c r="K9" s="10" t="s">
        <v>67</v>
      </c>
      <c r="L9" s="10" t="s">
        <v>68</v>
      </c>
    </row>
    <row r="10" customFormat="false" ht="84" hidden="false" customHeight="true" outlineLevel="0" collapsed="false">
      <c r="A10" s="9" t="s">
        <v>69</v>
      </c>
      <c r="B10" s="10" t="s">
        <v>70</v>
      </c>
      <c r="C10" s="17" t="s">
        <v>63</v>
      </c>
      <c r="D10" s="10" t="s">
        <v>71</v>
      </c>
      <c r="E10" s="12" t="s">
        <v>72</v>
      </c>
      <c r="F10" s="9" t="s">
        <v>73</v>
      </c>
      <c r="G10" s="13" t="n">
        <f aca="false">ROUND(2000*0.2,0)</f>
        <v>400</v>
      </c>
      <c r="H10" s="14" t="n">
        <v>650</v>
      </c>
      <c r="I10" s="15" t="n">
        <v>0.2</v>
      </c>
      <c r="J10" s="10" t="s">
        <v>74</v>
      </c>
      <c r="K10" s="10" t="s">
        <v>75</v>
      </c>
      <c r="L10" s="10" t="s">
        <v>76</v>
      </c>
    </row>
    <row r="11" customFormat="false" ht="84" hidden="false" customHeight="true" outlineLevel="0" collapsed="false">
      <c r="A11" s="9" t="s">
        <v>77</v>
      </c>
      <c r="B11" s="10" t="s">
        <v>78</v>
      </c>
      <c r="C11" s="16" t="s">
        <v>63</v>
      </c>
      <c r="D11" s="10" t="s">
        <v>64</v>
      </c>
      <c r="E11" s="12" t="s">
        <v>79</v>
      </c>
      <c r="F11" s="9" t="s">
        <v>80</v>
      </c>
      <c r="G11" s="13" t="n">
        <f aca="false">ROUND(1600*0.2,0)</f>
        <v>320</v>
      </c>
      <c r="H11" s="14" t="n">
        <v>520</v>
      </c>
      <c r="I11" s="15" t="n">
        <v>0.2</v>
      </c>
      <c r="J11" s="10" t="s">
        <v>81</v>
      </c>
      <c r="K11" s="10" t="s">
        <v>82</v>
      </c>
      <c r="L11" s="10" t="s">
        <v>83</v>
      </c>
    </row>
    <row r="12" customFormat="false" ht="84" hidden="false" customHeight="true" outlineLevel="0" collapsed="false">
      <c r="A12" s="9" t="s">
        <v>84</v>
      </c>
      <c r="B12" s="10" t="s">
        <v>85</v>
      </c>
      <c r="C12" s="17" t="s">
        <v>63</v>
      </c>
      <c r="D12" s="10" t="s">
        <v>86</v>
      </c>
      <c r="E12" s="12" t="s">
        <v>87</v>
      </c>
      <c r="F12" s="9" t="s">
        <v>88</v>
      </c>
      <c r="G12" s="13" t="n">
        <f aca="false">ROUND(3800*0.2,0)</f>
        <v>760</v>
      </c>
      <c r="H12" s="14" t="n">
        <v>1500</v>
      </c>
      <c r="I12" s="15" t="n">
        <v>0.2</v>
      </c>
      <c r="J12" s="10" t="s">
        <v>89</v>
      </c>
      <c r="K12" s="10" t="s">
        <v>90</v>
      </c>
      <c r="L12" s="10" t="s">
        <v>91</v>
      </c>
    </row>
    <row r="13" customFormat="false" ht="84" hidden="false" customHeight="true" outlineLevel="0" collapsed="false">
      <c r="A13" s="9" t="s">
        <v>92</v>
      </c>
      <c r="B13" s="10" t="s">
        <v>93</v>
      </c>
      <c r="C13" s="17" t="s">
        <v>63</v>
      </c>
      <c r="D13" s="10" t="s">
        <v>94</v>
      </c>
      <c r="E13" s="12" t="s">
        <v>95</v>
      </c>
      <c r="F13" s="9" t="s">
        <v>96</v>
      </c>
      <c r="G13" s="13" t="n">
        <f aca="false">ROUND(5500*0.2,0)</f>
        <v>1100</v>
      </c>
      <c r="H13" s="14" t="n">
        <v>2200</v>
      </c>
      <c r="I13" s="15" t="n">
        <v>0.2</v>
      </c>
      <c r="J13" s="10" t="s">
        <v>97</v>
      </c>
      <c r="K13" s="10" t="s">
        <v>98</v>
      </c>
      <c r="L13" s="10" t="s">
        <v>99</v>
      </c>
    </row>
    <row r="14" customFormat="false" ht="84" hidden="false" customHeight="true" outlineLevel="0" collapsed="false">
      <c r="A14" s="9" t="s">
        <v>100</v>
      </c>
      <c r="B14" s="10" t="s">
        <v>101</v>
      </c>
      <c r="C14" s="17" t="s">
        <v>63</v>
      </c>
      <c r="D14" s="10" t="s">
        <v>102</v>
      </c>
      <c r="E14" s="12" t="s">
        <v>103</v>
      </c>
      <c r="F14" s="9" t="s">
        <v>104</v>
      </c>
      <c r="G14" s="13" t="n">
        <f aca="false">ROUND(500*0.2,0)</f>
        <v>100</v>
      </c>
      <c r="H14" s="14" t="n">
        <v>150</v>
      </c>
      <c r="I14" s="15" t="n">
        <v>0.2</v>
      </c>
      <c r="J14" s="10" t="s">
        <v>105</v>
      </c>
      <c r="K14" s="10" t="s">
        <v>106</v>
      </c>
      <c r="L14" s="10" t="s">
        <v>107</v>
      </c>
    </row>
    <row r="15" customFormat="false" ht="84" hidden="false" customHeight="true" outlineLevel="0" collapsed="false">
      <c r="A15" s="9" t="s">
        <v>108</v>
      </c>
      <c r="B15" s="10" t="s">
        <v>109</v>
      </c>
      <c r="C15" s="17" t="s">
        <v>63</v>
      </c>
      <c r="D15" s="10" t="s">
        <v>110</v>
      </c>
      <c r="E15" s="12" t="s">
        <v>33</v>
      </c>
      <c r="F15" s="9" t="s">
        <v>111</v>
      </c>
      <c r="G15" s="13" t="n">
        <f aca="false">ROUND(750*0.2,0)</f>
        <v>150</v>
      </c>
      <c r="H15" s="14" t="n">
        <v>230</v>
      </c>
      <c r="I15" s="15" t="n">
        <v>0.2</v>
      </c>
      <c r="J15" s="10" t="s">
        <v>112</v>
      </c>
      <c r="K15" s="10" t="s">
        <v>113</v>
      </c>
      <c r="L15" s="10" t="s">
        <v>114</v>
      </c>
    </row>
    <row r="16" customFormat="false" ht="84" hidden="false" customHeight="true" outlineLevel="0" collapsed="false">
      <c r="A16" s="9" t="s">
        <v>115</v>
      </c>
      <c r="B16" s="10" t="s">
        <v>116</v>
      </c>
      <c r="C16" s="16" t="s">
        <v>117</v>
      </c>
      <c r="D16" s="10" t="s">
        <v>118</v>
      </c>
      <c r="E16" s="12" t="s">
        <v>33</v>
      </c>
      <c r="F16" s="9" t="s">
        <v>111</v>
      </c>
      <c r="G16" s="13" t="n">
        <f aca="false">ROUND(750*0.2,0)</f>
        <v>150</v>
      </c>
      <c r="H16" s="14" t="n">
        <v>200</v>
      </c>
      <c r="I16" s="15" t="n">
        <v>0.2</v>
      </c>
      <c r="J16" s="10" t="s">
        <v>119</v>
      </c>
      <c r="K16" s="10" t="s">
        <v>120</v>
      </c>
      <c r="L16" s="10" t="s">
        <v>121</v>
      </c>
    </row>
    <row r="17" customFormat="false" ht="84" hidden="false" customHeight="true" outlineLevel="0" collapsed="false">
      <c r="A17" s="9" t="s">
        <v>122</v>
      </c>
      <c r="B17" s="10" t="s">
        <v>123</v>
      </c>
      <c r="C17" s="11" t="s">
        <v>117</v>
      </c>
      <c r="D17" s="10" t="s">
        <v>124</v>
      </c>
      <c r="E17" s="12" t="s">
        <v>103</v>
      </c>
      <c r="F17" s="9" t="s">
        <v>125</v>
      </c>
      <c r="G17" s="13" t="n">
        <f aca="false">ROUND(400*0.2,0)</f>
        <v>80</v>
      </c>
      <c r="H17" s="14" t="n">
        <v>110</v>
      </c>
      <c r="I17" s="15" t="n">
        <v>0.2</v>
      </c>
      <c r="J17" s="10" t="s">
        <v>126</v>
      </c>
      <c r="K17" s="10" t="s">
        <v>127</v>
      </c>
      <c r="L17" s="10" t="s">
        <v>128</v>
      </c>
    </row>
    <row r="18" customFormat="false" ht="84" hidden="false" customHeight="true" outlineLevel="0" collapsed="false">
      <c r="A18" s="9" t="s">
        <v>129</v>
      </c>
      <c r="B18" s="10" t="s">
        <v>130</v>
      </c>
      <c r="C18" s="11" t="s">
        <v>117</v>
      </c>
      <c r="D18" s="10" t="s">
        <v>118</v>
      </c>
      <c r="E18" s="12" t="s">
        <v>103</v>
      </c>
      <c r="F18" s="9" t="s">
        <v>131</v>
      </c>
      <c r="G18" s="13" t="n">
        <f aca="false">ROUND(550*0.2,0)</f>
        <v>110</v>
      </c>
      <c r="H18" s="14" t="n">
        <v>160</v>
      </c>
      <c r="I18" s="15" t="n">
        <v>0.2</v>
      </c>
      <c r="J18" s="10" t="s">
        <v>132</v>
      </c>
      <c r="K18" s="10" t="s">
        <v>133</v>
      </c>
      <c r="L18" s="10" t="s">
        <v>134</v>
      </c>
    </row>
    <row r="19" customFormat="false" ht="84" hidden="false" customHeight="true" outlineLevel="0" collapsed="false">
      <c r="A19" s="9" t="s">
        <v>135</v>
      </c>
      <c r="B19" s="10" t="s">
        <v>136</v>
      </c>
      <c r="C19" s="16" t="s">
        <v>117</v>
      </c>
      <c r="D19" s="10" t="s">
        <v>137</v>
      </c>
      <c r="E19" s="12" t="s">
        <v>33</v>
      </c>
      <c r="F19" s="9" t="s">
        <v>138</v>
      </c>
      <c r="G19" s="13" t="n">
        <f aca="false">ROUND(550*0.2,0)</f>
        <v>110</v>
      </c>
      <c r="H19" s="14" t="n">
        <v>170</v>
      </c>
      <c r="I19" s="15" t="n">
        <v>0.2</v>
      </c>
      <c r="J19" s="10" t="s">
        <v>139</v>
      </c>
      <c r="K19" s="10" t="s">
        <v>140</v>
      </c>
      <c r="L19" s="10" t="s">
        <v>141</v>
      </c>
    </row>
    <row r="20" customFormat="false" ht="84" hidden="false" customHeight="true" outlineLevel="0" collapsed="false">
      <c r="A20" s="9" t="s">
        <v>142</v>
      </c>
      <c r="B20" s="10" t="s">
        <v>143</v>
      </c>
      <c r="C20" s="16" t="s">
        <v>117</v>
      </c>
      <c r="D20" s="10" t="s">
        <v>144</v>
      </c>
      <c r="E20" s="12" t="s">
        <v>103</v>
      </c>
      <c r="F20" s="9" t="s">
        <v>145</v>
      </c>
      <c r="G20" s="13" t="n">
        <f aca="false">ROUND(500*0.2,0)</f>
        <v>100</v>
      </c>
      <c r="H20" s="14" t="n">
        <v>150</v>
      </c>
      <c r="I20" s="15" t="n">
        <v>0.2</v>
      </c>
      <c r="J20" s="10" t="s">
        <v>146</v>
      </c>
      <c r="K20" s="10" t="s">
        <v>147</v>
      </c>
      <c r="L20" s="10" t="s">
        <v>148</v>
      </c>
    </row>
    <row r="21" customFormat="false" ht="84" hidden="false" customHeight="true" outlineLevel="0" collapsed="false">
      <c r="A21" s="9" t="s">
        <v>149</v>
      </c>
      <c r="B21" s="10" t="s">
        <v>150</v>
      </c>
      <c r="C21" s="16" t="s">
        <v>151</v>
      </c>
      <c r="D21" s="10" t="s">
        <v>152</v>
      </c>
      <c r="E21" s="12" t="s">
        <v>56</v>
      </c>
      <c r="F21" s="9" t="s">
        <v>153</v>
      </c>
      <c r="G21" s="13" t="n">
        <f aca="false">ROUND(300*0.2,0)</f>
        <v>60</v>
      </c>
      <c r="H21" s="14" t="n">
        <v>90</v>
      </c>
      <c r="I21" s="15" t="n">
        <v>0.2</v>
      </c>
      <c r="J21" s="10" t="s">
        <v>154</v>
      </c>
      <c r="K21" s="10" t="s">
        <v>155</v>
      </c>
      <c r="L21" s="10" t="s">
        <v>156</v>
      </c>
    </row>
    <row r="22" customFormat="false" ht="84" hidden="false" customHeight="true" outlineLevel="0" collapsed="false">
      <c r="A22" s="9" t="s">
        <v>157</v>
      </c>
      <c r="B22" s="10" t="s">
        <v>158</v>
      </c>
      <c r="C22" s="16" t="s">
        <v>151</v>
      </c>
      <c r="D22" s="10" t="s">
        <v>159</v>
      </c>
      <c r="E22" s="12" t="s">
        <v>160</v>
      </c>
      <c r="F22" s="9" t="s">
        <v>161</v>
      </c>
      <c r="G22" s="13" t="n">
        <f aca="false">ROUND(450*0.2,0)</f>
        <v>90</v>
      </c>
      <c r="H22" s="14" t="n">
        <v>120</v>
      </c>
      <c r="I22" s="15" t="n">
        <v>0.2</v>
      </c>
      <c r="J22" s="10" t="s">
        <v>162</v>
      </c>
      <c r="K22" s="10" t="s">
        <v>163</v>
      </c>
      <c r="L22" s="10" t="s">
        <v>164</v>
      </c>
    </row>
    <row r="23" customFormat="false" ht="84" hidden="false" customHeight="true" outlineLevel="0" collapsed="false">
      <c r="A23" s="9" t="s">
        <v>165</v>
      </c>
      <c r="B23" s="10" t="s">
        <v>166</v>
      </c>
      <c r="C23" s="16" t="s">
        <v>151</v>
      </c>
      <c r="D23" s="10" t="s">
        <v>167</v>
      </c>
      <c r="E23" s="12" t="s">
        <v>168</v>
      </c>
      <c r="F23" s="9" t="s">
        <v>169</v>
      </c>
      <c r="G23" s="13" t="n">
        <f aca="false">ROUND(1100*0.2,0)</f>
        <v>220</v>
      </c>
      <c r="H23" s="14" t="n">
        <v>340</v>
      </c>
      <c r="I23" s="15" t="n">
        <v>0.2</v>
      </c>
      <c r="J23" s="10" t="s">
        <v>170</v>
      </c>
      <c r="K23" s="10" t="s">
        <v>171</v>
      </c>
      <c r="L23" s="10" t="s">
        <v>172</v>
      </c>
    </row>
    <row r="24" customFormat="false" ht="84" hidden="false" customHeight="true" outlineLevel="0" collapsed="false">
      <c r="A24" s="9" t="s">
        <v>173</v>
      </c>
      <c r="B24" s="10" t="s">
        <v>174</v>
      </c>
      <c r="C24" s="16" t="s">
        <v>151</v>
      </c>
      <c r="D24" s="10" t="s">
        <v>175</v>
      </c>
      <c r="E24" s="12" t="s">
        <v>176</v>
      </c>
      <c r="F24" s="9" t="s">
        <v>177</v>
      </c>
      <c r="G24" s="13" t="n">
        <f aca="false">ROUND(900*0.2,0)</f>
        <v>180</v>
      </c>
      <c r="H24" s="14" t="n">
        <v>280</v>
      </c>
      <c r="I24" s="15" t="n">
        <v>0.2</v>
      </c>
      <c r="J24" s="10" t="s">
        <v>178</v>
      </c>
      <c r="K24" s="10" t="s">
        <v>179</v>
      </c>
      <c r="L24" s="10" t="s">
        <v>180</v>
      </c>
    </row>
    <row r="25" customFormat="false" ht="84" hidden="false" customHeight="true" outlineLevel="0" collapsed="false">
      <c r="A25" s="9" t="s">
        <v>181</v>
      </c>
      <c r="B25" s="10" t="s">
        <v>182</v>
      </c>
      <c r="C25" s="18" t="s">
        <v>183</v>
      </c>
      <c r="D25" s="10" t="s">
        <v>184</v>
      </c>
      <c r="E25" s="12" t="s">
        <v>33</v>
      </c>
      <c r="F25" s="9" t="s">
        <v>185</v>
      </c>
      <c r="G25" s="13" t="n">
        <f aca="false">ROUND(600*0.2,0)</f>
        <v>120</v>
      </c>
      <c r="H25" s="14" t="n">
        <v>180</v>
      </c>
      <c r="I25" s="15" t="n">
        <v>0.2</v>
      </c>
      <c r="J25" s="10" t="s">
        <v>186</v>
      </c>
      <c r="K25" s="10" t="s">
        <v>187</v>
      </c>
      <c r="L25" s="10" t="s">
        <v>188</v>
      </c>
    </row>
    <row r="26" customFormat="false" ht="84" hidden="false" customHeight="true" outlineLevel="0" collapsed="false">
      <c r="A26" s="9" t="s">
        <v>189</v>
      </c>
      <c r="B26" s="10" t="s">
        <v>190</v>
      </c>
      <c r="C26" s="18" t="s">
        <v>183</v>
      </c>
      <c r="D26" s="10" t="s">
        <v>191</v>
      </c>
      <c r="E26" s="12" t="s">
        <v>41</v>
      </c>
      <c r="F26" s="9" t="s">
        <v>192</v>
      </c>
      <c r="G26" s="13" t="n">
        <f aca="false">ROUND(1400*0.2,0)</f>
        <v>280</v>
      </c>
      <c r="H26" s="14" t="n">
        <v>460</v>
      </c>
      <c r="I26" s="15" t="n">
        <v>0.2</v>
      </c>
      <c r="J26" s="10" t="s">
        <v>193</v>
      </c>
      <c r="K26" s="10" t="s">
        <v>194</v>
      </c>
      <c r="L26" s="10" t="s">
        <v>195</v>
      </c>
    </row>
    <row r="27" customFormat="false" ht="84" hidden="false" customHeight="true" outlineLevel="0" collapsed="false">
      <c r="A27" s="9" t="s">
        <v>196</v>
      </c>
      <c r="B27" s="10" t="s">
        <v>197</v>
      </c>
      <c r="C27" s="18" t="s">
        <v>183</v>
      </c>
      <c r="D27" s="10" t="s">
        <v>198</v>
      </c>
      <c r="E27" s="12" t="s">
        <v>72</v>
      </c>
      <c r="F27" s="9" t="s">
        <v>199</v>
      </c>
      <c r="G27" s="13" t="n">
        <f aca="false">ROUND(2400*0.2,0)</f>
        <v>480</v>
      </c>
      <c r="H27" s="14" t="n">
        <v>820</v>
      </c>
      <c r="I27" s="15" t="n">
        <v>0.2</v>
      </c>
      <c r="J27" s="10" t="s">
        <v>200</v>
      </c>
      <c r="K27" s="10" t="s">
        <v>201</v>
      </c>
      <c r="L27" s="10" t="s">
        <v>202</v>
      </c>
    </row>
    <row r="28" customFormat="false" ht="84" hidden="false" customHeight="true" outlineLevel="0" collapsed="false">
      <c r="A28" s="9" t="s">
        <v>203</v>
      </c>
      <c r="B28" s="10" t="s">
        <v>204</v>
      </c>
      <c r="C28" s="18" t="s">
        <v>183</v>
      </c>
      <c r="D28" s="10" t="s">
        <v>205</v>
      </c>
      <c r="E28" s="12" t="s">
        <v>176</v>
      </c>
      <c r="F28" s="9" t="s">
        <v>206</v>
      </c>
      <c r="G28" s="13" t="n">
        <f aca="false">ROUND(700*0.2,0)</f>
        <v>140</v>
      </c>
      <c r="H28" s="14" t="n">
        <v>210</v>
      </c>
      <c r="I28" s="15" t="n">
        <v>0.2</v>
      </c>
      <c r="J28" s="10" t="s">
        <v>207</v>
      </c>
      <c r="K28" s="10" t="s">
        <v>208</v>
      </c>
      <c r="L28" s="10" t="s">
        <v>209</v>
      </c>
    </row>
    <row r="29" customFormat="false" ht="84" hidden="false" customHeight="true" outlineLevel="0" collapsed="false">
      <c r="A29" s="9" t="s">
        <v>210</v>
      </c>
      <c r="B29" s="10" t="s">
        <v>211</v>
      </c>
      <c r="C29" s="19" t="s">
        <v>212</v>
      </c>
      <c r="D29" s="10" t="s">
        <v>213</v>
      </c>
      <c r="E29" s="12" t="s">
        <v>103</v>
      </c>
      <c r="F29" s="9" t="s">
        <v>125</v>
      </c>
      <c r="G29" s="13" t="n">
        <f aca="false">ROUND(400*0.2,0)</f>
        <v>80</v>
      </c>
      <c r="H29" s="14" t="n">
        <v>130</v>
      </c>
      <c r="I29" s="15" t="n">
        <v>0.2</v>
      </c>
      <c r="J29" s="10" t="s">
        <v>214</v>
      </c>
      <c r="K29" s="10" t="s">
        <v>215</v>
      </c>
      <c r="L29" s="10" t="s">
        <v>216</v>
      </c>
    </row>
    <row r="30" customFormat="false" ht="84" hidden="false" customHeight="true" outlineLevel="0" collapsed="false">
      <c r="A30" s="9" t="s">
        <v>217</v>
      </c>
      <c r="B30" s="10" t="s">
        <v>218</v>
      </c>
      <c r="C30" s="19" t="s">
        <v>212</v>
      </c>
      <c r="D30" s="10" t="s">
        <v>219</v>
      </c>
      <c r="E30" s="12" t="s">
        <v>33</v>
      </c>
      <c r="F30" s="9" t="s">
        <v>220</v>
      </c>
      <c r="G30" s="13" t="n">
        <f aca="false">ROUND(850*0.2,0)</f>
        <v>170</v>
      </c>
      <c r="H30" s="14" t="n">
        <v>260</v>
      </c>
      <c r="I30" s="15" t="n">
        <v>0.2</v>
      </c>
      <c r="J30" s="10" t="s">
        <v>221</v>
      </c>
      <c r="K30" s="10" t="s">
        <v>222</v>
      </c>
      <c r="L30" s="10" t="s">
        <v>223</v>
      </c>
    </row>
    <row r="31" customFormat="false" ht="84" hidden="false" customHeight="true" outlineLevel="0" collapsed="false">
      <c r="A31" s="9" t="s">
        <v>224</v>
      </c>
      <c r="B31" s="10" t="s">
        <v>225</v>
      </c>
      <c r="C31" s="19" t="s">
        <v>212</v>
      </c>
      <c r="D31" s="10" t="s">
        <v>226</v>
      </c>
      <c r="E31" s="12" t="s">
        <v>103</v>
      </c>
      <c r="F31" s="9" t="s">
        <v>227</v>
      </c>
      <c r="G31" s="13" t="n">
        <f aca="false">ROUND(450*0.2,0)</f>
        <v>90</v>
      </c>
      <c r="H31" s="14" t="n">
        <v>150</v>
      </c>
      <c r="I31" s="15" t="n">
        <v>0.2</v>
      </c>
      <c r="J31" s="10" t="s">
        <v>228</v>
      </c>
      <c r="K31" s="10" t="s">
        <v>229</v>
      </c>
      <c r="L31" s="10" t="s">
        <v>230</v>
      </c>
    </row>
    <row r="32" customFormat="false" ht="84" hidden="false" customHeight="true" outlineLevel="0" collapsed="false">
      <c r="A32" s="9" t="s">
        <v>231</v>
      </c>
      <c r="B32" s="10" t="s">
        <v>232</v>
      </c>
      <c r="C32" s="19" t="s">
        <v>212</v>
      </c>
      <c r="D32" s="10" t="s">
        <v>233</v>
      </c>
      <c r="E32" s="12" t="s">
        <v>103</v>
      </c>
      <c r="F32" s="9" t="s">
        <v>234</v>
      </c>
      <c r="G32" s="13" t="n">
        <f aca="false">ROUND(650*0.2,0)</f>
        <v>130</v>
      </c>
      <c r="H32" s="14" t="n">
        <v>220</v>
      </c>
      <c r="I32" s="15" t="n">
        <v>0.2</v>
      </c>
      <c r="J32" s="10" t="s">
        <v>235</v>
      </c>
      <c r="K32" s="10" t="s">
        <v>236</v>
      </c>
      <c r="L32" s="10" t="s">
        <v>237</v>
      </c>
    </row>
    <row r="33" customFormat="false" ht="84" hidden="false" customHeight="true" outlineLevel="0" collapsed="false">
      <c r="A33" s="9" t="s">
        <v>238</v>
      </c>
      <c r="B33" s="10" t="s">
        <v>239</v>
      </c>
      <c r="C33" s="19" t="s">
        <v>212</v>
      </c>
      <c r="D33" s="10" t="s">
        <v>240</v>
      </c>
      <c r="E33" s="12" t="s">
        <v>241</v>
      </c>
      <c r="F33" s="9" t="s">
        <v>242</v>
      </c>
      <c r="G33" s="13" t="n">
        <f aca="false">ROUND(1300*0.2,0)</f>
        <v>260</v>
      </c>
      <c r="H33" s="14" t="n">
        <v>430</v>
      </c>
      <c r="I33" s="15" t="n">
        <v>0.2</v>
      </c>
      <c r="J33" s="10" t="s">
        <v>243</v>
      </c>
      <c r="K33" s="10" t="s">
        <v>244</v>
      </c>
      <c r="L33" s="10" t="s">
        <v>245</v>
      </c>
    </row>
    <row r="34" customFormat="false" ht="84" hidden="false" customHeight="true" outlineLevel="0" collapsed="false">
      <c r="A34" s="9" t="s">
        <v>246</v>
      </c>
      <c r="B34" s="10" t="s">
        <v>247</v>
      </c>
      <c r="C34" s="20" t="s">
        <v>248</v>
      </c>
      <c r="D34" s="10" t="s">
        <v>249</v>
      </c>
      <c r="E34" s="12" t="s">
        <v>250</v>
      </c>
      <c r="F34" s="9" t="s">
        <v>251</v>
      </c>
      <c r="G34" s="13" t="n">
        <f aca="false">ROUND(1200*0.2,0)</f>
        <v>240</v>
      </c>
      <c r="H34" s="14" t="n">
        <v>360</v>
      </c>
      <c r="I34" s="15" t="n">
        <v>0.2</v>
      </c>
      <c r="J34" s="10" t="s">
        <v>252</v>
      </c>
      <c r="K34" s="10" t="s">
        <v>253</v>
      </c>
      <c r="L34" s="10" t="s">
        <v>254</v>
      </c>
    </row>
    <row r="35" customFormat="false" ht="84" hidden="false" customHeight="true" outlineLevel="0" collapsed="false">
      <c r="A35" s="9" t="s">
        <v>255</v>
      </c>
      <c r="B35" s="10" t="s">
        <v>256</v>
      </c>
      <c r="C35" s="21" t="s">
        <v>257</v>
      </c>
      <c r="D35" s="10" t="s">
        <v>258</v>
      </c>
      <c r="E35" s="12" t="s">
        <v>168</v>
      </c>
      <c r="F35" s="9" t="s">
        <v>259</v>
      </c>
      <c r="G35" s="13" t="n">
        <f aca="false">ROUND(680*0.2,0)</f>
        <v>136</v>
      </c>
      <c r="H35" s="14" t="n">
        <v>200</v>
      </c>
      <c r="I35" s="15" t="n">
        <v>0.2</v>
      </c>
      <c r="J35" s="10" t="s">
        <v>260</v>
      </c>
      <c r="K35" s="10" t="s">
        <v>261</v>
      </c>
      <c r="L35" s="10" t="s">
        <v>262</v>
      </c>
    </row>
    <row r="36" customFormat="false" ht="84" hidden="false" customHeight="true" outlineLevel="0" collapsed="false">
      <c r="A36" s="9" t="s">
        <v>263</v>
      </c>
      <c r="B36" s="10" t="s">
        <v>264</v>
      </c>
      <c r="C36" s="21" t="s">
        <v>257</v>
      </c>
      <c r="D36" s="10" t="s">
        <v>265</v>
      </c>
      <c r="E36" s="12" t="s">
        <v>266</v>
      </c>
      <c r="F36" s="9" t="s">
        <v>267</v>
      </c>
      <c r="G36" s="13" t="n">
        <f aca="false">ROUND(3500*0.2,0)</f>
        <v>700</v>
      </c>
      <c r="H36" s="14" t="n">
        <v>1200</v>
      </c>
      <c r="I36" s="15" t="n">
        <v>0.2</v>
      </c>
      <c r="J36" s="10" t="s">
        <v>268</v>
      </c>
      <c r="K36" s="10" t="s">
        <v>269</v>
      </c>
      <c r="L36" s="10" t="s">
        <v>270</v>
      </c>
    </row>
    <row r="37" customFormat="false" ht="84" hidden="false" customHeight="true" outlineLevel="0" collapsed="false">
      <c r="A37" s="9" t="s">
        <v>271</v>
      </c>
      <c r="B37" s="10" t="s">
        <v>272</v>
      </c>
      <c r="C37" s="21" t="s">
        <v>257</v>
      </c>
      <c r="D37" s="10" t="s">
        <v>273</v>
      </c>
      <c r="E37" s="12" t="s">
        <v>274</v>
      </c>
      <c r="F37" s="9" t="s">
        <v>275</v>
      </c>
      <c r="G37" s="13" t="n">
        <f aca="false">ROUND(1500*0.2,0)</f>
        <v>300</v>
      </c>
      <c r="H37" s="14" t="n">
        <v>470</v>
      </c>
      <c r="I37" s="15" t="n">
        <v>0.2</v>
      </c>
      <c r="J37" s="10" t="s">
        <v>276</v>
      </c>
      <c r="K37" s="10" t="s">
        <v>277</v>
      </c>
      <c r="L37" s="10" t="s">
        <v>278</v>
      </c>
    </row>
    <row r="38" customFormat="false" ht="84" hidden="false" customHeight="true" outlineLevel="0" collapsed="false">
      <c r="A38" s="9" t="s">
        <v>279</v>
      </c>
      <c r="B38" s="10" t="s">
        <v>280</v>
      </c>
      <c r="C38" s="21" t="s">
        <v>257</v>
      </c>
      <c r="D38" s="10" t="s">
        <v>281</v>
      </c>
      <c r="E38" s="12" t="s">
        <v>266</v>
      </c>
      <c r="F38" s="9" t="s">
        <v>88</v>
      </c>
      <c r="G38" s="13" t="n">
        <f aca="false">ROUND(3800*0.2,0)</f>
        <v>760</v>
      </c>
      <c r="H38" s="14" t="n">
        <v>1300</v>
      </c>
      <c r="I38" s="15" t="n">
        <v>0.2</v>
      </c>
      <c r="J38" s="10" t="s">
        <v>282</v>
      </c>
      <c r="K38" s="10" t="s">
        <v>283</v>
      </c>
      <c r="L38" s="10" t="s">
        <v>284</v>
      </c>
    </row>
    <row r="39" customFormat="false" ht="84" hidden="false" customHeight="true" outlineLevel="0" collapsed="false">
      <c r="A39" s="9" t="s">
        <v>285</v>
      </c>
      <c r="B39" s="10" t="s">
        <v>286</v>
      </c>
      <c r="C39" s="21" t="s">
        <v>257</v>
      </c>
      <c r="D39" s="10" t="s">
        <v>287</v>
      </c>
      <c r="E39" s="12" t="s">
        <v>33</v>
      </c>
      <c r="F39" s="9" t="s">
        <v>177</v>
      </c>
      <c r="G39" s="13" t="n">
        <f aca="false">ROUND(900*0.2,0)</f>
        <v>180</v>
      </c>
      <c r="H39" s="14" t="n">
        <v>280</v>
      </c>
      <c r="I39" s="15" t="n">
        <v>0.2</v>
      </c>
      <c r="J39" s="10" t="s">
        <v>288</v>
      </c>
      <c r="K39" s="10" t="s">
        <v>289</v>
      </c>
      <c r="L39" s="10" t="s">
        <v>290</v>
      </c>
    </row>
    <row r="41" customFormat="false" ht="43.5" hidden="false" customHeight="true" outlineLevel="0" collapsed="false">
      <c r="A41" s="22" t="s">
        <v>291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</row>
  </sheetData>
  <mergeCells count="1">
    <mergeCell ref="A41:L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33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20.25" hidden="false" customHeight="true" outlineLevel="0" collapsed="false">
      <c r="A1" s="7" t="s">
        <v>292</v>
      </c>
    </row>
    <row r="2" customFormat="false" ht="15" hidden="false" customHeight="true" outlineLevel="0" collapsed="false">
      <c r="A2" s="3" t="s">
        <v>293</v>
      </c>
    </row>
    <row r="4" customFormat="false" ht="15" hidden="false" customHeight="true" outlineLevel="0" collapsed="false">
      <c r="A4" s="8" t="s">
        <v>294</v>
      </c>
      <c r="B4" s="8" t="s">
        <v>295</v>
      </c>
      <c r="C4" s="8" t="s">
        <v>296</v>
      </c>
      <c r="D4" s="8" t="s">
        <v>297</v>
      </c>
      <c r="E4" s="8" t="s">
        <v>298</v>
      </c>
      <c r="F4" s="8" t="s">
        <v>299</v>
      </c>
    </row>
    <row r="5" customFormat="false" ht="57.75" hidden="false" customHeight="true" outlineLevel="0" collapsed="false">
      <c r="A5" s="23" t="s">
        <v>300</v>
      </c>
      <c r="B5" s="10" t="s">
        <v>301</v>
      </c>
      <c r="C5" s="10" t="s">
        <v>302</v>
      </c>
      <c r="D5" s="10" t="s">
        <v>303</v>
      </c>
      <c r="E5" s="10" t="s">
        <v>304</v>
      </c>
      <c r="F5" s="10" t="s">
        <v>305</v>
      </c>
    </row>
    <row r="6" customFormat="false" ht="57.75" hidden="false" customHeight="true" outlineLevel="0" collapsed="false">
      <c r="A6" s="23" t="s">
        <v>306</v>
      </c>
      <c r="B6" s="10" t="s">
        <v>307</v>
      </c>
      <c r="C6" s="10" t="s">
        <v>308</v>
      </c>
      <c r="D6" s="10" t="s">
        <v>309</v>
      </c>
      <c r="E6" s="10" t="s">
        <v>310</v>
      </c>
      <c r="F6" s="10" t="s">
        <v>311</v>
      </c>
    </row>
    <row r="7" customFormat="false" ht="57.75" hidden="false" customHeight="true" outlineLevel="0" collapsed="false">
      <c r="A7" s="23" t="s">
        <v>312</v>
      </c>
      <c r="B7" s="10" t="s">
        <v>313</v>
      </c>
      <c r="C7" s="10" t="s">
        <v>314</v>
      </c>
      <c r="D7" s="10" t="s">
        <v>315</v>
      </c>
      <c r="E7" s="10" t="s">
        <v>316</v>
      </c>
      <c r="F7" s="10" t="s">
        <v>317</v>
      </c>
    </row>
    <row r="8" customFormat="false" ht="57.75" hidden="false" customHeight="true" outlineLevel="0" collapsed="false">
      <c r="A8" s="23" t="s">
        <v>318</v>
      </c>
      <c r="B8" s="10" t="s">
        <v>319</v>
      </c>
      <c r="C8" s="10" t="s">
        <v>320</v>
      </c>
      <c r="D8" s="10" t="s">
        <v>321</v>
      </c>
      <c r="E8" s="10" t="s">
        <v>322</v>
      </c>
      <c r="F8" s="10" t="s">
        <v>323</v>
      </c>
    </row>
    <row r="9" customFormat="false" ht="57.75" hidden="false" customHeight="true" outlineLevel="0" collapsed="false">
      <c r="A9" s="23" t="s">
        <v>324</v>
      </c>
      <c r="B9" s="10" t="s">
        <v>325</v>
      </c>
      <c r="C9" s="10" t="s">
        <v>326</v>
      </c>
      <c r="D9" s="10" t="s">
        <v>327</v>
      </c>
      <c r="E9" s="10" t="s">
        <v>328</v>
      </c>
      <c r="F9" s="10" t="s">
        <v>329</v>
      </c>
    </row>
    <row r="10" customFormat="false" ht="57.75" hidden="false" customHeight="true" outlineLevel="0" collapsed="false">
      <c r="A10" s="23" t="s">
        <v>330</v>
      </c>
      <c r="B10" s="10" t="s">
        <v>331</v>
      </c>
      <c r="C10" s="10" t="s">
        <v>332</v>
      </c>
      <c r="D10" s="10" t="s">
        <v>333</v>
      </c>
      <c r="E10" s="10" t="s">
        <v>334</v>
      </c>
      <c r="F10" s="10" t="s">
        <v>335</v>
      </c>
    </row>
    <row r="11" customFormat="false" ht="57.75" hidden="false" customHeight="true" outlineLevel="0" collapsed="false">
      <c r="A11" s="23" t="s">
        <v>336</v>
      </c>
      <c r="B11" s="10" t="s">
        <v>337</v>
      </c>
      <c r="C11" s="10" t="s">
        <v>338</v>
      </c>
      <c r="D11" s="10" t="s">
        <v>339</v>
      </c>
      <c r="E11" s="10" t="s">
        <v>340</v>
      </c>
      <c r="F11" s="10" t="s">
        <v>341</v>
      </c>
    </row>
    <row r="12" customFormat="false" ht="57.75" hidden="false" customHeight="true" outlineLevel="0" collapsed="false">
      <c r="A12" s="23" t="s">
        <v>342</v>
      </c>
      <c r="B12" s="10" t="s">
        <v>343</v>
      </c>
      <c r="C12" s="10" t="s">
        <v>344</v>
      </c>
      <c r="D12" s="10" t="s">
        <v>345</v>
      </c>
      <c r="E12" s="10" t="s">
        <v>346</v>
      </c>
      <c r="F12" s="10" t="s">
        <v>347</v>
      </c>
    </row>
    <row r="13" customFormat="false" ht="57.75" hidden="false" customHeight="true" outlineLevel="0" collapsed="false">
      <c r="A13" s="23" t="s">
        <v>348</v>
      </c>
      <c r="B13" s="10" t="s">
        <v>349</v>
      </c>
      <c r="C13" s="10" t="s">
        <v>350</v>
      </c>
      <c r="D13" s="10" t="s">
        <v>351</v>
      </c>
      <c r="E13" s="10" t="s">
        <v>352</v>
      </c>
      <c r="F13" s="10" t="s">
        <v>353</v>
      </c>
    </row>
    <row r="14" customFormat="false" ht="57.75" hidden="false" customHeight="true" outlineLevel="0" collapsed="false">
      <c r="A14" s="23" t="s">
        <v>354</v>
      </c>
      <c r="B14" s="10" t="s">
        <v>355</v>
      </c>
      <c r="C14" s="10" t="s">
        <v>356</v>
      </c>
      <c r="D14" s="10" t="s">
        <v>357</v>
      </c>
      <c r="E14" s="10" t="s">
        <v>334</v>
      </c>
      <c r="F14" s="10" t="s">
        <v>358</v>
      </c>
    </row>
    <row r="15" customFormat="false" ht="57.75" hidden="false" customHeight="true" outlineLevel="0" collapsed="false">
      <c r="A15" s="23" t="s">
        <v>359</v>
      </c>
      <c r="B15" s="10" t="s">
        <v>360</v>
      </c>
      <c r="C15" s="10" t="s">
        <v>361</v>
      </c>
      <c r="D15" s="10" t="s">
        <v>362</v>
      </c>
      <c r="E15" s="10" t="s">
        <v>334</v>
      </c>
      <c r="F15" s="10" t="s">
        <v>363</v>
      </c>
    </row>
    <row r="16" customFormat="false" ht="57.75" hidden="false" customHeight="true" outlineLevel="0" collapsed="false">
      <c r="A16" s="23" t="s">
        <v>364</v>
      </c>
      <c r="B16" s="10" t="s">
        <v>365</v>
      </c>
      <c r="C16" s="10" t="s">
        <v>366</v>
      </c>
      <c r="D16" s="10" t="s">
        <v>367</v>
      </c>
      <c r="E16" s="10" t="s">
        <v>346</v>
      </c>
      <c r="F16" s="10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5" min="3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9" min="8" style="1" width="11"/>
    <col collapsed="false" customWidth="true" hidden="false" outlineLevel="0" max="10" min="10" style="1" width="12"/>
  </cols>
  <sheetData>
    <row r="1" customFormat="false" ht="20.25" hidden="false" customHeight="true" outlineLevel="0" collapsed="false">
      <c r="A1" s="7" t="s">
        <v>369</v>
      </c>
    </row>
    <row r="2" customFormat="false" ht="15" hidden="false" customHeight="true" outlineLevel="0" collapsed="false">
      <c r="A2" s="3" t="s">
        <v>370</v>
      </c>
    </row>
    <row r="4" customFormat="false" ht="23.25" hidden="false" customHeight="true" outlineLevel="0" collapsed="false">
      <c r="A4" s="8" t="s">
        <v>17</v>
      </c>
      <c r="B4" s="8" t="s">
        <v>18</v>
      </c>
      <c r="C4" s="8" t="s">
        <v>22</v>
      </c>
      <c r="D4" s="8" t="s">
        <v>371</v>
      </c>
      <c r="E4" s="8" t="s">
        <v>24</v>
      </c>
      <c r="F4" s="8" t="s">
        <v>372</v>
      </c>
      <c r="G4" s="8" t="s">
        <v>373</v>
      </c>
      <c r="H4" s="8" t="s">
        <v>374</v>
      </c>
      <c r="I4" s="8" t="s">
        <v>375</v>
      </c>
      <c r="J4" s="8" t="s">
        <v>376</v>
      </c>
    </row>
    <row r="5" customFormat="false" ht="15" hidden="false" customHeight="true" outlineLevel="0" collapsed="false">
      <c r="A5" s="24" t="s">
        <v>29</v>
      </c>
      <c r="B5" s="10" t="s">
        <v>30</v>
      </c>
      <c r="C5" s="25" t="n">
        <v>500</v>
      </c>
      <c r="D5" s="25" t="n">
        <f aca="false">ROUND(C5*0.8,0)</f>
        <v>400</v>
      </c>
      <c r="E5" s="25" t="n">
        <v>120</v>
      </c>
      <c r="F5" s="25" t="n">
        <f aca="false">D5-E5</f>
        <v>280</v>
      </c>
      <c r="G5" s="25" t="n">
        <f aca="false">ROUND(C5*0.2,0)</f>
        <v>100</v>
      </c>
      <c r="H5" s="25" t="n">
        <f aca="false">ROUND(C5*0.02,0)</f>
        <v>10</v>
      </c>
      <c r="I5" s="26" t="n">
        <f aca="false">G5/C5</f>
        <v>0.2</v>
      </c>
      <c r="J5" s="12" t="str">
        <f aca="false">IF(I5&gt;=0.15,"PASS","CHECK")</f>
        <v>PASS</v>
      </c>
    </row>
    <row r="6" customFormat="false" ht="15" hidden="false" customHeight="true" outlineLevel="0" collapsed="false">
      <c r="A6" s="24" t="s">
        <v>38</v>
      </c>
      <c r="B6" s="10" t="s">
        <v>39</v>
      </c>
      <c r="C6" s="25" t="n">
        <v>950</v>
      </c>
      <c r="D6" s="25" t="n">
        <f aca="false">ROUND(C6*0.8,0)</f>
        <v>760</v>
      </c>
      <c r="E6" s="25" t="n">
        <v>290</v>
      </c>
      <c r="F6" s="25" t="n">
        <f aca="false">D6-E6</f>
        <v>470</v>
      </c>
      <c r="G6" s="25" t="n">
        <f aca="false">ROUND(C6*0.2,0)</f>
        <v>190</v>
      </c>
      <c r="H6" s="25" t="n">
        <f aca="false">ROUND(C6*0.02,0)</f>
        <v>19</v>
      </c>
      <c r="I6" s="26" t="n">
        <f aca="false">G6/C6</f>
        <v>0.2</v>
      </c>
      <c r="J6" s="12" t="str">
        <f aca="false">IF(I6&gt;=0.15,"PASS","CHECK")</f>
        <v>PASS</v>
      </c>
    </row>
    <row r="7" customFormat="false" ht="15" hidden="false" customHeight="true" outlineLevel="0" collapsed="false">
      <c r="A7" s="24" t="s">
        <v>46</v>
      </c>
      <c r="B7" s="10" t="s">
        <v>47</v>
      </c>
      <c r="C7" s="25" t="n">
        <v>650</v>
      </c>
      <c r="D7" s="25" t="n">
        <f aca="false">ROUND(C7*0.8,0)</f>
        <v>520</v>
      </c>
      <c r="E7" s="25" t="n">
        <v>200</v>
      </c>
      <c r="F7" s="25" t="n">
        <f aca="false">D7-E7</f>
        <v>320</v>
      </c>
      <c r="G7" s="25" t="n">
        <f aca="false">ROUND(C7*0.2,0)</f>
        <v>130</v>
      </c>
      <c r="H7" s="25" t="n">
        <f aca="false">ROUND(C7*0.02,0)</f>
        <v>13</v>
      </c>
      <c r="I7" s="26" t="n">
        <f aca="false">G7/C7</f>
        <v>0.2</v>
      </c>
      <c r="J7" s="12" t="str">
        <f aca="false">IF(I7&gt;=0.15,"PASS","CHECK")</f>
        <v>PASS</v>
      </c>
    </row>
    <row r="8" customFormat="false" ht="15" hidden="false" customHeight="true" outlineLevel="0" collapsed="false">
      <c r="A8" s="24" t="s">
        <v>53</v>
      </c>
      <c r="B8" s="10" t="s">
        <v>54</v>
      </c>
      <c r="C8" s="25" t="n">
        <v>280</v>
      </c>
      <c r="D8" s="25" t="n">
        <f aca="false">ROUND(C8*0.8,0)</f>
        <v>224</v>
      </c>
      <c r="E8" s="25" t="n">
        <v>90</v>
      </c>
      <c r="F8" s="25" t="n">
        <f aca="false">D8-E8</f>
        <v>134</v>
      </c>
      <c r="G8" s="25" t="n">
        <f aca="false">ROUND(C8*0.2,0)</f>
        <v>56</v>
      </c>
      <c r="H8" s="25" t="n">
        <f aca="false">ROUND(C8*0.02,0)</f>
        <v>6</v>
      </c>
      <c r="I8" s="26" t="n">
        <f aca="false">G8/C8</f>
        <v>0.2</v>
      </c>
      <c r="J8" s="12" t="str">
        <f aca="false">IF(I8&gt;=0.15,"PASS","CHECK")</f>
        <v>PASS</v>
      </c>
    </row>
    <row r="9" customFormat="false" ht="15" hidden="false" customHeight="true" outlineLevel="0" collapsed="false">
      <c r="A9" s="24" t="s">
        <v>61</v>
      </c>
      <c r="B9" s="10" t="s">
        <v>62</v>
      </c>
      <c r="C9" s="25" t="n">
        <v>1200</v>
      </c>
      <c r="D9" s="25" t="n">
        <f aca="false">ROUND(C9*0.8,0)</f>
        <v>960</v>
      </c>
      <c r="E9" s="25" t="n">
        <v>360</v>
      </c>
      <c r="F9" s="25" t="n">
        <f aca="false">D9-E9</f>
        <v>600</v>
      </c>
      <c r="G9" s="25" t="n">
        <f aca="false">ROUND(C9*0.2,0)</f>
        <v>240</v>
      </c>
      <c r="H9" s="25" t="n">
        <f aca="false">ROUND(C9*0.02,0)</f>
        <v>24</v>
      </c>
      <c r="I9" s="26" t="n">
        <f aca="false">G9/C9</f>
        <v>0.2</v>
      </c>
      <c r="J9" s="12" t="str">
        <f aca="false">IF(I9&gt;=0.15,"PASS","CHECK")</f>
        <v>PASS</v>
      </c>
    </row>
    <row r="10" customFormat="false" ht="15" hidden="false" customHeight="true" outlineLevel="0" collapsed="false">
      <c r="A10" s="24" t="s">
        <v>69</v>
      </c>
      <c r="B10" s="10" t="s">
        <v>70</v>
      </c>
      <c r="C10" s="25" t="n">
        <v>2000</v>
      </c>
      <c r="D10" s="25" t="n">
        <f aca="false">ROUND(C10*0.8,0)</f>
        <v>1600</v>
      </c>
      <c r="E10" s="25" t="n">
        <v>650</v>
      </c>
      <c r="F10" s="25" t="n">
        <f aca="false">D10-E10</f>
        <v>950</v>
      </c>
      <c r="G10" s="25" t="n">
        <f aca="false">ROUND(C10*0.2,0)</f>
        <v>400</v>
      </c>
      <c r="H10" s="25" t="n">
        <f aca="false">ROUND(C10*0.02,0)</f>
        <v>40</v>
      </c>
      <c r="I10" s="26" t="n">
        <f aca="false">G10/C10</f>
        <v>0.2</v>
      </c>
      <c r="J10" s="12" t="str">
        <f aca="false">IF(I10&gt;=0.15,"PASS","CHECK")</f>
        <v>PASS</v>
      </c>
    </row>
    <row r="11" customFormat="false" ht="15" hidden="false" customHeight="true" outlineLevel="0" collapsed="false">
      <c r="A11" s="24" t="s">
        <v>77</v>
      </c>
      <c r="B11" s="10" t="s">
        <v>78</v>
      </c>
      <c r="C11" s="25" t="n">
        <v>1600</v>
      </c>
      <c r="D11" s="25" t="n">
        <f aca="false">ROUND(C11*0.8,0)</f>
        <v>1280</v>
      </c>
      <c r="E11" s="25" t="n">
        <v>520</v>
      </c>
      <c r="F11" s="25" t="n">
        <f aca="false">D11-E11</f>
        <v>760</v>
      </c>
      <c r="G11" s="25" t="n">
        <f aca="false">ROUND(C11*0.2,0)</f>
        <v>320</v>
      </c>
      <c r="H11" s="25" t="n">
        <f aca="false">ROUND(C11*0.02,0)</f>
        <v>32</v>
      </c>
      <c r="I11" s="26" t="n">
        <f aca="false">G11/C11</f>
        <v>0.2</v>
      </c>
      <c r="J11" s="12" t="str">
        <f aca="false">IF(I11&gt;=0.15,"PASS","CHECK")</f>
        <v>PASS</v>
      </c>
    </row>
    <row r="12" customFormat="false" ht="15" hidden="false" customHeight="true" outlineLevel="0" collapsed="false">
      <c r="A12" s="24" t="s">
        <v>84</v>
      </c>
      <c r="B12" s="10" t="s">
        <v>85</v>
      </c>
      <c r="C12" s="25" t="n">
        <v>3800</v>
      </c>
      <c r="D12" s="25" t="n">
        <f aca="false">ROUND(C12*0.8,0)</f>
        <v>3040</v>
      </c>
      <c r="E12" s="25" t="n">
        <v>1500</v>
      </c>
      <c r="F12" s="25" t="n">
        <f aca="false">D12-E12</f>
        <v>1540</v>
      </c>
      <c r="G12" s="25" t="n">
        <f aca="false">ROUND(C12*0.2,0)</f>
        <v>760</v>
      </c>
      <c r="H12" s="25" t="n">
        <f aca="false">ROUND(C12*0.02,0)</f>
        <v>76</v>
      </c>
      <c r="I12" s="26" t="n">
        <f aca="false">G12/C12</f>
        <v>0.2</v>
      </c>
      <c r="J12" s="12" t="str">
        <f aca="false">IF(I12&gt;=0.15,"PASS","CHECK")</f>
        <v>PASS</v>
      </c>
    </row>
    <row r="13" customFormat="false" ht="15" hidden="false" customHeight="true" outlineLevel="0" collapsed="false">
      <c r="A13" s="24" t="s">
        <v>92</v>
      </c>
      <c r="B13" s="10" t="s">
        <v>93</v>
      </c>
      <c r="C13" s="25" t="n">
        <v>5500</v>
      </c>
      <c r="D13" s="25" t="n">
        <f aca="false">ROUND(C13*0.8,0)</f>
        <v>4400</v>
      </c>
      <c r="E13" s="25" t="n">
        <v>2200</v>
      </c>
      <c r="F13" s="25" t="n">
        <f aca="false">D13-E13</f>
        <v>2200</v>
      </c>
      <c r="G13" s="25" t="n">
        <f aca="false">ROUND(C13*0.2,0)</f>
        <v>1100</v>
      </c>
      <c r="H13" s="25" t="n">
        <f aca="false">ROUND(C13*0.02,0)</f>
        <v>110</v>
      </c>
      <c r="I13" s="26" t="n">
        <f aca="false">G13/C13</f>
        <v>0.2</v>
      </c>
      <c r="J13" s="12" t="str">
        <f aca="false">IF(I13&gt;=0.15,"PASS","CHECK")</f>
        <v>PASS</v>
      </c>
    </row>
    <row r="14" customFormat="false" ht="15" hidden="false" customHeight="true" outlineLevel="0" collapsed="false">
      <c r="A14" s="24" t="s">
        <v>100</v>
      </c>
      <c r="B14" s="10" t="s">
        <v>101</v>
      </c>
      <c r="C14" s="25" t="n">
        <v>500</v>
      </c>
      <c r="D14" s="25" t="n">
        <f aca="false">ROUND(C14*0.8,0)</f>
        <v>400</v>
      </c>
      <c r="E14" s="25" t="n">
        <v>150</v>
      </c>
      <c r="F14" s="25" t="n">
        <f aca="false">D14-E14</f>
        <v>250</v>
      </c>
      <c r="G14" s="25" t="n">
        <f aca="false">ROUND(C14*0.2,0)</f>
        <v>100</v>
      </c>
      <c r="H14" s="25" t="n">
        <f aca="false">ROUND(C14*0.02,0)</f>
        <v>10</v>
      </c>
      <c r="I14" s="26" t="n">
        <f aca="false">G14/C14</f>
        <v>0.2</v>
      </c>
      <c r="J14" s="12" t="str">
        <f aca="false">IF(I14&gt;=0.15,"PASS","CHECK")</f>
        <v>PASS</v>
      </c>
    </row>
    <row r="15" customFormat="false" ht="15" hidden="false" customHeight="true" outlineLevel="0" collapsed="false">
      <c r="A15" s="24" t="s">
        <v>108</v>
      </c>
      <c r="B15" s="10" t="s">
        <v>109</v>
      </c>
      <c r="C15" s="25" t="n">
        <v>750</v>
      </c>
      <c r="D15" s="25" t="n">
        <f aca="false">ROUND(C15*0.8,0)</f>
        <v>600</v>
      </c>
      <c r="E15" s="25" t="n">
        <v>230</v>
      </c>
      <c r="F15" s="25" t="n">
        <f aca="false">D15-E15</f>
        <v>370</v>
      </c>
      <c r="G15" s="25" t="n">
        <f aca="false">ROUND(C15*0.2,0)</f>
        <v>150</v>
      </c>
      <c r="H15" s="25" t="n">
        <f aca="false">ROUND(C15*0.02,0)</f>
        <v>15</v>
      </c>
      <c r="I15" s="26" t="n">
        <f aca="false">G15/C15</f>
        <v>0.2</v>
      </c>
      <c r="J15" s="12" t="str">
        <f aca="false">IF(I15&gt;=0.15,"PASS","CHECK")</f>
        <v>PASS</v>
      </c>
    </row>
    <row r="16" customFormat="false" ht="15" hidden="false" customHeight="true" outlineLevel="0" collapsed="false">
      <c r="A16" s="24" t="s">
        <v>115</v>
      </c>
      <c r="B16" s="10" t="s">
        <v>116</v>
      </c>
      <c r="C16" s="25" t="n">
        <v>750</v>
      </c>
      <c r="D16" s="25" t="n">
        <f aca="false">ROUND(C16*0.8,0)</f>
        <v>600</v>
      </c>
      <c r="E16" s="25" t="n">
        <v>200</v>
      </c>
      <c r="F16" s="25" t="n">
        <f aca="false">D16-E16</f>
        <v>400</v>
      </c>
      <c r="G16" s="25" t="n">
        <f aca="false">ROUND(C16*0.2,0)</f>
        <v>150</v>
      </c>
      <c r="H16" s="25" t="n">
        <f aca="false">ROUND(C16*0.02,0)</f>
        <v>15</v>
      </c>
      <c r="I16" s="26" t="n">
        <f aca="false">G16/C16</f>
        <v>0.2</v>
      </c>
      <c r="J16" s="12" t="str">
        <f aca="false">IF(I16&gt;=0.15,"PASS","CHECK")</f>
        <v>PASS</v>
      </c>
    </row>
    <row r="17" customFormat="false" ht="23.25" hidden="false" customHeight="true" outlineLevel="0" collapsed="false">
      <c r="A17" s="24" t="s">
        <v>122</v>
      </c>
      <c r="B17" s="10" t="s">
        <v>123</v>
      </c>
      <c r="C17" s="25" t="n">
        <v>400</v>
      </c>
      <c r="D17" s="25" t="n">
        <f aca="false">ROUND(C17*0.8,0)</f>
        <v>320</v>
      </c>
      <c r="E17" s="25" t="n">
        <v>110</v>
      </c>
      <c r="F17" s="25" t="n">
        <f aca="false">D17-E17</f>
        <v>210</v>
      </c>
      <c r="G17" s="25" t="n">
        <f aca="false">ROUND(C17*0.2,0)</f>
        <v>80</v>
      </c>
      <c r="H17" s="25" t="n">
        <f aca="false">ROUND(C17*0.02,0)</f>
        <v>8</v>
      </c>
      <c r="I17" s="26" t="n">
        <f aca="false">G17/C17</f>
        <v>0.2</v>
      </c>
      <c r="J17" s="12" t="str">
        <f aca="false">IF(I17&gt;=0.15,"PASS","CHECK")</f>
        <v>PASS</v>
      </c>
    </row>
    <row r="18" customFormat="false" ht="23.25" hidden="false" customHeight="true" outlineLevel="0" collapsed="false">
      <c r="A18" s="24" t="s">
        <v>129</v>
      </c>
      <c r="B18" s="10" t="s">
        <v>130</v>
      </c>
      <c r="C18" s="25" t="n">
        <v>550</v>
      </c>
      <c r="D18" s="25" t="n">
        <f aca="false">ROUND(C18*0.8,0)</f>
        <v>440</v>
      </c>
      <c r="E18" s="25" t="n">
        <v>160</v>
      </c>
      <c r="F18" s="25" t="n">
        <f aca="false">D18-E18</f>
        <v>280</v>
      </c>
      <c r="G18" s="25" t="n">
        <f aca="false">ROUND(C18*0.2,0)</f>
        <v>110</v>
      </c>
      <c r="H18" s="25" t="n">
        <f aca="false">ROUND(C18*0.02,0)</f>
        <v>11</v>
      </c>
      <c r="I18" s="26" t="n">
        <f aca="false">G18/C18</f>
        <v>0.2</v>
      </c>
      <c r="J18" s="12" t="str">
        <f aca="false">IF(I18&gt;=0.15,"PASS","CHECK")</f>
        <v>PASS</v>
      </c>
    </row>
    <row r="19" customFormat="false" ht="15" hidden="false" customHeight="true" outlineLevel="0" collapsed="false">
      <c r="A19" s="24" t="s">
        <v>135</v>
      </c>
      <c r="B19" s="10" t="s">
        <v>136</v>
      </c>
      <c r="C19" s="25" t="n">
        <v>550</v>
      </c>
      <c r="D19" s="25" t="n">
        <f aca="false">ROUND(C19*0.8,0)</f>
        <v>440</v>
      </c>
      <c r="E19" s="25" t="n">
        <v>170</v>
      </c>
      <c r="F19" s="25" t="n">
        <f aca="false">D19-E19</f>
        <v>270</v>
      </c>
      <c r="G19" s="25" t="n">
        <f aca="false">ROUND(C19*0.2,0)</f>
        <v>110</v>
      </c>
      <c r="H19" s="25" t="n">
        <f aca="false">ROUND(C19*0.02,0)</f>
        <v>11</v>
      </c>
      <c r="I19" s="26" t="n">
        <f aca="false">G19/C19</f>
        <v>0.2</v>
      </c>
      <c r="J19" s="12" t="str">
        <f aca="false">IF(I19&gt;=0.15,"PASS","CHECK")</f>
        <v>PASS</v>
      </c>
    </row>
    <row r="20" customFormat="false" ht="23.25" hidden="false" customHeight="true" outlineLevel="0" collapsed="false">
      <c r="A20" s="24" t="s">
        <v>142</v>
      </c>
      <c r="B20" s="10" t="s">
        <v>143</v>
      </c>
      <c r="C20" s="25" t="n">
        <v>500</v>
      </c>
      <c r="D20" s="25" t="n">
        <f aca="false">ROUND(C20*0.8,0)</f>
        <v>400</v>
      </c>
      <c r="E20" s="25" t="n">
        <v>150</v>
      </c>
      <c r="F20" s="25" t="n">
        <f aca="false">D20-E20</f>
        <v>250</v>
      </c>
      <c r="G20" s="25" t="n">
        <f aca="false">ROUND(C20*0.2,0)</f>
        <v>100</v>
      </c>
      <c r="H20" s="25" t="n">
        <f aca="false">ROUND(C20*0.02,0)</f>
        <v>10</v>
      </c>
      <c r="I20" s="26" t="n">
        <f aca="false">G20/C20</f>
        <v>0.2</v>
      </c>
      <c r="J20" s="12" t="str">
        <f aca="false">IF(I20&gt;=0.15,"PASS","CHECK")</f>
        <v>PASS</v>
      </c>
    </row>
    <row r="21" customFormat="false" ht="15" hidden="false" customHeight="true" outlineLevel="0" collapsed="false">
      <c r="A21" s="24" t="s">
        <v>149</v>
      </c>
      <c r="B21" s="10" t="s">
        <v>150</v>
      </c>
      <c r="C21" s="25" t="n">
        <v>300</v>
      </c>
      <c r="D21" s="25" t="n">
        <f aca="false">ROUND(C21*0.8,0)</f>
        <v>240</v>
      </c>
      <c r="E21" s="25" t="n">
        <v>90</v>
      </c>
      <c r="F21" s="25" t="n">
        <f aca="false">D21-E21</f>
        <v>150</v>
      </c>
      <c r="G21" s="25" t="n">
        <f aca="false">ROUND(C21*0.2,0)</f>
        <v>60</v>
      </c>
      <c r="H21" s="25" t="n">
        <f aca="false">ROUND(C21*0.02,0)</f>
        <v>6</v>
      </c>
      <c r="I21" s="26" t="n">
        <f aca="false">G21/C21</f>
        <v>0.2</v>
      </c>
      <c r="J21" s="12" t="str">
        <f aca="false">IF(I21&gt;=0.15,"PASS","CHECK")</f>
        <v>PASS</v>
      </c>
    </row>
    <row r="22" customFormat="false" ht="15" hidden="false" customHeight="true" outlineLevel="0" collapsed="false">
      <c r="A22" s="24" t="s">
        <v>157</v>
      </c>
      <c r="B22" s="10" t="s">
        <v>158</v>
      </c>
      <c r="C22" s="25" t="n">
        <v>450</v>
      </c>
      <c r="D22" s="25" t="n">
        <f aca="false">ROUND(C22*0.8,0)</f>
        <v>360</v>
      </c>
      <c r="E22" s="25" t="n">
        <v>120</v>
      </c>
      <c r="F22" s="25" t="n">
        <f aca="false">D22-E22</f>
        <v>240</v>
      </c>
      <c r="G22" s="25" t="n">
        <f aca="false">ROUND(C22*0.2,0)</f>
        <v>90</v>
      </c>
      <c r="H22" s="25" t="n">
        <f aca="false">ROUND(C22*0.02,0)</f>
        <v>9</v>
      </c>
      <c r="I22" s="26" t="n">
        <f aca="false">G22/C22</f>
        <v>0.2</v>
      </c>
      <c r="J22" s="12" t="str">
        <f aca="false">IF(I22&gt;=0.15,"PASS","CHECK")</f>
        <v>PASS</v>
      </c>
    </row>
    <row r="23" customFormat="false" ht="15" hidden="false" customHeight="true" outlineLevel="0" collapsed="false">
      <c r="A23" s="24" t="s">
        <v>165</v>
      </c>
      <c r="B23" s="10" t="s">
        <v>166</v>
      </c>
      <c r="C23" s="25" t="n">
        <v>1100</v>
      </c>
      <c r="D23" s="25" t="n">
        <f aca="false">ROUND(C23*0.8,0)</f>
        <v>880</v>
      </c>
      <c r="E23" s="25" t="n">
        <v>340</v>
      </c>
      <c r="F23" s="25" t="n">
        <f aca="false">D23-E23</f>
        <v>540</v>
      </c>
      <c r="G23" s="25" t="n">
        <f aca="false">ROUND(C23*0.2,0)</f>
        <v>220</v>
      </c>
      <c r="H23" s="25" t="n">
        <f aca="false">ROUND(C23*0.02,0)</f>
        <v>22</v>
      </c>
      <c r="I23" s="26" t="n">
        <f aca="false">G23/C23</f>
        <v>0.2</v>
      </c>
      <c r="J23" s="12" t="str">
        <f aca="false">IF(I23&gt;=0.15,"PASS","CHECK")</f>
        <v>PASS</v>
      </c>
    </row>
    <row r="24" customFormat="false" ht="15" hidden="false" customHeight="true" outlineLevel="0" collapsed="false">
      <c r="A24" s="24" t="s">
        <v>173</v>
      </c>
      <c r="B24" s="10" t="s">
        <v>174</v>
      </c>
      <c r="C24" s="25" t="n">
        <v>900</v>
      </c>
      <c r="D24" s="25" t="n">
        <f aca="false">ROUND(C24*0.8,0)</f>
        <v>720</v>
      </c>
      <c r="E24" s="25" t="n">
        <v>280</v>
      </c>
      <c r="F24" s="25" t="n">
        <f aca="false">D24-E24</f>
        <v>440</v>
      </c>
      <c r="G24" s="25" t="n">
        <f aca="false">ROUND(C24*0.2,0)</f>
        <v>180</v>
      </c>
      <c r="H24" s="25" t="n">
        <f aca="false">ROUND(C24*0.02,0)</f>
        <v>18</v>
      </c>
      <c r="I24" s="26" t="n">
        <f aca="false">G24/C24</f>
        <v>0.2</v>
      </c>
      <c r="J24" s="12" t="str">
        <f aca="false">IF(I24&gt;=0.15,"PASS","CHECK")</f>
        <v>PASS</v>
      </c>
    </row>
    <row r="25" customFormat="false" ht="15" hidden="false" customHeight="true" outlineLevel="0" collapsed="false">
      <c r="A25" s="24" t="s">
        <v>181</v>
      </c>
      <c r="B25" s="10" t="s">
        <v>182</v>
      </c>
      <c r="C25" s="25" t="n">
        <v>600</v>
      </c>
      <c r="D25" s="25" t="n">
        <f aca="false">ROUND(C25*0.8,0)</f>
        <v>480</v>
      </c>
      <c r="E25" s="25" t="n">
        <v>180</v>
      </c>
      <c r="F25" s="25" t="n">
        <f aca="false">D25-E25</f>
        <v>300</v>
      </c>
      <c r="G25" s="25" t="n">
        <f aca="false">ROUND(C25*0.2,0)</f>
        <v>120</v>
      </c>
      <c r="H25" s="25" t="n">
        <f aca="false">ROUND(C25*0.02,0)</f>
        <v>12</v>
      </c>
      <c r="I25" s="26" t="n">
        <f aca="false">G25/C25</f>
        <v>0.2</v>
      </c>
      <c r="J25" s="12" t="str">
        <f aca="false">IF(I25&gt;=0.15,"PASS","CHECK")</f>
        <v>PASS</v>
      </c>
    </row>
    <row r="26" customFormat="false" ht="15" hidden="false" customHeight="true" outlineLevel="0" collapsed="false">
      <c r="A26" s="24" t="s">
        <v>189</v>
      </c>
      <c r="B26" s="10" t="s">
        <v>190</v>
      </c>
      <c r="C26" s="25" t="n">
        <v>1400</v>
      </c>
      <c r="D26" s="25" t="n">
        <f aca="false">ROUND(C26*0.8,0)</f>
        <v>1120</v>
      </c>
      <c r="E26" s="25" t="n">
        <v>460</v>
      </c>
      <c r="F26" s="25" t="n">
        <f aca="false">D26-E26</f>
        <v>660</v>
      </c>
      <c r="G26" s="25" t="n">
        <f aca="false">ROUND(C26*0.2,0)</f>
        <v>280</v>
      </c>
      <c r="H26" s="25" t="n">
        <f aca="false">ROUND(C26*0.02,0)</f>
        <v>28</v>
      </c>
      <c r="I26" s="26" t="n">
        <f aca="false">G26/C26</f>
        <v>0.2</v>
      </c>
      <c r="J26" s="12" t="str">
        <f aca="false">IF(I26&gt;=0.15,"PASS","CHECK")</f>
        <v>PASS</v>
      </c>
    </row>
    <row r="27" customFormat="false" ht="15" hidden="false" customHeight="true" outlineLevel="0" collapsed="false">
      <c r="A27" s="24" t="s">
        <v>196</v>
      </c>
      <c r="B27" s="10" t="s">
        <v>197</v>
      </c>
      <c r="C27" s="25" t="n">
        <v>2400</v>
      </c>
      <c r="D27" s="25" t="n">
        <f aca="false">ROUND(C27*0.8,0)</f>
        <v>1920</v>
      </c>
      <c r="E27" s="25" t="n">
        <v>820</v>
      </c>
      <c r="F27" s="25" t="n">
        <f aca="false">D27-E27</f>
        <v>1100</v>
      </c>
      <c r="G27" s="25" t="n">
        <f aca="false">ROUND(C27*0.2,0)</f>
        <v>480</v>
      </c>
      <c r="H27" s="25" t="n">
        <f aca="false">ROUND(C27*0.02,0)</f>
        <v>48</v>
      </c>
      <c r="I27" s="26" t="n">
        <f aca="false">G27/C27</f>
        <v>0.2</v>
      </c>
      <c r="J27" s="12" t="str">
        <f aca="false">IF(I27&gt;=0.15,"PASS","CHECK")</f>
        <v>PASS</v>
      </c>
    </row>
    <row r="28" customFormat="false" ht="15" hidden="false" customHeight="true" outlineLevel="0" collapsed="false">
      <c r="A28" s="24" t="s">
        <v>203</v>
      </c>
      <c r="B28" s="10" t="s">
        <v>204</v>
      </c>
      <c r="C28" s="25" t="n">
        <v>700</v>
      </c>
      <c r="D28" s="25" t="n">
        <f aca="false">ROUND(C28*0.8,0)</f>
        <v>560</v>
      </c>
      <c r="E28" s="25" t="n">
        <v>210</v>
      </c>
      <c r="F28" s="25" t="n">
        <f aca="false">D28-E28</f>
        <v>350</v>
      </c>
      <c r="G28" s="25" t="n">
        <f aca="false">ROUND(C28*0.2,0)</f>
        <v>140</v>
      </c>
      <c r="H28" s="25" t="n">
        <f aca="false">ROUND(C28*0.02,0)</f>
        <v>14</v>
      </c>
      <c r="I28" s="26" t="n">
        <f aca="false">G28/C28</f>
        <v>0.2</v>
      </c>
      <c r="J28" s="12" t="str">
        <f aca="false">IF(I28&gt;=0.15,"PASS","CHECK")</f>
        <v>PASS</v>
      </c>
    </row>
    <row r="29" customFormat="false" ht="23.25" hidden="false" customHeight="true" outlineLevel="0" collapsed="false">
      <c r="A29" s="24" t="s">
        <v>210</v>
      </c>
      <c r="B29" s="10" t="s">
        <v>211</v>
      </c>
      <c r="C29" s="25" t="n">
        <v>400</v>
      </c>
      <c r="D29" s="25" t="n">
        <f aca="false">ROUND(C29*0.8,0)</f>
        <v>320</v>
      </c>
      <c r="E29" s="25" t="n">
        <v>130</v>
      </c>
      <c r="F29" s="25" t="n">
        <f aca="false">D29-E29</f>
        <v>190</v>
      </c>
      <c r="G29" s="25" t="n">
        <f aca="false">ROUND(C29*0.2,0)</f>
        <v>80</v>
      </c>
      <c r="H29" s="25" t="n">
        <f aca="false">ROUND(C29*0.02,0)</f>
        <v>8</v>
      </c>
      <c r="I29" s="26" t="n">
        <f aca="false">G29/C29</f>
        <v>0.2</v>
      </c>
      <c r="J29" s="12" t="str">
        <f aca="false">IF(I29&gt;=0.15,"PASS","CHECK")</f>
        <v>PASS</v>
      </c>
    </row>
    <row r="30" customFormat="false" ht="15" hidden="false" customHeight="true" outlineLevel="0" collapsed="false">
      <c r="A30" s="24" t="s">
        <v>217</v>
      </c>
      <c r="B30" s="10" t="s">
        <v>218</v>
      </c>
      <c r="C30" s="25" t="n">
        <v>850</v>
      </c>
      <c r="D30" s="25" t="n">
        <f aca="false">ROUND(C30*0.8,0)</f>
        <v>680</v>
      </c>
      <c r="E30" s="25" t="n">
        <v>260</v>
      </c>
      <c r="F30" s="25" t="n">
        <f aca="false">D30-E30</f>
        <v>420</v>
      </c>
      <c r="G30" s="25" t="n">
        <f aca="false">ROUND(C30*0.2,0)</f>
        <v>170</v>
      </c>
      <c r="H30" s="25" t="n">
        <f aca="false">ROUND(C30*0.02,0)</f>
        <v>17</v>
      </c>
      <c r="I30" s="26" t="n">
        <f aca="false">G30/C30</f>
        <v>0.2</v>
      </c>
      <c r="J30" s="12" t="str">
        <f aca="false">IF(I30&gt;=0.15,"PASS","CHECK")</f>
        <v>PASS</v>
      </c>
    </row>
    <row r="31" customFormat="false" ht="15" hidden="false" customHeight="true" outlineLevel="0" collapsed="false">
      <c r="A31" s="24" t="s">
        <v>224</v>
      </c>
      <c r="B31" s="10" t="s">
        <v>225</v>
      </c>
      <c r="C31" s="25" t="n">
        <v>450</v>
      </c>
      <c r="D31" s="25" t="n">
        <f aca="false">ROUND(C31*0.8,0)</f>
        <v>360</v>
      </c>
      <c r="E31" s="25" t="n">
        <v>150</v>
      </c>
      <c r="F31" s="25" t="n">
        <f aca="false">D31-E31</f>
        <v>210</v>
      </c>
      <c r="G31" s="25" t="n">
        <f aca="false">ROUND(C31*0.2,0)</f>
        <v>90</v>
      </c>
      <c r="H31" s="25" t="n">
        <f aca="false">ROUND(C31*0.02,0)</f>
        <v>9</v>
      </c>
      <c r="I31" s="26" t="n">
        <f aca="false">G31/C31</f>
        <v>0.2</v>
      </c>
      <c r="J31" s="12" t="str">
        <f aca="false">IF(I31&gt;=0.15,"PASS","CHECK")</f>
        <v>PASS</v>
      </c>
    </row>
    <row r="32" customFormat="false" ht="23.25" hidden="false" customHeight="true" outlineLevel="0" collapsed="false">
      <c r="A32" s="24" t="s">
        <v>231</v>
      </c>
      <c r="B32" s="10" t="s">
        <v>232</v>
      </c>
      <c r="C32" s="25" t="n">
        <v>650</v>
      </c>
      <c r="D32" s="25" t="n">
        <f aca="false">ROUND(C32*0.8,0)</f>
        <v>520</v>
      </c>
      <c r="E32" s="25" t="n">
        <v>220</v>
      </c>
      <c r="F32" s="25" t="n">
        <f aca="false">D32-E32</f>
        <v>300</v>
      </c>
      <c r="G32" s="25" t="n">
        <f aca="false">ROUND(C32*0.2,0)</f>
        <v>130</v>
      </c>
      <c r="H32" s="25" t="n">
        <f aca="false">ROUND(C32*0.02,0)</f>
        <v>13</v>
      </c>
      <c r="I32" s="26" t="n">
        <f aca="false">G32/C32</f>
        <v>0.2</v>
      </c>
      <c r="J32" s="12" t="str">
        <f aca="false">IF(I32&gt;=0.15,"PASS","CHECK")</f>
        <v>PASS</v>
      </c>
    </row>
    <row r="33" customFormat="false" ht="23.25" hidden="false" customHeight="true" outlineLevel="0" collapsed="false">
      <c r="A33" s="24" t="s">
        <v>238</v>
      </c>
      <c r="B33" s="10" t="s">
        <v>239</v>
      </c>
      <c r="C33" s="25" t="n">
        <v>1300</v>
      </c>
      <c r="D33" s="25" t="n">
        <f aca="false">ROUND(C33*0.8,0)</f>
        <v>1040</v>
      </c>
      <c r="E33" s="25" t="n">
        <v>430</v>
      </c>
      <c r="F33" s="25" t="n">
        <f aca="false">D33-E33</f>
        <v>610</v>
      </c>
      <c r="G33" s="25" t="n">
        <f aca="false">ROUND(C33*0.2,0)</f>
        <v>260</v>
      </c>
      <c r="H33" s="25" t="n">
        <f aca="false">ROUND(C33*0.02,0)</f>
        <v>26</v>
      </c>
      <c r="I33" s="26" t="n">
        <f aca="false">G33/C33</f>
        <v>0.2</v>
      </c>
      <c r="J33" s="12" t="str">
        <f aca="false">IF(I33&gt;=0.15,"PASS","CHECK")</f>
        <v>PASS</v>
      </c>
    </row>
    <row r="34" customFormat="false" ht="15" hidden="false" customHeight="true" outlineLevel="0" collapsed="false">
      <c r="A34" s="24" t="s">
        <v>246</v>
      </c>
      <c r="B34" s="10" t="s">
        <v>247</v>
      </c>
      <c r="C34" s="25" t="n">
        <v>1200</v>
      </c>
      <c r="D34" s="25" t="n">
        <f aca="false">ROUND(C34*0.8,0)</f>
        <v>960</v>
      </c>
      <c r="E34" s="25" t="n">
        <v>360</v>
      </c>
      <c r="F34" s="25" t="n">
        <f aca="false">D34-E34</f>
        <v>600</v>
      </c>
      <c r="G34" s="25" t="n">
        <f aca="false">ROUND(C34*0.2,0)</f>
        <v>240</v>
      </c>
      <c r="H34" s="25" t="n">
        <f aca="false">ROUND(C34*0.02,0)</f>
        <v>24</v>
      </c>
      <c r="I34" s="26" t="n">
        <f aca="false">G34/C34</f>
        <v>0.2</v>
      </c>
      <c r="J34" s="12" t="str">
        <f aca="false">IF(I34&gt;=0.15,"PASS","CHECK")</f>
        <v>PASS</v>
      </c>
    </row>
    <row r="35" customFormat="false" ht="15" hidden="false" customHeight="true" outlineLevel="0" collapsed="false">
      <c r="A35" s="24" t="s">
        <v>255</v>
      </c>
      <c r="B35" s="10" t="s">
        <v>256</v>
      </c>
      <c r="C35" s="25" t="n">
        <v>680</v>
      </c>
      <c r="D35" s="25" t="n">
        <f aca="false">ROUND(C35*0.8,0)</f>
        <v>544</v>
      </c>
      <c r="E35" s="25" t="n">
        <v>200</v>
      </c>
      <c r="F35" s="25" t="n">
        <f aca="false">D35-E35</f>
        <v>344</v>
      </c>
      <c r="G35" s="25" t="n">
        <f aca="false">ROUND(C35*0.2,0)</f>
        <v>136</v>
      </c>
      <c r="H35" s="25" t="n">
        <f aca="false">ROUND(C35*0.02,0)</f>
        <v>14</v>
      </c>
      <c r="I35" s="26" t="n">
        <f aca="false">G35/C35</f>
        <v>0.2</v>
      </c>
      <c r="J35" s="12" t="str">
        <f aca="false">IF(I35&gt;=0.15,"PASS","CHECK")</f>
        <v>PASS</v>
      </c>
    </row>
    <row r="36" customFormat="false" ht="15" hidden="false" customHeight="true" outlineLevel="0" collapsed="false">
      <c r="A36" s="24" t="s">
        <v>263</v>
      </c>
      <c r="B36" s="10" t="s">
        <v>264</v>
      </c>
      <c r="C36" s="25" t="n">
        <v>3500</v>
      </c>
      <c r="D36" s="25" t="n">
        <f aca="false">ROUND(C36*0.8,0)</f>
        <v>2800</v>
      </c>
      <c r="E36" s="25" t="n">
        <v>1200</v>
      </c>
      <c r="F36" s="25" t="n">
        <f aca="false">D36-E36</f>
        <v>1600</v>
      </c>
      <c r="G36" s="25" t="n">
        <f aca="false">ROUND(C36*0.2,0)</f>
        <v>700</v>
      </c>
      <c r="H36" s="25" t="n">
        <f aca="false">ROUND(C36*0.02,0)</f>
        <v>70</v>
      </c>
      <c r="I36" s="26" t="n">
        <f aca="false">G36/C36</f>
        <v>0.2</v>
      </c>
      <c r="J36" s="12" t="str">
        <f aca="false">IF(I36&gt;=0.15,"PASS","CHECK")</f>
        <v>PASS</v>
      </c>
    </row>
    <row r="37" customFormat="false" ht="15" hidden="false" customHeight="true" outlineLevel="0" collapsed="false">
      <c r="A37" s="24" t="s">
        <v>271</v>
      </c>
      <c r="B37" s="10" t="s">
        <v>272</v>
      </c>
      <c r="C37" s="25" t="n">
        <v>1500</v>
      </c>
      <c r="D37" s="25" t="n">
        <f aca="false">ROUND(C37*0.8,0)</f>
        <v>1200</v>
      </c>
      <c r="E37" s="25" t="n">
        <v>470</v>
      </c>
      <c r="F37" s="25" t="n">
        <f aca="false">D37-E37</f>
        <v>730</v>
      </c>
      <c r="G37" s="25" t="n">
        <f aca="false">ROUND(C37*0.2,0)</f>
        <v>300</v>
      </c>
      <c r="H37" s="25" t="n">
        <f aca="false">ROUND(C37*0.02,0)</f>
        <v>30</v>
      </c>
      <c r="I37" s="26" t="n">
        <f aca="false">G37/C37</f>
        <v>0.2</v>
      </c>
      <c r="J37" s="12" t="str">
        <f aca="false">IF(I37&gt;=0.15,"PASS","CHECK")</f>
        <v>PASS</v>
      </c>
    </row>
    <row r="38" customFormat="false" ht="15" hidden="false" customHeight="true" outlineLevel="0" collapsed="false">
      <c r="A38" s="24" t="s">
        <v>279</v>
      </c>
      <c r="B38" s="10" t="s">
        <v>280</v>
      </c>
      <c r="C38" s="25" t="n">
        <v>3800</v>
      </c>
      <c r="D38" s="25" t="n">
        <f aca="false">ROUND(C38*0.8,0)</f>
        <v>3040</v>
      </c>
      <c r="E38" s="25" t="n">
        <v>1300</v>
      </c>
      <c r="F38" s="25" t="n">
        <f aca="false">D38-E38</f>
        <v>1740</v>
      </c>
      <c r="G38" s="25" t="n">
        <f aca="false">ROUND(C38*0.2,0)</f>
        <v>760</v>
      </c>
      <c r="H38" s="25" t="n">
        <f aca="false">ROUND(C38*0.02,0)</f>
        <v>76</v>
      </c>
      <c r="I38" s="26" t="n">
        <f aca="false">G38/C38</f>
        <v>0.2</v>
      </c>
      <c r="J38" s="12" t="str">
        <f aca="false">IF(I38&gt;=0.15,"PASS","CHECK")</f>
        <v>PASS</v>
      </c>
    </row>
    <row r="39" customFormat="false" ht="15" hidden="false" customHeight="true" outlineLevel="0" collapsed="false">
      <c r="A39" s="24" t="s">
        <v>285</v>
      </c>
      <c r="B39" s="10" t="s">
        <v>286</v>
      </c>
      <c r="C39" s="25" t="n">
        <v>900</v>
      </c>
      <c r="D39" s="25" t="n">
        <f aca="false">ROUND(C39*0.8,0)</f>
        <v>720</v>
      </c>
      <c r="E39" s="25" t="n">
        <v>280</v>
      </c>
      <c r="F39" s="25" t="n">
        <f aca="false">D39-E39</f>
        <v>440</v>
      </c>
      <c r="G39" s="25" t="n">
        <f aca="false">ROUND(C39*0.2,0)</f>
        <v>180</v>
      </c>
      <c r="H39" s="25" t="n">
        <f aca="false">ROUND(C39*0.02,0)</f>
        <v>18</v>
      </c>
      <c r="I39" s="26" t="n">
        <f aca="false">G39/C39</f>
        <v>0.2</v>
      </c>
      <c r="J39" s="12" t="str">
        <f aca="false">IF(I39&gt;=0.15,"PASS","CHECK")</f>
        <v>PASS</v>
      </c>
    </row>
    <row r="40" customFormat="false" ht="15" hidden="false" customHeight="true" outlineLevel="0" collapsed="false">
      <c r="A40" s="27"/>
      <c r="B40" s="28" t="s">
        <v>377</v>
      </c>
      <c r="C40" s="29" t="n">
        <f aca="false">SUM(C5:C39)</f>
        <v>43560</v>
      </c>
      <c r="D40" s="27"/>
      <c r="E40" s="27"/>
      <c r="F40" s="27"/>
      <c r="G40" s="29" t="n">
        <f aca="false">SUM(G5:G39)</f>
        <v>8712</v>
      </c>
      <c r="H40" s="27"/>
      <c r="I40" s="27"/>
      <c r="J4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38"/>
  </cols>
  <sheetData>
    <row r="1" customFormat="false" ht="20.25" hidden="false" customHeight="true" outlineLevel="0" collapsed="false">
      <c r="A1" s="7" t="s">
        <v>378</v>
      </c>
    </row>
    <row r="2" customFormat="false" ht="15" hidden="false" customHeight="true" outlineLevel="0" collapsed="false">
      <c r="A2" s="3" t="s">
        <v>379</v>
      </c>
    </row>
    <row r="4" customFormat="false" ht="15" hidden="false" customHeight="true" outlineLevel="0" collapsed="false">
      <c r="A4" s="8" t="s">
        <v>380</v>
      </c>
      <c r="B4" s="8" t="s">
        <v>381</v>
      </c>
      <c r="C4" s="8" t="s">
        <v>382</v>
      </c>
      <c r="D4" s="8" t="s">
        <v>383</v>
      </c>
      <c r="E4" s="8" t="s">
        <v>384</v>
      </c>
      <c r="F4" s="8" t="s">
        <v>385</v>
      </c>
      <c r="G4" s="8" t="s">
        <v>386</v>
      </c>
    </row>
    <row r="5" customFormat="false" ht="45.75" hidden="false" customHeight="true" outlineLevel="0" collapsed="false">
      <c r="A5" s="28" t="s">
        <v>387</v>
      </c>
      <c r="B5" s="30" t="s">
        <v>388</v>
      </c>
      <c r="C5" s="10" t="s">
        <v>389</v>
      </c>
      <c r="D5" s="31" t="n">
        <v>1600</v>
      </c>
      <c r="E5" s="32" t="n">
        <v>1450</v>
      </c>
      <c r="F5" s="31" t="n">
        <f aca="false">D5-E5</f>
        <v>150</v>
      </c>
      <c r="G5" s="10" t="s">
        <v>390</v>
      </c>
    </row>
    <row r="6" customFormat="false" ht="45.75" hidden="false" customHeight="true" outlineLevel="0" collapsed="false">
      <c r="A6" s="28" t="s">
        <v>391</v>
      </c>
      <c r="B6" s="30" t="s">
        <v>392</v>
      </c>
      <c r="C6" s="10" t="s">
        <v>393</v>
      </c>
      <c r="D6" s="31" t="n">
        <v>1880</v>
      </c>
      <c r="E6" s="32" t="n">
        <v>1650</v>
      </c>
      <c r="F6" s="31" t="n">
        <f aca="false">D6-E6</f>
        <v>230</v>
      </c>
      <c r="G6" s="10" t="s">
        <v>394</v>
      </c>
    </row>
    <row r="7" customFormat="false" ht="45.75" hidden="false" customHeight="true" outlineLevel="0" collapsed="false">
      <c r="A7" s="28" t="s">
        <v>395</v>
      </c>
      <c r="B7" s="30" t="s">
        <v>396</v>
      </c>
      <c r="C7" s="10" t="s">
        <v>397</v>
      </c>
      <c r="D7" s="31" t="n">
        <v>4750</v>
      </c>
      <c r="E7" s="32" t="n">
        <v>4300</v>
      </c>
      <c r="F7" s="31" t="n">
        <f aca="false">D7-E7</f>
        <v>450</v>
      </c>
      <c r="G7" s="10" t="s">
        <v>398</v>
      </c>
    </row>
    <row r="8" customFormat="false" ht="45.75" hidden="false" customHeight="true" outlineLevel="0" collapsed="false">
      <c r="A8" s="28" t="s">
        <v>399</v>
      </c>
      <c r="B8" s="30" t="s">
        <v>400</v>
      </c>
      <c r="C8" s="10" t="s">
        <v>401</v>
      </c>
      <c r="D8" s="31" t="n">
        <v>2700</v>
      </c>
      <c r="E8" s="32" t="n">
        <v>2400</v>
      </c>
      <c r="F8" s="31" t="n">
        <f aca="false">D8-E8</f>
        <v>300</v>
      </c>
      <c r="G8" s="10" t="s">
        <v>402</v>
      </c>
    </row>
    <row r="9" customFormat="false" ht="45.75" hidden="false" customHeight="true" outlineLevel="0" collapsed="false">
      <c r="A9" s="28" t="s">
        <v>403</v>
      </c>
      <c r="B9" s="30" t="s">
        <v>404</v>
      </c>
      <c r="C9" s="10" t="s">
        <v>405</v>
      </c>
      <c r="D9" s="31" t="n">
        <v>4950</v>
      </c>
      <c r="E9" s="32" t="n">
        <v>4500</v>
      </c>
      <c r="F9" s="31" t="n">
        <f aca="false">D9-E9</f>
        <v>450</v>
      </c>
      <c r="G9" s="10" t="s">
        <v>406</v>
      </c>
    </row>
    <row r="10" customFormat="false" ht="45.75" hidden="false" customHeight="true" outlineLevel="0" collapsed="false">
      <c r="A10" s="28" t="s">
        <v>407</v>
      </c>
      <c r="B10" s="30" t="s">
        <v>408</v>
      </c>
      <c r="C10" s="10" t="s">
        <v>409</v>
      </c>
      <c r="D10" s="31" t="n">
        <v>3300</v>
      </c>
      <c r="E10" s="32" t="n">
        <v>2950</v>
      </c>
      <c r="F10" s="31" t="n">
        <f aca="false">D10-E10</f>
        <v>350</v>
      </c>
      <c r="G10" s="10" t="s">
        <v>410</v>
      </c>
    </row>
    <row r="11" customFormat="false" ht="45.75" hidden="false" customHeight="true" outlineLevel="0" collapsed="false">
      <c r="A11" s="28" t="s">
        <v>411</v>
      </c>
      <c r="B11" s="30" t="s">
        <v>412</v>
      </c>
      <c r="C11" s="10" t="s">
        <v>413</v>
      </c>
      <c r="D11" s="31" t="n">
        <v>4850</v>
      </c>
      <c r="E11" s="32" t="n">
        <v>4400</v>
      </c>
      <c r="F11" s="31" t="n">
        <f aca="false">D11-E11</f>
        <v>450</v>
      </c>
      <c r="G11" s="10" t="s">
        <v>414</v>
      </c>
    </row>
    <row r="12" customFormat="false" ht="45.75" hidden="false" customHeight="true" outlineLevel="0" collapsed="false">
      <c r="A12" s="28" t="s">
        <v>415</v>
      </c>
      <c r="B12" s="30" t="s">
        <v>416</v>
      </c>
      <c r="C12" s="10" t="s">
        <v>417</v>
      </c>
      <c r="D12" s="31" t="n">
        <v>2600</v>
      </c>
      <c r="E12" s="32" t="n">
        <v>2300</v>
      </c>
      <c r="F12" s="31" t="n">
        <f aca="false">D12-E12</f>
        <v>300</v>
      </c>
      <c r="G12" s="10" t="s">
        <v>418</v>
      </c>
    </row>
    <row r="13" customFormat="false" ht="45.75" hidden="false" customHeight="true" outlineLevel="0" collapsed="false">
      <c r="A13" s="28" t="s">
        <v>419</v>
      </c>
      <c r="B13" s="30" t="s">
        <v>420</v>
      </c>
      <c r="C13" s="10" t="s">
        <v>421</v>
      </c>
      <c r="D13" s="31" t="n">
        <v>2450</v>
      </c>
      <c r="E13" s="32" t="n">
        <v>2200</v>
      </c>
      <c r="F13" s="31" t="n">
        <f aca="false">D13-E13</f>
        <v>250</v>
      </c>
      <c r="G13" s="10" t="s">
        <v>422</v>
      </c>
    </row>
    <row r="14" customFormat="false" ht="45.75" hidden="false" customHeight="true" outlineLevel="0" collapsed="false">
      <c r="A14" s="28" t="s">
        <v>423</v>
      </c>
      <c r="B14" s="30" t="s">
        <v>424</v>
      </c>
      <c r="C14" s="10" t="s">
        <v>425</v>
      </c>
      <c r="D14" s="31" t="n">
        <v>1450</v>
      </c>
      <c r="E14" s="32" t="n">
        <v>1300</v>
      </c>
      <c r="F14" s="31" t="n">
        <f aca="false">D14-E14</f>
        <v>150</v>
      </c>
      <c r="G14" s="10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34"/>
  </cols>
  <sheetData>
    <row r="1" customFormat="false" ht="20.25" hidden="false" customHeight="true" outlineLevel="0" collapsed="false">
      <c r="A1" s="7" t="s">
        <v>427</v>
      </c>
    </row>
    <row r="2" customFormat="false" ht="15" hidden="false" customHeight="true" outlineLevel="0" collapsed="false">
      <c r="A2" s="3" t="s">
        <v>428</v>
      </c>
    </row>
    <row r="4" customFormat="false" ht="15" hidden="false" customHeight="true" outlineLevel="0" collapsed="false">
      <c r="A4" s="8" t="s">
        <v>429</v>
      </c>
      <c r="B4" s="8" t="s">
        <v>430</v>
      </c>
      <c r="C4" s="8" t="s">
        <v>431</v>
      </c>
      <c r="D4" s="8" t="s">
        <v>432</v>
      </c>
      <c r="E4" s="8" t="s">
        <v>433</v>
      </c>
    </row>
    <row r="5" customFormat="false" ht="31.5" hidden="false" customHeight="true" outlineLevel="0" collapsed="false">
      <c r="A5" s="23" t="s">
        <v>434</v>
      </c>
      <c r="B5" s="10" t="s">
        <v>435</v>
      </c>
      <c r="C5" s="10" t="s">
        <v>436</v>
      </c>
      <c r="D5" s="10" t="s">
        <v>437</v>
      </c>
      <c r="E5" s="10" t="s">
        <v>438</v>
      </c>
    </row>
    <row r="6" customFormat="false" ht="31.5" hidden="false" customHeight="true" outlineLevel="0" collapsed="false">
      <c r="A6" s="23" t="s">
        <v>439</v>
      </c>
      <c r="B6" s="10" t="s">
        <v>440</v>
      </c>
      <c r="C6" s="10" t="s">
        <v>441</v>
      </c>
      <c r="D6" s="10" t="s">
        <v>442</v>
      </c>
      <c r="E6" s="10" t="s">
        <v>443</v>
      </c>
    </row>
    <row r="7" customFormat="false" ht="31.5" hidden="false" customHeight="true" outlineLevel="0" collapsed="false">
      <c r="A7" s="23" t="s">
        <v>444</v>
      </c>
      <c r="B7" s="10" t="s">
        <v>445</v>
      </c>
      <c r="C7" s="10" t="s">
        <v>446</v>
      </c>
      <c r="D7" s="10" t="s">
        <v>447</v>
      </c>
      <c r="E7" s="10" t="s">
        <v>448</v>
      </c>
    </row>
    <row r="8" customFormat="false" ht="31.5" hidden="false" customHeight="true" outlineLevel="0" collapsed="false">
      <c r="A8" s="23" t="s">
        <v>449</v>
      </c>
      <c r="B8" s="10" t="s">
        <v>450</v>
      </c>
      <c r="C8" s="10" t="s">
        <v>451</v>
      </c>
      <c r="D8" s="10" t="s">
        <v>452</v>
      </c>
      <c r="E8" s="10" t="s">
        <v>453</v>
      </c>
    </row>
    <row r="9" customFormat="false" ht="31.5" hidden="false" customHeight="true" outlineLevel="0" collapsed="false">
      <c r="A9" s="23" t="s">
        <v>454</v>
      </c>
      <c r="B9" s="10" t="s">
        <v>455</v>
      </c>
      <c r="C9" s="10" t="s">
        <v>456</v>
      </c>
      <c r="D9" s="10" t="s">
        <v>457</v>
      </c>
      <c r="E9" s="10" t="s">
        <v>458</v>
      </c>
    </row>
    <row r="10" customFormat="false" ht="31.5" hidden="false" customHeight="true" outlineLevel="0" collapsed="false">
      <c r="A10" s="23" t="s">
        <v>459</v>
      </c>
      <c r="B10" s="10" t="s">
        <v>460</v>
      </c>
      <c r="C10" s="10" t="s">
        <v>461</v>
      </c>
      <c r="D10" s="10" t="s">
        <v>462</v>
      </c>
      <c r="E10" s="10" t="s">
        <v>463</v>
      </c>
    </row>
    <row r="11" customFormat="false" ht="31.5" hidden="false" customHeight="true" outlineLevel="0" collapsed="false">
      <c r="A11" s="23" t="s">
        <v>464</v>
      </c>
      <c r="B11" s="10" t="s">
        <v>142</v>
      </c>
      <c r="C11" s="10" t="s">
        <v>465</v>
      </c>
      <c r="D11" s="10" t="s">
        <v>466</v>
      </c>
      <c r="E11" s="10" t="s">
        <v>467</v>
      </c>
    </row>
    <row r="12" customFormat="false" ht="31.5" hidden="false" customHeight="true" outlineLevel="0" collapsed="false">
      <c r="A12" s="23" t="s">
        <v>468</v>
      </c>
      <c r="B12" s="10" t="s">
        <v>469</v>
      </c>
      <c r="C12" s="10" t="s">
        <v>470</v>
      </c>
      <c r="D12" s="10" t="s">
        <v>471</v>
      </c>
      <c r="E12" s="10" t="s">
        <v>472</v>
      </c>
    </row>
    <row r="13" customFormat="false" ht="31.5" hidden="false" customHeight="true" outlineLevel="0" collapsed="false">
      <c r="A13" s="23" t="s">
        <v>473</v>
      </c>
      <c r="B13" s="10" t="s">
        <v>474</v>
      </c>
      <c r="C13" s="10" t="s">
        <v>475</v>
      </c>
      <c r="D13" s="10" t="s">
        <v>476</v>
      </c>
      <c r="E13" s="10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8" min="8" style="1" width="11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1" min="11" style="1" width="24"/>
  </cols>
  <sheetData>
    <row r="1" customFormat="false" ht="20.25" hidden="false" customHeight="true" outlineLevel="0" collapsed="false">
      <c r="A1" s="7" t="s">
        <v>478</v>
      </c>
    </row>
    <row r="2" customFormat="false" ht="15" hidden="false" customHeight="true" outlineLevel="0" collapsed="false">
      <c r="A2" s="3" t="s">
        <v>479</v>
      </c>
    </row>
    <row r="4" customFormat="false" ht="15" hidden="false" customHeight="true" outlineLevel="0" collapsed="false">
      <c r="A4" s="8" t="s">
        <v>480</v>
      </c>
      <c r="B4" s="8" t="s">
        <v>481</v>
      </c>
      <c r="C4" s="8" t="s">
        <v>482</v>
      </c>
      <c r="D4" s="8" t="s">
        <v>483</v>
      </c>
      <c r="E4" s="8" t="s">
        <v>484</v>
      </c>
      <c r="F4" s="8" t="s">
        <v>485</v>
      </c>
      <c r="G4" s="8" t="s">
        <v>486</v>
      </c>
      <c r="H4" s="8" t="s">
        <v>22</v>
      </c>
      <c r="I4" s="8" t="s">
        <v>487</v>
      </c>
      <c r="J4" s="8" t="s">
        <v>488</v>
      </c>
      <c r="K4" s="8" t="s">
        <v>489</v>
      </c>
    </row>
    <row r="5" customFormat="false" ht="39.75" hidden="false" customHeight="true" outlineLevel="0" collapsed="false">
      <c r="A5" s="10" t="n">
        <v>1</v>
      </c>
      <c r="B5" s="33" t="s">
        <v>490</v>
      </c>
      <c r="C5" s="10" t="s">
        <v>491</v>
      </c>
      <c r="D5" s="10" t="s">
        <v>492</v>
      </c>
      <c r="E5" s="10" t="s">
        <v>493</v>
      </c>
      <c r="F5" s="10" t="s">
        <v>494</v>
      </c>
      <c r="G5" s="10" t="s">
        <v>495</v>
      </c>
      <c r="H5" s="10" t="s">
        <v>496</v>
      </c>
      <c r="I5" s="10" t="s">
        <v>497</v>
      </c>
      <c r="J5" s="10" t="s">
        <v>498</v>
      </c>
      <c r="K5" s="10" t="s">
        <v>499</v>
      </c>
    </row>
    <row r="6" customFormat="false" ht="39.75" hidden="false" customHeight="true" outlineLevel="0" collapsed="false">
      <c r="A6" s="10" t="n">
        <v>2</v>
      </c>
      <c r="B6" s="33" t="s">
        <v>500</v>
      </c>
      <c r="C6" s="10" t="s">
        <v>491</v>
      </c>
      <c r="D6" s="10" t="s">
        <v>492</v>
      </c>
      <c r="E6" s="10" t="s">
        <v>501</v>
      </c>
      <c r="F6" s="10" t="s">
        <v>502</v>
      </c>
      <c r="G6" s="10" t="s">
        <v>503</v>
      </c>
      <c r="H6" s="10" t="s">
        <v>504</v>
      </c>
      <c r="I6" s="10" t="s">
        <v>505</v>
      </c>
      <c r="J6" s="10" t="s">
        <v>498</v>
      </c>
      <c r="K6" s="10" t="s">
        <v>506</v>
      </c>
    </row>
    <row r="7" customFormat="false" ht="39.75" hidden="false" customHeight="true" outlineLevel="0" collapsed="false">
      <c r="A7" s="10" t="n">
        <v>3</v>
      </c>
      <c r="B7" s="33" t="s">
        <v>507</v>
      </c>
      <c r="C7" s="10" t="s">
        <v>491</v>
      </c>
      <c r="D7" s="10" t="s">
        <v>492</v>
      </c>
      <c r="E7" s="10" t="s">
        <v>508</v>
      </c>
      <c r="F7" s="10" t="s">
        <v>509</v>
      </c>
      <c r="G7" s="10" t="s">
        <v>510</v>
      </c>
      <c r="H7" s="10" t="s">
        <v>511</v>
      </c>
      <c r="I7" s="10" t="s">
        <v>512</v>
      </c>
      <c r="J7" s="10" t="s">
        <v>498</v>
      </c>
      <c r="K7" s="10" t="s">
        <v>513</v>
      </c>
    </row>
    <row r="8" customFormat="false" ht="39.75" hidden="false" customHeight="true" outlineLevel="0" collapsed="false">
      <c r="A8" s="10" t="n">
        <v>4</v>
      </c>
      <c r="B8" s="33" t="s">
        <v>514</v>
      </c>
      <c r="C8" s="10" t="s">
        <v>491</v>
      </c>
      <c r="D8" s="10" t="s">
        <v>492</v>
      </c>
      <c r="E8" s="10" t="s">
        <v>515</v>
      </c>
      <c r="F8" s="10" t="s">
        <v>516</v>
      </c>
      <c r="G8" s="10" t="s">
        <v>517</v>
      </c>
      <c r="H8" s="10" t="s">
        <v>518</v>
      </c>
      <c r="I8" s="10" t="s">
        <v>519</v>
      </c>
      <c r="J8" s="10" t="s">
        <v>520</v>
      </c>
      <c r="K8" s="10" t="s">
        <v>521</v>
      </c>
    </row>
    <row r="9" customFormat="false" ht="39.75" hidden="false" customHeight="true" outlineLevel="0" collapsed="false">
      <c r="A9" s="10" t="n">
        <v>5</v>
      </c>
      <c r="B9" s="33" t="s">
        <v>522</v>
      </c>
      <c r="C9" s="10" t="s">
        <v>491</v>
      </c>
      <c r="D9" s="10" t="s">
        <v>492</v>
      </c>
      <c r="E9" s="10" t="s">
        <v>523</v>
      </c>
      <c r="F9" s="10" t="s">
        <v>524</v>
      </c>
      <c r="G9" s="10" t="s">
        <v>525</v>
      </c>
      <c r="H9" s="10" t="s">
        <v>526</v>
      </c>
      <c r="I9" s="10" t="s">
        <v>527</v>
      </c>
      <c r="J9" s="10" t="s">
        <v>520</v>
      </c>
      <c r="K9" s="10" t="s">
        <v>528</v>
      </c>
    </row>
    <row r="10" customFormat="false" ht="27.75" hidden="false" customHeight="true" outlineLevel="0" collapsed="false">
      <c r="A10" s="12" t="n">
        <v>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27.75" hidden="false" customHeight="true" outlineLevel="0" collapsed="false">
      <c r="A11" s="12" t="n">
        <v>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customFormat="false" ht="27.75" hidden="false" customHeight="true" outlineLevel="0" collapsed="false">
      <c r="A12" s="12" t="n">
        <v>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27.75" hidden="false" customHeight="true" outlineLevel="0" collapsed="false">
      <c r="A13" s="12" t="n">
        <v>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customFormat="false" ht="27.75" hidden="false" customHeight="true" outlineLevel="0" collapsed="false">
      <c r="A14" s="12" t="n">
        <v>10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customFormat="false" ht="27.75" hidden="false" customHeight="true" outlineLevel="0" collapsed="false">
      <c r="A15" s="12" t="n">
        <v>11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customFormat="false" ht="27.75" hidden="false" customHeight="true" outlineLevel="0" collapsed="false">
      <c r="A16" s="12" t="n">
        <v>12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27.75" hidden="false" customHeight="true" outlineLevel="0" collapsed="false">
      <c r="A17" s="12" t="n">
        <v>13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customFormat="false" ht="27.75" hidden="false" customHeight="true" outlineLevel="0" collapsed="false">
      <c r="A18" s="12" t="n">
        <v>14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27.75" hidden="false" customHeight="true" outlineLevel="0" collapsed="false">
      <c r="A19" s="12" t="n">
        <v>15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customFormat="false" ht="27.75" hidden="false" customHeight="true" outlineLevel="0" collapsed="false">
      <c r="A20" s="12" t="n">
        <v>16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customFormat="false" ht="27.75" hidden="false" customHeight="true" outlineLevel="0" collapsed="false">
      <c r="A21" s="12" t="n">
        <v>17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customFormat="false" ht="27.75" hidden="false" customHeight="true" outlineLevel="0" collapsed="false">
      <c r="A22" s="12" t="n">
        <v>18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customFormat="false" ht="27.75" hidden="false" customHeight="true" outlineLevel="0" collapsed="false">
      <c r="A23" s="12" t="n">
        <v>19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customFormat="false" ht="27.75" hidden="false" customHeight="true" outlineLevel="0" collapsed="false">
      <c r="A24" s="12" t="n">
        <v>20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customFormat="false" ht="27.75" hidden="false" customHeight="true" outlineLevel="0" collapsed="false">
      <c r="A25" s="12" t="n">
        <v>21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customFormat="false" ht="27.75" hidden="false" customHeight="true" outlineLevel="0" collapsed="false">
      <c r="A26" s="12" t="n">
        <v>22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customFormat="false" ht="27.75" hidden="false" customHeight="true" outlineLevel="0" collapsed="false">
      <c r="A27" s="12" t="n">
        <v>23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customFormat="false" ht="27.75" hidden="false" customHeight="true" outlineLevel="0" collapsed="false">
      <c r="A28" s="12" t="n">
        <v>24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customFormat="false" ht="27.75" hidden="false" customHeight="true" outlineLevel="0" collapsed="false">
      <c r="A29" s="12" t="n">
        <v>25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customFormat="false" ht="27.75" hidden="false" customHeight="true" outlineLevel="0" collapsed="false">
      <c r="A30" s="12" t="n">
        <v>26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customFormat="false" ht="27.75" hidden="false" customHeight="true" outlineLevel="0" collapsed="false">
      <c r="A31" s="12" t="n">
        <v>27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</sheetData>
  <dataValidations count="1">
    <dataValidation allowBlank="true" errorStyle="stop" operator="between" showDropDown="false" showErrorMessage="false" showInputMessage="false" sqref="J5:J31" type="list">
      <formula1>"Idea,Proposed,In review,Approved,Building,Live,Parked"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4"/>
    <col collapsed="false" customWidth="true" hidden="false" outlineLevel="0" max="3" min="3" style="1" width="46"/>
  </cols>
  <sheetData>
    <row r="1" customFormat="false" ht="20.25" hidden="false" customHeight="true" outlineLevel="0" collapsed="false">
      <c r="A1" s="7" t="s">
        <v>529</v>
      </c>
    </row>
    <row r="2" customFormat="false" ht="15" hidden="false" customHeight="true" outlineLevel="0" collapsed="false">
      <c r="A2" s="3" t="s">
        <v>530</v>
      </c>
    </row>
    <row r="4" customFormat="false" ht="15" hidden="false" customHeight="true" outlineLevel="0" collapsed="false">
      <c r="A4" s="8" t="s">
        <v>531</v>
      </c>
      <c r="B4" s="8" t="s">
        <v>532</v>
      </c>
      <c r="C4" s="8" t="s">
        <v>533</v>
      </c>
    </row>
    <row r="5" customFormat="false" ht="43.5" hidden="false" customHeight="true" outlineLevel="0" collapsed="false">
      <c r="A5" s="23" t="s">
        <v>534</v>
      </c>
      <c r="B5" s="10" t="s">
        <v>535</v>
      </c>
      <c r="C5" s="10" t="s">
        <v>536</v>
      </c>
    </row>
    <row r="6" customFormat="false" ht="43.5" hidden="false" customHeight="true" outlineLevel="0" collapsed="false">
      <c r="A6" s="23" t="s">
        <v>537</v>
      </c>
      <c r="B6" s="10" t="s">
        <v>538</v>
      </c>
      <c r="C6" s="10" t="s">
        <v>539</v>
      </c>
    </row>
    <row r="7" customFormat="false" ht="43.5" hidden="false" customHeight="true" outlineLevel="0" collapsed="false">
      <c r="A7" s="23" t="s">
        <v>540</v>
      </c>
      <c r="B7" s="10" t="s">
        <v>541</v>
      </c>
      <c r="C7" s="10" t="s">
        <v>542</v>
      </c>
    </row>
    <row r="8" customFormat="false" ht="43.5" hidden="false" customHeight="true" outlineLevel="0" collapsed="false">
      <c r="A8" s="23" t="s">
        <v>543</v>
      </c>
      <c r="B8" s="10" t="s">
        <v>544</v>
      </c>
      <c r="C8" s="10" t="s">
        <v>545</v>
      </c>
    </row>
    <row r="9" customFormat="false" ht="43.5" hidden="false" customHeight="true" outlineLevel="0" collapsed="false">
      <c r="A9" s="23" t="s">
        <v>546</v>
      </c>
      <c r="B9" s="10" t="s">
        <v>547</v>
      </c>
      <c r="C9" s="10" t="s">
        <v>548</v>
      </c>
    </row>
    <row r="10" customFormat="false" ht="43.5" hidden="false" customHeight="true" outlineLevel="0" collapsed="false">
      <c r="A10" s="23" t="s">
        <v>549</v>
      </c>
      <c r="B10" s="10" t="s">
        <v>550</v>
      </c>
      <c r="C10" s="10" t="s">
        <v>551</v>
      </c>
    </row>
    <row r="11" customFormat="false" ht="43.5" hidden="false" customHeight="true" outlineLevel="0" collapsed="false">
      <c r="A11" s="23" t="s">
        <v>552</v>
      </c>
      <c r="B11" s="10" t="s">
        <v>553</v>
      </c>
      <c r="C11" s="10" t="s">
        <v>554</v>
      </c>
    </row>
    <row r="12" customFormat="false" ht="43.5" hidden="false" customHeight="true" outlineLevel="0" collapsed="false">
      <c r="A12" s="23" t="s">
        <v>555</v>
      </c>
      <c r="B12" s="10" t="s">
        <v>556</v>
      </c>
      <c r="C12" s="10" t="s">
        <v>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42"/>
    <col collapsed="false" customWidth="true" hidden="false" outlineLevel="0" max="4" min="4" style="1" width="38"/>
    <col collapsed="false" customWidth="true" hidden="false" outlineLevel="0" max="5" min="5" style="1" width="26"/>
  </cols>
  <sheetData>
    <row r="1" customFormat="false" ht="20.25" hidden="false" customHeight="true" outlineLevel="0" collapsed="false">
      <c r="A1" s="7" t="s">
        <v>558</v>
      </c>
    </row>
    <row r="2" customFormat="false" ht="15" hidden="false" customHeight="true" outlineLevel="0" collapsed="false">
      <c r="A2" s="3" t="s">
        <v>559</v>
      </c>
    </row>
    <row r="4" customFormat="false" ht="15" hidden="false" customHeight="true" outlineLevel="0" collapsed="false">
      <c r="A4" s="8" t="s">
        <v>560</v>
      </c>
      <c r="B4" s="8" t="s">
        <v>561</v>
      </c>
      <c r="C4" s="8" t="s">
        <v>562</v>
      </c>
      <c r="D4" s="8" t="s">
        <v>563</v>
      </c>
      <c r="E4" s="8" t="s">
        <v>564</v>
      </c>
    </row>
    <row r="5" customFormat="false" ht="66" hidden="false" customHeight="true" outlineLevel="0" collapsed="false">
      <c r="A5" s="34" t="s">
        <v>565</v>
      </c>
      <c r="B5" s="10" t="s">
        <v>566</v>
      </c>
      <c r="C5" s="10" t="s">
        <v>567</v>
      </c>
      <c r="D5" s="10" t="s">
        <v>568</v>
      </c>
      <c r="E5" s="10" t="s">
        <v>569</v>
      </c>
    </row>
    <row r="6" customFormat="false" ht="66" hidden="false" customHeight="true" outlineLevel="0" collapsed="false">
      <c r="A6" s="34" t="s">
        <v>570</v>
      </c>
      <c r="B6" s="10" t="s">
        <v>571</v>
      </c>
      <c r="C6" s="10" t="s">
        <v>572</v>
      </c>
      <c r="D6" s="10" t="s">
        <v>573</v>
      </c>
      <c r="E6" s="10" t="s">
        <v>574</v>
      </c>
    </row>
    <row r="7" customFormat="false" ht="66" hidden="false" customHeight="true" outlineLevel="0" collapsed="false">
      <c r="A7" s="34" t="s">
        <v>575</v>
      </c>
      <c r="B7" s="10" t="s">
        <v>576</v>
      </c>
      <c r="C7" s="10" t="s">
        <v>577</v>
      </c>
      <c r="D7" s="10" t="s">
        <v>578</v>
      </c>
      <c r="E7" s="10" t="s">
        <v>579</v>
      </c>
    </row>
    <row r="8" customFormat="false" ht="66" hidden="false" customHeight="true" outlineLevel="0" collapsed="false">
      <c r="A8" s="34" t="s">
        <v>580</v>
      </c>
      <c r="B8" s="10" t="s">
        <v>581</v>
      </c>
      <c r="C8" s="10" t="s">
        <v>582</v>
      </c>
      <c r="D8" s="10" t="s">
        <v>583</v>
      </c>
      <c r="E8" s="10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2"/>
    <col collapsed="false" customWidth="true" hidden="false" outlineLevel="0" max="5" min="5" style="1" width="28"/>
  </cols>
  <sheetData>
    <row r="1" customFormat="false" ht="20.25" hidden="false" customHeight="true" outlineLevel="0" collapsed="false">
      <c r="A1" s="7" t="s">
        <v>585</v>
      </c>
    </row>
    <row r="2" customFormat="false" ht="15" hidden="false" customHeight="true" outlineLevel="0" collapsed="false">
      <c r="A2" s="3" t="s">
        <v>586</v>
      </c>
    </row>
    <row r="4" customFormat="false" ht="15" hidden="false" customHeight="true" outlineLevel="0" collapsed="false">
      <c r="A4" s="8" t="s">
        <v>18</v>
      </c>
      <c r="B4" s="8" t="s">
        <v>587</v>
      </c>
      <c r="C4" s="8" t="s">
        <v>22</v>
      </c>
      <c r="D4" s="8" t="s">
        <v>588</v>
      </c>
      <c r="E4" s="8" t="s">
        <v>589</v>
      </c>
    </row>
    <row r="5" customFormat="false" ht="33.75" hidden="false" customHeight="true" outlineLevel="0" collapsed="false">
      <c r="A5" s="28" t="s">
        <v>590</v>
      </c>
      <c r="B5" s="35" t="s">
        <v>591</v>
      </c>
      <c r="C5" s="36" t="n">
        <v>700</v>
      </c>
      <c r="D5" s="10" t="s">
        <v>592</v>
      </c>
      <c r="E5" s="10" t="s">
        <v>593</v>
      </c>
    </row>
    <row r="6" customFormat="false" ht="33.75" hidden="false" customHeight="true" outlineLevel="0" collapsed="false">
      <c r="A6" s="24"/>
      <c r="B6" s="37" t="s">
        <v>594</v>
      </c>
      <c r="C6" s="36" t="n">
        <v>1200</v>
      </c>
      <c r="D6" s="10" t="s">
        <v>595</v>
      </c>
      <c r="E6" s="10" t="s">
        <v>596</v>
      </c>
    </row>
    <row r="7" customFormat="false" ht="33.75" hidden="false" customHeight="true" outlineLevel="0" collapsed="false">
      <c r="A7" s="24"/>
      <c r="B7" s="38" t="s">
        <v>597</v>
      </c>
      <c r="C7" s="36" t="n">
        <v>2200</v>
      </c>
      <c r="D7" s="10" t="s">
        <v>598</v>
      </c>
      <c r="E7" s="10" t="s">
        <v>599</v>
      </c>
    </row>
    <row r="8" customFormat="false" ht="33.75" hidden="false" customHeight="true" outlineLevel="0" collapsed="false">
      <c r="A8" s="28" t="s">
        <v>600</v>
      </c>
      <c r="B8" s="35" t="s">
        <v>591</v>
      </c>
      <c r="C8" s="36" t="n">
        <v>300</v>
      </c>
      <c r="D8" s="10" t="s">
        <v>601</v>
      </c>
      <c r="E8" s="10" t="s">
        <v>602</v>
      </c>
    </row>
    <row r="9" customFormat="false" ht="33.75" hidden="false" customHeight="true" outlineLevel="0" collapsed="false">
      <c r="A9" s="24"/>
      <c r="B9" s="37" t="s">
        <v>594</v>
      </c>
      <c r="C9" s="36" t="n">
        <v>500</v>
      </c>
      <c r="D9" s="10" t="s">
        <v>603</v>
      </c>
      <c r="E9" s="10" t="s">
        <v>604</v>
      </c>
    </row>
    <row r="10" customFormat="false" ht="33.75" hidden="false" customHeight="true" outlineLevel="0" collapsed="false">
      <c r="A10" s="24"/>
      <c r="B10" s="38" t="s">
        <v>597</v>
      </c>
      <c r="C10" s="36" t="n">
        <v>950</v>
      </c>
      <c r="D10" s="10" t="s">
        <v>605</v>
      </c>
      <c r="E10" s="10" t="s">
        <v>606</v>
      </c>
    </row>
    <row r="11" customFormat="false" ht="33.75" hidden="false" customHeight="true" outlineLevel="0" collapsed="false">
      <c r="A11" s="28" t="s">
        <v>607</v>
      </c>
      <c r="B11" s="35" t="s">
        <v>591</v>
      </c>
      <c r="C11" s="36" t="n">
        <v>400</v>
      </c>
      <c r="D11" s="10" t="s">
        <v>608</v>
      </c>
      <c r="E11" s="10" t="s">
        <v>609</v>
      </c>
    </row>
    <row r="12" customFormat="false" ht="33.75" hidden="false" customHeight="true" outlineLevel="0" collapsed="false">
      <c r="A12" s="24"/>
      <c r="B12" s="37" t="s">
        <v>594</v>
      </c>
      <c r="C12" s="36" t="n">
        <v>550</v>
      </c>
      <c r="D12" s="10" t="s">
        <v>610</v>
      </c>
      <c r="E12" s="10" t="s">
        <v>611</v>
      </c>
    </row>
    <row r="13" customFormat="false" ht="33.75" hidden="false" customHeight="true" outlineLevel="0" collapsed="false">
      <c r="A13" s="24"/>
      <c r="B13" s="38" t="s">
        <v>597</v>
      </c>
      <c r="C13" s="36" t="n">
        <v>850</v>
      </c>
      <c r="D13" s="10" t="s">
        <v>612</v>
      </c>
      <c r="E13" s="10" t="s">
        <v>613</v>
      </c>
    </row>
    <row r="14" customFormat="false" ht="33.75" hidden="false" customHeight="true" outlineLevel="0" collapsed="false">
      <c r="A14" s="28" t="s">
        <v>247</v>
      </c>
      <c r="B14" s="35" t="s">
        <v>614</v>
      </c>
      <c r="C14" s="36" t="n">
        <v>500</v>
      </c>
      <c r="D14" s="10" t="s">
        <v>615</v>
      </c>
      <c r="E14" s="10" t="s">
        <v>616</v>
      </c>
    </row>
    <row r="15" customFormat="false" ht="33.75" hidden="false" customHeight="true" outlineLevel="0" collapsed="false">
      <c r="A15" s="24"/>
      <c r="B15" s="37" t="s">
        <v>617</v>
      </c>
      <c r="C15" s="36" t="n">
        <v>1200</v>
      </c>
      <c r="D15" s="10" t="s">
        <v>618</v>
      </c>
      <c r="E15" s="10" t="s">
        <v>619</v>
      </c>
    </row>
    <row r="16" customFormat="false" ht="33.75" hidden="false" customHeight="true" outlineLevel="0" collapsed="false">
      <c r="A16" s="24"/>
      <c r="B16" s="39" t="s">
        <v>620</v>
      </c>
      <c r="C16" s="36" t="n">
        <v>2500</v>
      </c>
      <c r="D16" s="10" t="s">
        <v>621</v>
      </c>
      <c r="E16" s="10" t="s">
        <v>622</v>
      </c>
    </row>
    <row r="17" customFormat="false" ht="33.75" hidden="false" customHeight="true" outlineLevel="0" collapsed="false">
      <c r="A17" s="28" t="s">
        <v>182</v>
      </c>
      <c r="B17" s="37" t="s">
        <v>594</v>
      </c>
      <c r="C17" s="36" t="n">
        <v>600</v>
      </c>
      <c r="D17" s="10" t="s">
        <v>623</v>
      </c>
      <c r="E17" s="10" t="s">
        <v>624</v>
      </c>
    </row>
    <row r="18" customFormat="false" ht="33.75" hidden="false" customHeight="true" outlineLevel="0" collapsed="false">
      <c r="A18" s="24"/>
      <c r="B18" s="38" t="s">
        <v>597</v>
      </c>
      <c r="C18" s="36" t="n">
        <v>1200</v>
      </c>
      <c r="D18" s="10" t="s">
        <v>625</v>
      </c>
      <c r="E18" s="10" t="s">
        <v>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26"/>
  </cols>
  <sheetData>
    <row r="1" customFormat="false" ht="20.25" hidden="false" customHeight="true" outlineLevel="0" collapsed="false">
      <c r="A1" s="7" t="s">
        <v>627</v>
      </c>
    </row>
    <row r="2" customFormat="false" ht="15" hidden="false" customHeight="true" outlineLevel="0" collapsed="false">
      <c r="A2" s="3" t="s">
        <v>628</v>
      </c>
    </row>
    <row r="4" customFormat="false" ht="23.25" hidden="false" customHeight="true" outlineLevel="0" collapsed="false">
      <c r="A4" s="8" t="s">
        <v>629</v>
      </c>
      <c r="B4" s="8" t="s">
        <v>630</v>
      </c>
      <c r="C4" s="8" t="s">
        <v>631</v>
      </c>
      <c r="D4" s="8" t="s">
        <v>632</v>
      </c>
      <c r="E4" s="8" t="s">
        <v>633</v>
      </c>
      <c r="F4" s="8" t="s">
        <v>634</v>
      </c>
    </row>
    <row r="5" customFormat="false" ht="25.5" hidden="false" customHeight="true" outlineLevel="0" collapsed="false">
      <c r="A5" s="40" t="s">
        <v>635</v>
      </c>
      <c r="B5" s="33" t="s">
        <v>636</v>
      </c>
      <c r="C5" s="10" t="s">
        <v>637</v>
      </c>
      <c r="D5" s="10" t="s">
        <v>638</v>
      </c>
      <c r="E5" s="9" t="s">
        <v>639</v>
      </c>
      <c r="F5" s="10" t="s">
        <v>640</v>
      </c>
    </row>
    <row r="6" customFormat="false" ht="25.5" hidden="false" customHeight="true" outlineLevel="0" collapsed="false">
      <c r="A6" s="41"/>
      <c r="B6" s="10"/>
      <c r="C6" s="10" t="s">
        <v>641</v>
      </c>
      <c r="D6" s="10" t="s">
        <v>638</v>
      </c>
      <c r="E6" s="9" t="s">
        <v>639</v>
      </c>
      <c r="F6" s="10"/>
    </row>
    <row r="7" customFormat="false" ht="25.5" hidden="false" customHeight="true" outlineLevel="0" collapsed="false">
      <c r="A7" s="41"/>
      <c r="B7" s="10"/>
      <c r="C7" s="10" t="s">
        <v>642</v>
      </c>
      <c r="D7" s="10" t="s">
        <v>638</v>
      </c>
      <c r="E7" s="9" t="s">
        <v>639</v>
      </c>
      <c r="F7" s="10"/>
    </row>
    <row r="8" customFormat="false" ht="25.5" hidden="false" customHeight="true" outlineLevel="0" collapsed="false">
      <c r="A8" s="41"/>
      <c r="B8" s="10"/>
      <c r="C8" s="10" t="s">
        <v>643</v>
      </c>
      <c r="D8" s="10" t="s">
        <v>638</v>
      </c>
      <c r="E8" s="9" t="s">
        <v>639</v>
      </c>
      <c r="F8" s="10"/>
    </row>
    <row r="9" customFormat="false" ht="25.5" hidden="false" customHeight="true" outlineLevel="0" collapsed="false">
      <c r="A9" s="41"/>
      <c r="B9" s="10"/>
      <c r="C9" s="10" t="s">
        <v>644</v>
      </c>
      <c r="D9" s="10" t="s">
        <v>638</v>
      </c>
      <c r="E9" s="9" t="s">
        <v>639</v>
      </c>
      <c r="F9" s="10"/>
    </row>
    <row r="10" customFormat="false" ht="25.5" hidden="false" customHeight="true" outlineLevel="0" collapsed="false">
      <c r="A10" s="41"/>
      <c r="B10" s="10"/>
      <c r="C10" s="10" t="s">
        <v>645</v>
      </c>
      <c r="D10" s="10" t="s">
        <v>638</v>
      </c>
      <c r="E10" s="9" t="s">
        <v>639</v>
      </c>
      <c r="F10" s="10"/>
    </row>
    <row r="11" customFormat="false" ht="25.5" hidden="false" customHeight="true" outlineLevel="0" collapsed="false">
      <c r="A11" s="41"/>
      <c r="B11" s="33" t="s">
        <v>646</v>
      </c>
      <c r="C11" s="10" t="s">
        <v>647</v>
      </c>
      <c r="D11" s="10" t="s">
        <v>638</v>
      </c>
      <c r="E11" s="9" t="s">
        <v>639</v>
      </c>
      <c r="F11" s="10" t="s">
        <v>640</v>
      </c>
    </row>
    <row r="12" customFormat="false" ht="25.5" hidden="false" customHeight="true" outlineLevel="0" collapsed="false">
      <c r="A12" s="41"/>
      <c r="B12" s="10"/>
      <c r="C12" s="10" t="s">
        <v>648</v>
      </c>
      <c r="D12" s="10" t="s">
        <v>638</v>
      </c>
      <c r="E12" s="9" t="s">
        <v>639</v>
      </c>
      <c r="F12" s="10"/>
    </row>
    <row r="13" customFormat="false" ht="25.5" hidden="false" customHeight="true" outlineLevel="0" collapsed="false">
      <c r="A13" s="41"/>
      <c r="B13" s="10"/>
      <c r="C13" s="10" t="s">
        <v>649</v>
      </c>
      <c r="D13" s="10" t="s">
        <v>638</v>
      </c>
      <c r="E13" s="9" t="s">
        <v>639</v>
      </c>
      <c r="F13" s="10"/>
    </row>
    <row r="14" customFormat="false" ht="25.5" hidden="false" customHeight="true" outlineLevel="0" collapsed="false">
      <c r="A14" s="41"/>
      <c r="B14" s="10"/>
      <c r="C14" s="10" t="s">
        <v>650</v>
      </c>
      <c r="D14" s="10" t="s">
        <v>638</v>
      </c>
      <c r="E14" s="9" t="s">
        <v>639</v>
      </c>
      <c r="F14" s="10"/>
    </row>
    <row r="15" customFormat="false" ht="25.5" hidden="false" customHeight="true" outlineLevel="0" collapsed="false">
      <c r="A15" s="41"/>
      <c r="B15" s="10"/>
      <c r="C15" s="10" t="s">
        <v>651</v>
      </c>
      <c r="D15" s="10" t="s">
        <v>638</v>
      </c>
      <c r="E15" s="9" t="s">
        <v>639</v>
      </c>
      <c r="F15" s="10"/>
    </row>
    <row r="16" customFormat="false" ht="25.5" hidden="false" customHeight="true" outlineLevel="0" collapsed="false">
      <c r="A16" s="41"/>
      <c r="B16" s="10"/>
      <c r="C16" s="10" t="s">
        <v>652</v>
      </c>
      <c r="D16" s="10" t="s">
        <v>638</v>
      </c>
      <c r="E16" s="9" t="s">
        <v>639</v>
      </c>
      <c r="F16" s="10"/>
    </row>
    <row r="17" customFormat="false" ht="25.5" hidden="false" customHeight="true" outlineLevel="0" collapsed="false">
      <c r="A17" s="41"/>
      <c r="B17" s="33" t="s">
        <v>653</v>
      </c>
      <c r="C17" s="10" t="s">
        <v>654</v>
      </c>
      <c r="D17" s="10" t="s">
        <v>638</v>
      </c>
      <c r="E17" s="9" t="s">
        <v>639</v>
      </c>
      <c r="F17" s="10" t="s">
        <v>640</v>
      </c>
    </row>
    <row r="18" customFormat="false" ht="25.5" hidden="false" customHeight="true" outlineLevel="0" collapsed="false">
      <c r="A18" s="41"/>
      <c r="B18" s="10"/>
      <c r="C18" s="10" t="s">
        <v>655</v>
      </c>
      <c r="D18" s="10" t="s">
        <v>638</v>
      </c>
      <c r="E18" s="9" t="s">
        <v>639</v>
      </c>
      <c r="F18" s="10"/>
    </row>
    <row r="19" customFormat="false" ht="25.5" hidden="false" customHeight="true" outlineLevel="0" collapsed="false">
      <c r="A19" s="41"/>
      <c r="B19" s="10"/>
      <c r="C19" s="10" t="s">
        <v>656</v>
      </c>
      <c r="D19" s="10" t="s">
        <v>638</v>
      </c>
      <c r="E19" s="9" t="s">
        <v>639</v>
      </c>
      <c r="F19" s="10"/>
    </row>
    <row r="20" customFormat="false" ht="25.5" hidden="false" customHeight="true" outlineLevel="0" collapsed="false">
      <c r="A20" s="41"/>
      <c r="B20" s="10"/>
      <c r="C20" s="10" t="s">
        <v>657</v>
      </c>
      <c r="D20" s="10" t="s">
        <v>638</v>
      </c>
      <c r="E20" s="9" t="s">
        <v>639</v>
      </c>
      <c r="F20" s="10"/>
    </row>
    <row r="21" customFormat="false" ht="25.5" hidden="false" customHeight="true" outlineLevel="0" collapsed="false">
      <c r="A21" s="41"/>
      <c r="B21" s="33" t="s">
        <v>658</v>
      </c>
      <c r="C21" s="10" t="s">
        <v>659</v>
      </c>
      <c r="D21" s="10" t="s">
        <v>638</v>
      </c>
      <c r="E21" s="9" t="s">
        <v>639</v>
      </c>
      <c r="F21" s="10" t="s">
        <v>640</v>
      </c>
    </row>
    <row r="22" customFormat="false" ht="25.5" hidden="false" customHeight="true" outlineLevel="0" collapsed="false">
      <c r="A22" s="41"/>
      <c r="B22" s="10"/>
      <c r="C22" s="10" t="s">
        <v>660</v>
      </c>
      <c r="D22" s="10" t="s">
        <v>638</v>
      </c>
      <c r="E22" s="9" t="s">
        <v>639</v>
      </c>
      <c r="F22" s="10"/>
    </row>
    <row r="23" customFormat="false" ht="25.5" hidden="false" customHeight="true" outlineLevel="0" collapsed="false">
      <c r="A23" s="41"/>
      <c r="B23" s="10"/>
      <c r="C23" s="10" t="s">
        <v>661</v>
      </c>
      <c r="D23" s="10" t="s">
        <v>638</v>
      </c>
      <c r="E23" s="9" t="s">
        <v>639</v>
      </c>
      <c r="F23" s="10"/>
    </row>
    <row r="24" customFormat="false" ht="25.5" hidden="false" customHeight="true" outlineLevel="0" collapsed="false">
      <c r="A24" s="41"/>
      <c r="B24" s="10"/>
      <c r="C24" s="10" t="s">
        <v>662</v>
      </c>
      <c r="D24" s="10" t="s">
        <v>638</v>
      </c>
      <c r="E24" s="9" t="s">
        <v>639</v>
      </c>
      <c r="F24" s="10"/>
    </row>
    <row r="25" customFormat="false" ht="25.5" hidden="false" customHeight="true" outlineLevel="0" collapsed="false">
      <c r="A25" s="41"/>
      <c r="B25" s="33" t="s">
        <v>663</v>
      </c>
      <c r="C25" s="10" t="s">
        <v>664</v>
      </c>
      <c r="D25" s="10" t="s">
        <v>638</v>
      </c>
      <c r="E25" s="9" t="s">
        <v>639</v>
      </c>
      <c r="F25" s="10" t="s">
        <v>640</v>
      </c>
    </row>
    <row r="26" customFormat="false" ht="25.5" hidden="false" customHeight="true" outlineLevel="0" collapsed="false">
      <c r="A26" s="41"/>
      <c r="B26" s="10"/>
      <c r="C26" s="10" t="s">
        <v>665</v>
      </c>
      <c r="D26" s="10" t="s">
        <v>638</v>
      </c>
      <c r="E26" s="9" t="s">
        <v>639</v>
      </c>
      <c r="F26" s="10"/>
    </row>
    <row r="27" customFormat="false" ht="25.5" hidden="false" customHeight="true" outlineLevel="0" collapsed="false">
      <c r="A27" s="41"/>
      <c r="B27" s="10"/>
      <c r="C27" s="10" t="s">
        <v>666</v>
      </c>
      <c r="D27" s="10" t="s">
        <v>638</v>
      </c>
      <c r="E27" s="9" t="s">
        <v>639</v>
      </c>
      <c r="F27" s="10"/>
    </row>
    <row r="28" customFormat="false" ht="25.5" hidden="false" customHeight="true" outlineLevel="0" collapsed="false">
      <c r="A28" s="41"/>
      <c r="B28" s="10"/>
      <c r="C28" s="10" t="s">
        <v>667</v>
      </c>
      <c r="D28" s="10" t="s">
        <v>638</v>
      </c>
      <c r="E28" s="9" t="s">
        <v>639</v>
      </c>
      <c r="F28" s="10"/>
    </row>
    <row r="29" customFormat="false" ht="25.5" hidden="false" customHeight="true" outlineLevel="0" collapsed="false">
      <c r="A29" s="41"/>
      <c r="B29" s="33" t="s">
        <v>668</v>
      </c>
      <c r="C29" s="10" t="s">
        <v>669</v>
      </c>
      <c r="D29" s="10" t="s">
        <v>638</v>
      </c>
      <c r="E29" s="9" t="s">
        <v>639</v>
      </c>
      <c r="F29" s="10" t="s">
        <v>640</v>
      </c>
    </row>
    <row r="30" customFormat="false" ht="25.5" hidden="false" customHeight="true" outlineLevel="0" collapsed="false">
      <c r="A30" s="41"/>
      <c r="B30" s="10"/>
      <c r="C30" s="10" t="s">
        <v>670</v>
      </c>
      <c r="D30" s="10" t="s">
        <v>638</v>
      </c>
      <c r="E30" s="9" t="s">
        <v>639</v>
      </c>
      <c r="F30" s="10"/>
    </row>
    <row r="31" customFormat="false" ht="25.5" hidden="false" customHeight="true" outlineLevel="0" collapsed="false">
      <c r="A31" s="41"/>
      <c r="B31" s="10"/>
      <c r="C31" s="10" t="s">
        <v>671</v>
      </c>
      <c r="D31" s="10" t="s">
        <v>638</v>
      </c>
      <c r="E31" s="9" t="s">
        <v>639</v>
      </c>
      <c r="F31" s="10"/>
    </row>
    <row r="32" customFormat="false" ht="25.5" hidden="false" customHeight="true" outlineLevel="0" collapsed="false">
      <c r="A32" s="41"/>
      <c r="B32" s="10"/>
      <c r="C32" s="10" t="s">
        <v>672</v>
      </c>
      <c r="D32" s="10" t="s">
        <v>638</v>
      </c>
      <c r="E32" s="9" t="s">
        <v>639</v>
      </c>
      <c r="F32" s="10"/>
    </row>
    <row r="33" customFormat="false" ht="25.5" hidden="false" customHeight="true" outlineLevel="0" collapsed="false">
      <c r="A33" s="42" t="s">
        <v>673</v>
      </c>
      <c r="B33" s="33" t="s">
        <v>600</v>
      </c>
      <c r="C33" s="10" t="s">
        <v>674</v>
      </c>
      <c r="D33" s="10" t="s">
        <v>638</v>
      </c>
      <c r="E33" s="9" t="s">
        <v>639</v>
      </c>
      <c r="F33" s="10" t="s">
        <v>675</v>
      </c>
    </row>
    <row r="34" customFormat="false" ht="25.5" hidden="false" customHeight="true" outlineLevel="0" collapsed="false">
      <c r="A34" s="41"/>
      <c r="B34" s="10"/>
      <c r="C34" s="10" t="s">
        <v>676</v>
      </c>
      <c r="D34" s="10" t="s">
        <v>638</v>
      </c>
      <c r="E34" s="9" t="s">
        <v>639</v>
      </c>
      <c r="F34" s="10"/>
    </row>
    <row r="35" customFormat="false" ht="25.5" hidden="false" customHeight="true" outlineLevel="0" collapsed="false">
      <c r="A35" s="41"/>
      <c r="B35" s="10"/>
      <c r="C35" s="10" t="s">
        <v>677</v>
      </c>
      <c r="D35" s="10" t="s">
        <v>638</v>
      </c>
      <c r="E35" s="9" t="s">
        <v>639</v>
      </c>
      <c r="F35" s="10"/>
    </row>
    <row r="36" customFormat="false" ht="25.5" hidden="false" customHeight="true" outlineLevel="0" collapsed="false">
      <c r="A36" s="41"/>
      <c r="B36" s="10"/>
      <c r="C36" s="10" t="s">
        <v>678</v>
      </c>
      <c r="D36" s="10" t="s">
        <v>638</v>
      </c>
      <c r="E36" s="9" t="s">
        <v>639</v>
      </c>
      <c r="F36" s="10"/>
    </row>
    <row r="37" customFormat="false" ht="25.5" hidden="false" customHeight="true" outlineLevel="0" collapsed="false">
      <c r="A37" s="41"/>
      <c r="B37" s="33" t="s">
        <v>679</v>
      </c>
      <c r="C37" s="10" t="s">
        <v>680</v>
      </c>
      <c r="D37" s="10" t="s">
        <v>638</v>
      </c>
      <c r="E37" s="9" t="s">
        <v>639</v>
      </c>
      <c r="F37" s="10" t="s">
        <v>675</v>
      </c>
    </row>
    <row r="38" customFormat="false" ht="25.5" hidden="false" customHeight="true" outlineLevel="0" collapsed="false">
      <c r="A38" s="41"/>
      <c r="B38" s="10"/>
      <c r="C38" s="10" t="s">
        <v>681</v>
      </c>
      <c r="D38" s="10" t="s">
        <v>638</v>
      </c>
      <c r="E38" s="9" t="s">
        <v>639</v>
      </c>
      <c r="F38" s="10"/>
    </row>
    <row r="39" customFormat="false" ht="25.5" hidden="false" customHeight="true" outlineLevel="0" collapsed="false">
      <c r="A39" s="41"/>
      <c r="B39" s="10"/>
      <c r="C39" s="10" t="s">
        <v>682</v>
      </c>
      <c r="D39" s="10" t="s">
        <v>638</v>
      </c>
      <c r="E39" s="9" t="s">
        <v>639</v>
      </c>
      <c r="F39" s="10"/>
    </row>
    <row r="40" customFormat="false" ht="25.5" hidden="false" customHeight="true" outlineLevel="0" collapsed="false">
      <c r="A40" s="41"/>
      <c r="B40" s="10"/>
      <c r="C40" s="10" t="s">
        <v>683</v>
      </c>
      <c r="D40" s="10" t="s">
        <v>638</v>
      </c>
      <c r="E40" s="9" t="s">
        <v>639</v>
      </c>
      <c r="F40" s="10"/>
    </row>
    <row r="41" customFormat="false" ht="25.5" hidden="false" customHeight="true" outlineLevel="0" collapsed="false">
      <c r="A41" s="41"/>
      <c r="B41" s="33" t="s">
        <v>684</v>
      </c>
      <c r="C41" s="10" t="s">
        <v>685</v>
      </c>
      <c r="D41" s="10" t="s">
        <v>638</v>
      </c>
      <c r="E41" s="9" t="s">
        <v>639</v>
      </c>
      <c r="F41" s="10" t="s">
        <v>675</v>
      </c>
    </row>
    <row r="42" customFormat="false" ht="25.5" hidden="false" customHeight="true" outlineLevel="0" collapsed="false">
      <c r="A42" s="41"/>
      <c r="B42" s="10"/>
      <c r="C42" s="10" t="s">
        <v>686</v>
      </c>
      <c r="D42" s="10" t="s">
        <v>638</v>
      </c>
      <c r="E42" s="9" t="s">
        <v>639</v>
      </c>
      <c r="F42" s="10"/>
    </row>
    <row r="43" customFormat="false" ht="25.5" hidden="false" customHeight="true" outlineLevel="0" collapsed="false">
      <c r="A43" s="41"/>
      <c r="B43" s="10"/>
      <c r="C43" s="10" t="s">
        <v>687</v>
      </c>
      <c r="D43" s="10" t="s">
        <v>638</v>
      </c>
      <c r="E43" s="9" t="s">
        <v>639</v>
      </c>
      <c r="F43" s="10"/>
    </row>
    <row r="44" customFormat="false" ht="25.5" hidden="false" customHeight="true" outlineLevel="0" collapsed="false">
      <c r="A44" s="41"/>
      <c r="B44" s="10"/>
      <c r="C44" s="10" t="s">
        <v>688</v>
      </c>
      <c r="D44" s="10" t="s">
        <v>638</v>
      </c>
      <c r="E44" s="9" t="s">
        <v>639</v>
      </c>
      <c r="F44" s="10"/>
    </row>
    <row r="45" customFormat="false" ht="25.5" hidden="false" customHeight="true" outlineLevel="0" collapsed="false">
      <c r="A45" s="41"/>
      <c r="B45" s="33" t="s">
        <v>689</v>
      </c>
      <c r="C45" s="10" t="s">
        <v>690</v>
      </c>
      <c r="D45" s="10" t="s">
        <v>638</v>
      </c>
      <c r="E45" s="9" t="s">
        <v>639</v>
      </c>
      <c r="F45" s="10" t="s">
        <v>675</v>
      </c>
    </row>
    <row r="46" customFormat="false" ht="25.5" hidden="false" customHeight="true" outlineLevel="0" collapsed="false">
      <c r="A46" s="41"/>
      <c r="B46" s="10"/>
      <c r="C46" s="10" t="s">
        <v>691</v>
      </c>
      <c r="D46" s="10" t="s">
        <v>638</v>
      </c>
      <c r="E46" s="9" t="s">
        <v>639</v>
      </c>
      <c r="F46" s="10"/>
    </row>
    <row r="47" customFormat="false" ht="25.5" hidden="false" customHeight="true" outlineLevel="0" collapsed="false">
      <c r="A47" s="41"/>
      <c r="B47" s="10"/>
      <c r="C47" s="10" t="s">
        <v>692</v>
      </c>
      <c r="D47" s="10" t="s">
        <v>638</v>
      </c>
      <c r="E47" s="9" t="s">
        <v>639</v>
      </c>
      <c r="F47" s="10"/>
    </row>
    <row r="48" customFormat="false" ht="25.5" hidden="false" customHeight="true" outlineLevel="0" collapsed="false">
      <c r="A48" s="41"/>
      <c r="B48" s="10"/>
      <c r="C48" s="10" t="s">
        <v>693</v>
      </c>
      <c r="D48" s="10" t="s">
        <v>638</v>
      </c>
      <c r="E48" s="9" t="s">
        <v>639</v>
      </c>
      <c r="F48" s="10"/>
    </row>
    <row r="49" customFormat="false" ht="25.5" hidden="false" customHeight="true" outlineLevel="0" collapsed="false">
      <c r="A49" s="41"/>
      <c r="B49" s="33" t="s">
        <v>694</v>
      </c>
      <c r="C49" s="10" t="s">
        <v>695</v>
      </c>
      <c r="D49" s="10" t="s">
        <v>638</v>
      </c>
      <c r="E49" s="9" t="s">
        <v>639</v>
      </c>
      <c r="F49" s="10" t="s">
        <v>675</v>
      </c>
    </row>
    <row r="50" customFormat="false" ht="25.5" hidden="false" customHeight="true" outlineLevel="0" collapsed="false">
      <c r="A50" s="41"/>
      <c r="B50" s="10"/>
      <c r="C50" s="10" t="s">
        <v>696</v>
      </c>
      <c r="D50" s="10" t="s">
        <v>638</v>
      </c>
      <c r="E50" s="9" t="s">
        <v>639</v>
      </c>
      <c r="F50" s="10"/>
    </row>
    <row r="51" customFormat="false" ht="25.5" hidden="false" customHeight="true" outlineLevel="0" collapsed="false">
      <c r="A51" s="41"/>
      <c r="B51" s="10"/>
      <c r="C51" s="10" t="s">
        <v>697</v>
      </c>
      <c r="D51" s="10" t="s">
        <v>638</v>
      </c>
      <c r="E51" s="9" t="s">
        <v>639</v>
      </c>
      <c r="F51" s="10"/>
    </row>
    <row r="52" customFormat="false" ht="25.5" hidden="false" customHeight="true" outlineLevel="0" collapsed="false">
      <c r="A52" s="41"/>
      <c r="B52" s="10"/>
      <c r="C52" s="10" t="s">
        <v>698</v>
      </c>
      <c r="D52" s="10" t="s">
        <v>638</v>
      </c>
      <c r="E52" s="9" t="s">
        <v>639</v>
      </c>
      <c r="F52" s="10"/>
    </row>
    <row r="53" customFormat="false" ht="25.5" hidden="false" customHeight="true" outlineLevel="0" collapsed="false">
      <c r="A53" s="41"/>
      <c r="B53" s="33" t="s">
        <v>699</v>
      </c>
      <c r="C53" s="10" t="s">
        <v>700</v>
      </c>
      <c r="D53" s="10" t="s">
        <v>638</v>
      </c>
      <c r="E53" s="9" t="s">
        <v>639</v>
      </c>
      <c r="F53" s="10" t="s">
        <v>675</v>
      </c>
    </row>
    <row r="54" customFormat="false" ht="25.5" hidden="false" customHeight="true" outlineLevel="0" collapsed="false">
      <c r="A54" s="41"/>
      <c r="B54" s="10"/>
      <c r="C54" s="10" t="s">
        <v>701</v>
      </c>
      <c r="D54" s="10" t="s">
        <v>638</v>
      </c>
      <c r="E54" s="9" t="s">
        <v>639</v>
      </c>
      <c r="F54" s="10"/>
    </row>
    <row r="55" customFormat="false" ht="25.5" hidden="false" customHeight="true" outlineLevel="0" collapsed="false">
      <c r="A55" s="41"/>
      <c r="B55" s="10"/>
      <c r="C55" s="10" t="s">
        <v>702</v>
      </c>
      <c r="D55" s="10" t="s">
        <v>638</v>
      </c>
      <c r="E55" s="9" t="s">
        <v>639</v>
      </c>
      <c r="F55" s="10"/>
    </row>
    <row r="56" customFormat="false" ht="25.5" hidden="false" customHeight="true" outlineLevel="0" collapsed="false">
      <c r="A56" s="41"/>
      <c r="B56" s="10"/>
      <c r="C56" s="10" t="s">
        <v>703</v>
      </c>
      <c r="D56" s="10" t="s">
        <v>638</v>
      </c>
      <c r="E56" s="9" t="s">
        <v>639</v>
      </c>
      <c r="F56" s="10"/>
    </row>
    <row r="57" customFormat="false" ht="25.5" hidden="false" customHeight="true" outlineLevel="0" collapsed="false">
      <c r="A57" s="43" t="s">
        <v>704</v>
      </c>
      <c r="B57" s="33" t="s">
        <v>705</v>
      </c>
      <c r="C57" s="10" t="s">
        <v>706</v>
      </c>
      <c r="D57" s="10" t="s">
        <v>638</v>
      </c>
      <c r="E57" s="9" t="s">
        <v>639</v>
      </c>
      <c r="F57" s="10" t="s">
        <v>707</v>
      </c>
    </row>
    <row r="58" customFormat="false" ht="25.5" hidden="false" customHeight="true" outlineLevel="0" collapsed="false">
      <c r="A58" s="41"/>
      <c r="B58" s="10"/>
      <c r="C58" s="10" t="s">
        <v>708</v>
      </c>
      <c r="D58" s="10" t="s">
        <v>638</v>
      </c>
      <c r="E58" s="9" t="s">
        <v>639</v>
      </c>
      <c r="F58" s="10"/>
    </row>
    <row r="59" customFormat="false" ht="25.5" hidden="false" customHeight="true" outlineLevel="0" collapsed="false">
      <c r="A59" s="41"/>
      <c r="B59" s="10"/>
      <c r="C59" s="10" t="s">
        <v>709</v>
      </c>
      <c r="D59" s="10" t="s">
        <v>638</v>
      </c>
      <c r="E59" s="9" t="s">
        <v>639</v>
      </c>
      <c r="F59" s="10"/>
    </row>
    <row r="60" customFormat="false" ht="25.5" hidden="false" customHeight="true" outlineLevel="0" collapsed="false">
      <c r="A60" s="41"/>
      <c r="B60" s="10"/>
      <c r="C60" s="10" t="s">
        <v>710</v>
      </c>
      <c r="D60" s="10" t="s">
        <v>638</v>
      </c>
      <c r="E60" s="9" t="s">
        <v>639</v>
      </c>
      <c r="F60" s="10"/>
    </row>
    <row r="61" customFormat="false" ht="25.5" hidden="false" customHeight="true" outlineLevel="0" collapsed="false">
      <c r="A61" s="41"/>
      <c r="B61" s="33" t="s">
        <v>711</v>
      </c>
      <c r="C61" s="10" t="s">
        <v>712</v>
      </c>
      <c r="D61" s="10" t="s">
        <v>638</v>
      </c>
      <c r="E61" s="9" t="s">
        <v>639</v>
      </c>
      <c r="F61" s="10" t="s">
        <v>707</v>
      </c>
    </row>
    <row r="62" customFormat="false" ht="25.5" hidden="false" customHeight="true" outlineLevel="0" collapsed="false">
      <c r="A62" s="41"/>
      <c r="B62" s="10"/>
      <c r="C62" s="10" t="s">
        <v>713</v>
      </c>
      <c r="D62" s="10" t="s">
        <v>638</v>
      </c>
      <c r="E62" s="9" t="s">
        <v>639</v>
      </c>
      <c r="F62" s="10"/>
    </row>
    <row r="63" customFormat="false" ht="25.5" hidden="false" customHeight="true" outlineLevel="0" collapsed="false">
      <c r="A63" s="41"/>
      <c r="B63" s="10"/>
      <c r="C63" s="10" t="s">
        <v>714</v>
      </c>
      <c r="D63" s="10" t="s">
        <v>638</v>
      </c>
      <c r="E63" s="9" t="s">
        <v>639</v>
      </c>
      <c r="F63" s="10"/>
    </row>
    <row r="64" customFormat="false" ht="25.5" hidden="false" customHeight="true" outlineLevel="0" collapsed="false">
      <c r="A64" s="41"/>
      <c r="B64" s="10"/>
      <c r="C64" s="10" t="s">
        <v>715</v>
      </c>
      <c r="D64" s="10" t="s">
        <v>638</v>
      </c>
      <c r="E64" s="9" t="s">
        <v>639</v>
      </c>
      <c r="F64" s="10"/>
    </row>
    <row r="65" customFormat="false" ht="25.5" hidden="false" customHeight="true" outlineLevel="0" collapsed="false">
      <c r="A65" s="41"/>
      <c r="B65" s="33" t="s">
        <v>716</v>
      </c>
      <c r="C65" s="10" t="s">
        <v>717</v>
      </c>
      <c r="D65" s="10" t="s">
        <v>638</v>
      </c>
      <c r="E65" s="9" t="s">
        <v>639</v>
      </c>
      <c r="F65" s="10" t="s">
        <v>707</v>
      </c>
    </row>
    <row r="66" customFormat="false" ht="25.5" hidden="false" customHeight="true" outlineLevel="0" collapsed="false">
      <c r="A66" s="41"/>
      <c r="B66" s="10"/>
      <c r="C66" s="10" t="s">
        <v>718</v>
      </c>
      <c r="D66" s="10" t="s">
        <v>638</v>
      </c>
      <c r="E66" s="9" t="s">
        <v>639</v>
      </c>
      <c r="F66" s="10"/>
    </row>
    <row r="67" customFormat="false" ht="25.5" hidden="false" customHeight="true" outlineLevel="0" collapsed="false">
      <c r="A67" s="41"/>
      <c r="B67" s="10"/>
      <c r="C67" s="10" t="s">
        <v>719</v>
      </c>
      <c r="D67" s="10" t="s">
        <v>638</v>
      </c>
      <c r="E67" s="9" t="s">
        <v>639</v>
      </c>
      <c r="F67" s="10"/>
    </row>
    <row r="68" customFormat="false" ht="25.5" hidden="false" customHeight="true" outlineLevel="0" collapsed="false">
      <c r="A68" s="41"/>
      <c r="B68" s="10"/>
      <c r="C68" s="10" t="s">
        <v>720</v>
      </c>
      <c r="D68" s="10" t="s">
        <v>638</v>
      </c>
      <c r="E68" s="9" t="s">
        <v>639</v>
      </c>
      <c r="F68" s="10"/>
    </row>
    <row r="69" customFormat="false" ht="25.5" hidden="false" customHeight="true" outlineLevel="0" collapsed="false">
      <c r="A69" s="41"/>
      <c r="B69" s="33" t="s">
        <v>721</v>
      </c>
      <c r="C69" s="10" t="s">
        <v>722</v>
      </c>
      <c r="D69" s="10" t="s">
        <v>638</v>
      </c>
      <c r="E69" s="9" t="s">
        <v>639</v>
      </c>
      <c r="F69" s="10" t="s">
        <v>707</v>
      </c>
    </row>
    <row r="70" customFormat="false" ht="25.5" hidden="false" customHeight="true" outlineLevel="0" collapsed="false">
      <c r="A70" s="41"/>
      <c r="B70" s="10"/>
      <c r="C70" s="10" t="s">
        <v>723</v>
      </c>
      <c r="D70" s="10" t="s">
        <v>638</v>
      </c>
      <c r="E70" s="9" t="s">
        <v>639</v>
      </c>
      <c r="F70" s="10"/>
    </row>
    <row r="71" customFormat="false" ht="25.5" hidden="false" customHeight="true" outlineLevel="0" collapsed="false">
      <c r="A71" s="41"/>
      <c r="B71" s="10"/>
      <c r="C71" s="10" t="s">
        <v>724</v>
      </c>
      <c r="D71" s="10" t="s">
        <v>638</v>
      </c>
      <c r="E71" s="9" t="s">
        <v>639</v>
      </c>
      <c r="F71" s="10"/>
    </row>
    <row r="72" customFormat="false" ht="25.5" hidden="false" customHeight="true" outlineLevel="0" collapsed="false">
      <c r="A72" s="41"/>
      <c r="B72" s="10"/>
      <c r="C72" s="10" t="s">
        <v>725</v>
      </c>
      <c r="D72" s="10" t="s">
        <v>638</v>
      </c>
      <c r="E72" s="9" t="s">
        <v>639</v>
      </c>
      <c r="F72" s="10"/>
    </row>
    <row r="73" customFormat="false" ht="25.5" hidden="false" customHeight="true" outlineLevel="0" collapsed="false">
      <c r="A73" s="43" t="s">
        <v>726</v>
      </c>
      <c r="B73" s="33" t="s">
        <v>727</v>
      </c>
      <c r="C73" s="10" t="s">
        <v>728</v>
      </c>
      <c r="D73" s="10" t="s">
        <v>638</v>
      </c>
      <c r="E73" s="9" t="s">
        <v>639</v>
      </c>
      <c r="F73" s="10" t="s">
        <v>149</v>
      </c>
    </row>
    <row r="74" customFormat="false" ht="25.5" hidden="false" customHeight="true" outlineLevel="0" collapsed="false">
      <c r="A74" s="41"/>
      <c r="B74" s="10"/>
      <c r="C74" s="10" t="s">
        <v>729</v>
      </c>
      <c r="D74" s="10" t="s">
        <v>638</v>
      </c>
      <c r="E74" s="9" t="s">
        <v>639</v>
      </c>
      <c r="F74" s="10"/>
    </row>
    <row r="75" customFormat="false" ht="25.5" hidden="false" customHeight="true" outlineLevel="0" collapsed="false">
      <c r="A75" s="41"/>
      <c r="B75" s="10"/>
      <c r="C75" s="10" t="s">
        <v>730</v>
      </c>
      <c r="D75" s="10" t="s">
        <v>638</v>
      </c>
      <c r="E75" s="9" t="s">
        <v>639</v>
      </c>
      <c r="F75" s="10"/>
    </row>
    <row r="76" customFormat="false" ht="25.5" hidden="false" customHeight="true" outlineLevel="0" collapsed="false">
      <c r="A76" s="41"/>
      <c r="B76" s="10"/>
      <c r="C76" s="10" t="s">
        <v>731</v>
      </c>
      <c r="D76" s="10" t="s">
        <v>638</v>
      </c>
      <c r="E76" s="9" t="s">
        <v>639</v>
      </c>
      <c r="F76" s="10"/>
    </row>
    <row r="77" customFormat="false" ht="25.5" hidden="false" customHeight="true" outlineLevel="0" collapsed="false">
      <c r="A77" s="41"/>
      <c r="B77" s="33" t="s">
        <v>732</v>
      </c>
      <c r="C77" s="10" t="s">
        <v>733</v>
      </c>
      <c r="D77" s="10" t="s">
        <v>638</v>
      </c>
      <c r="E77" s="9" t="s">
        <v>639</v>
      </c>
      <c r="F77" s="10" t="s">
        <v>149</v>
      </c>
    </row>
    <row r="78" customFormat="false" ht="25.5" hidden="false" customHeight="true" outlineLevel="0" collapsed="false">
      <c r="A78" s="41"/>
      <c r="B78" s="10"/>
      <c r="C78" s="10" t="s">
        <v>734</v>
      </c>
      <c r="D78" s="10" t="s">
        <v>638</v>
      </c>
      <c r="E78" s="9" t="s">
        <v>639</v>
      </c>
      <c r="F78" s="10"/>
    </row>
    <row r="79" customFormat="false" ht="25.5" hidden="false" customHeight="true" outlineLevel="0" collapsed="false">
      <c r="A79" s="41"/>
      <c r="B79" s="10"/>
      <c r="C79" s="10" t="s">
        <v>735</v>
      </c>
      <c r="D79" s="10" t="s">
        <v>638</v>
      </c>
      <c r="E79" s="9" t="s">
        <v>639</v>
      </c>
      <c r="F79" s="10"/>
    </row>
    <row r="80" customFormat="false" ht="25.5" hidden="false" customHeight="true" outlineLevel="0" collapsed="false">
      <c r="A80" s="41"/>
      <c r="B80" s="10"/>
      <c r="C80" s="10" t="s">
        <v>736</v>
      </c>
      <c r="D80" s="10" t="s">
        <v>638</v>
      </c>
      <c r="E80" s="9" t="s">
        <v>639</v>
      </c>
      <c r="F80" s="10"/>
    </row>
    <row r="81" customFormat="false" ht="25.5" hidden="false" customHeight="true" outlineLevel="0" collapsed="false">
      <c r="A81" s="41"/>
      <c r="B81" s="33" t="s">
        <v>737</v>
      </c>
      <c r="C81" s="10" t="s">
        <v>738</v>
      </c>
      <c r="D81" s="10" t="s">
        <v>638</v>
      </c>
      <c r="E81" s="9" t="s">
        <v>639</v>
      </c>
      <c r="F81" s="10" t="s">
        <v>149</v>
      </c>
    </row>
    <row r="82" customFormat="false" ht="25.5" hidden="false" customHeight="true" outlineLevel="0" collapsed="false">
      <c r="A82" s="41"/>
      <c r="B82" s="10"/>
      <c r="C82" s="10" t="s">
        <v>739</v>
      </c>
      <c r="D82" s="10" t="s">
        <v>638</v>
      </c>
      <c r="E82" s="9" t="s">
        <v>639</v>
      </c>
      <c r="F82" s="10"/>
    </row>
    <row r="83" customFormat="false" ht="25.5" hidden="false" customHeight="true" outlineLevel="0" collapsed="false">
      <c r="A83" s="41"/>
      <c r="B83" s="10"/>
      <c r="C83" s="10" t="s">
        <v>740</v>
      </c>
      <c r="D83" s="10" t="s">
        <v>638</v>
      </c>
      <c r="E83" s="9" t="s">
        <v>639</v>
      </c>
      <c r="F83" s="10"/>
    </row>
    <row r="84" customFormat="false" ht="25.5" hidden="false" customHeight="true" outlineLevel="0" collapsed="false">
      <c r="A84" s="41"/>
      <c r="B84" s="10"/>
      <c r="C84" s="10" t="s">
        <v>741</v>
      </c>
      <c r="D84" s="10" t="s">
        <v>638</v>
      </c>
      <c r="E84" s="9" t="s">
        <v>639</v>
      </c>
      <c r="F84" s="10"/>
    </row>
    <row r="85" customFormat="false" ht="25.5" hidden="false" customHeight="true" outlineLevel="0" collapsed="false">
      <c r="A85" s="44" t="s">
        <v>742</v>
      </c>
      <c r="B85" s="33" t="s">
        <v>743</v>
      </c>
      <c r="C85" s="10" t="s">
        <v>744</v>
      </c>
      <c r="D85" s="10" t="s">
        <v>638</v>
      </c>
      <c r="E85" s="9" t="s">
        <v>639</v>
      </c>
      <c r="F85" s="10" t="s">
        <v>745</v>
      </c>
    </row>
    <row r="86" customFormat="false" ht="25.5" hidden="false" customHeight="true" outlineLevel="0" collapsed="false">
      <c r="A86" s="41"/>
      <c r="B86" s="10"/>
      <c r="C86" s="10" t="s">
        <v>746</v>
      </c>
      <c r="D86" s="10" t="s">
        <v>638</v>
      </c>
      <c r="E86" s="9" t="s">
        <v>639</v>
      </c>
      <c r="F86" s="10"/>
    </row>
    <row r="87" customFormat="false" ht="25.5" hidden="false" customHeight="true" outlineLevel="0" collapsed="false">
      <c r="A87" s="41"/>
      <c r="B87" s="10"/>
      <c r="C87" s="10" t="s">
        <v>747</v>
      </c>
      <c r="D87" s="10" t="s">
        <v>638</v>
      </c>
      <c r="E87" s="9" t="s">
        <v>639</v>
      </c>
      <c r="F87" s="10"/>
    </row>
    <row r="88" customFormat="false" ht="25.5" hidden="false" customHeight="true" outlineLevel="0" collapsed="false">
      <c r="A88" s="41"/>
      <c r="B88" s="10"/>
      <c r="C88" s="10" t="s">
        <v>748</v>
      </c>
      <c r="D88" s="10" t="s">
        <v>638</v>
      </c>
      <c r="E88" s="9" t="s">
        <v>639</v>
      </c>
      <c r="F88" s="10"/>
    </row>
    <row r="89" customFormat="false" ht="25.5" hidden="false" customHeight="true" outlineLevel="0" collapsed="false">
      <c r="A89" s="41"/>
      <c r="B89" s="33" t="s">
        <v>749</v>
      </c>
      <c r="C89" s="10" t="s">
        <v>750</v>
      </c>
      <c r="D89" s="10" t="s">
        <v>638</v>
      </c>
      <c r="E89" s="9" t="s">
        <v>639</v>
      </c>
      <c r="F89" s="10" t="s">
        <v>745</v>
      </c>
    </row>
    <row r="90" customFormat="false" ht="25.5" hidden="false" customHeight="true" outlineLevel="0" collapsed="false">
      <c r="A90" s="41"/>
      <c r="B90" s="10"/>
      <c r="C90" s="10" t="s">
        <v>751</v>
      </c>
      <c r="D90" s="10" t="s">
        <v>638</v>
      </c>
      <c r="E90" s="9" t="s">
        <v>639</v>
      </c>
      <c r="F90" s="10"/>
    </row>
    <row r="91" customFormat="false" ht="25.5" hidden="false" customHeight="true" outlineLevel="0" collapsed="false">
      <c r="A91" s="41"/>
      <c r="B91" s="10"/>
      <c r="C91" s="10" t="s">
        <v>752</v>
      </c>
      <c r="D91" s="10" t="s">
        <v>638</v>
      </c>
      <c r="E91" s="9" t="s">
        <v>639</v>
      </c>
      <c r="F91" s="10"/>
    </row>
    <row r="92" customFormat="false" ht="25.5" hidden="false" customHeight="true" outlineLevel="0" collapsed="false">
      <c r="A92" s="41"/>
      <c r="B92" s="10"/>
      <c r="C92" s="10" t="s">
        <v>753</v>
      </c>
      <c r="D92" s="10" t="s">
        <v>638</v>
      </c>
      <c r="E92" s="9" t="s">
        <v>639</v>
      </c>
      <c r="F92" s="10"/>
    </row>
    <row r="93" customFormat="false" ht="25.5" hidden="false" customHeight="true" outlineLevel="0" collapsed="false">
      <c r="A93" s="41"/>
      <c r="B93" s="33" t="s">
        <v>754</v>
      </c>
      <c r="C93" s="10" t="s">
        <v>755</v>
      </c>
      <c r="D93" s="10" t="s">
        <v>638</v>
      </c>
      <c r="E93" s="9" t="s">
        <v>639</v>
      </c>
      <c r="F93" s="10" t="s">
        <v>745</v>
      </c>
    </row>
    <row r="94" customFormat="false" ht="25.5" hidden="false" customHeight="true" outlineLevel="0" collapsed="false">
      <c r="A94" s="41"/>
      <c r="B94" s="10"/>
      <c r="C94" s="10" t="s">
        <v>756</v>
      </c>
      <c r="D94" s="10" t="s">
        <v>638</v>
      </c>
      <c r="E94" s="9" t="s">
        <v>639</v>
      </c>
      <c r="F94" s="10"/>
    </row>
    <row r="95" customFormat="false" ht="25.5" hidden="false" customHeight="true" outlineLevel="0" collapsed="false">
      <c r="A95" s="41"/>
      <c r="B95" s="10"/>
      <c r="C95" s="10" t="s">
        <v>757</v>
      </c>
      <c r="D95" s="10" t="s">
        <v>638</v>
      </c>
      <c r="E95" s="9" t="s">
        <v>639</v>
      </c>
      <c r="F95" s="10"/>
    </row>
    <row r="96" customFormat="false" ht="25.5" hidden="false" customHeight="true" outlineLevel="0" collapsed="false">
      <c r="A96" s="41"/>
      <c r="B96" s="10"/>
      <c r="C96" s="10" t="s">
        <v>758</v>
      </c>
      <c r="D96" s="10" t="s">
        <v>638</v>
      </c>
      <c r="E96" s="9" t="s">
        <v>639</v>
      </c>
      <c r="F96" s="10"/>
    </row>
    <row r="97" customFormat="false" ht="25.5" hidden="false" customHeight="true" outlineLevel="0" collapsed="false">
      <c r="A97" s="41"/>
      <c r="B97" s="33" t="s">
        <v>759</v>
      </c>
      <c r="C97" s="10" t="s">
        <v>760</v>
      </c>
      <c r="D97" s="10" t="s">
        <v>638</v>
      </c>
      <c r="E97" s="9" t="s">
        <v>639</v>
      </c>
      <c r="F97" s="10" t="s">
        <v>745</v>
      </c>
    </row>
    <row r="98" customFormat="false" ht="25.5" hidden="false" customHeight="true" outlineLevel="0" collapsed="false">
      <c r="A98" s="41"/>
      <c r="B98" s="10"/>
      <c r="C98" s="10" t="s">
        <v>761</v>
      </c>
      <c r="D98" s="10" t="s">
        <v>638</v>
      </c>
      <c r="E98" s="9" t="s">
        <v>639</v>
      </c>
      <c r="F98" s="10"/>
    </row>
    <row r="99" customFormat="false" ht="25.5" hidden="false" customHeight="true" outlineLevel="0" collapsed="false">
      <c r="A99" s="41"/>
      <c r="B99" s="10"/>
      <c r="C99" s="10" t="s">
        <v>762</v>
      </c>
      <c r="D99" s="10" t="s">
        <v>638</v>
      </c>
      <c r="E99" s="9" t="s">
        <v>639</v>
      </c>
      <c r="F99" s="10"/>
    </row>
    <row r="100" customFormat="false" ht="25.5" hidden="false" customHeight="true" outlineLevel="0" collapsed="false">
      <c r="A100" s="41"/>
      <c r="B100" s="10"/>
      <c r="C100" s="10" t="s">
        <v>763</v>
      </c>
      <c r="D100" s="10" t="s">
        <v>638</v>
      </c>
      <c r="E100" s="9" t="s">
        <v>639</v>
      </c>
      <c r="F100" s="10"/>
    </row>
    <row r="101" customFormat="false" ht="25.5" hidden="false" customHeight="true" outlineLevel="0" collapsed="false">
      <c r="A101" s="45" t="s">
        <v>764</v>
      </c>
      <c r="B101" s="33" t="s">
        <v>765</v>
      </c>
      <c r="C101" s="10" t="s">
        <v>766</v>
      </c>
      <c r="D101" s="10" t="s">
        <v>638</v>
      </c>
      <c r="E101" s="9" t="s">
        <v>639</v>
      </c>
      <c r="F101" s="10" t="s">
        <v>767</v>
      </c>
    </row>
    <row r="102" customFormat="false" ht="25.5" hidden="false" customHeight="true" outlineLevel="0" collapsed="false">
      <c r="A102" s="41"/>
      <c r="B102" s="10"/>
      <c r="C102" s="10" t="s">
        <v>768</v>
      </c>
      <c r="D102" s="10" t="s">
        <v>638</v>
      </c>
      <c r="E102" s="9" t="s">
        <v>639</v>
      </c>
      <c r="F102" s="10"/>
    </row>
    <row r="103" customFormat="false" ht="25.5" hidden="false" customHeight="true" outlineLevel="0" collapsed="false">
      <c r="A103" s="41"/>
      <c r="B103" s="10"/>
      <c r="C103" s="10" t="s">
        <v>769</v>
      </c>
      <c r="D103" s="10" t="s">
        <v>638</v>
      </c>
      <c r="E103" s="9" t="s">
        <v>639</v>
      </c>
      <c r="F103" s="10"/>
    </row>
    <row r="104" customFormat="false" ht="25.5" hidden="false" customHeight="true" outlineLevel="0" collapsed="false">
      <c r="A104" s="41"/>
      <c r="B104" s="10"/>
      <c r="C104" s="10" t="s">
        <v>770</v>
      </c>
      <c r="D104" s="10" t="s">
        <v>638</v>
      </c>
      <c r="E104" s="9" t="s">
        <v>639</v>
      </c>
      <c r="F104" s="10"/>
    </row>
    <row r="105" customFormat="false" ht="25.5" hidden="false" customHeight="true" outlineLevel="0" collapsed="false">
      <c r="A105" s="41"/>
      <c r="B105" s="33" t="s">
        <v>771</v>
      </c>
      <c r="C105" s="10" t="s">
        <v>772</v>
      </c>
      <c r="D105" s="10" t="s">
        <v>638</v>
      </c>
      <c r="E105" s="9" t="s">
        <v>639</v>
      </c>
      <c r="F105" s="10" t="s">
        <v>767</v>
      </c>
    </row>
    <row r="106" customFormat="false" ht="25.5" hidden="false" customHeight="true" outlineLevel="0" collapsed="false">
      <c r="A106" s="41"/>
      <c r="B106" s="10"/>
      <c r="C106" s="10" t="s">
        <v>773</v>
      </c>
      <c r="D106" s="10" t="s">
        <v>638</v>
      </c>
      <c r="E106" s="9" t="s">
        <v>639</v>
      </c>
      <c r="F106" s="10"/>
    </row>
    <row r="107" customFormat="false" ht="25.5" hidden="false" customHeight="true" outlineLevel="0" collapsed="false">
      <c r="A107" s="41"/>
      <c r="B107" s="10"/>
      <c r="C107" s="10" t="s">
        <v>774</v>
      </c>
      <c r="D107" s="10" t="s">
        <v>638</v>
      </c>
      <c r="E107" s="9" t="s">
        <v>639</v>
      </c>
      <c r="F107" s="10"/>
    </row>
    <row r="108" customFormat="false" ht="25.5" hidden="false" customHeight="true" outlineLevel="0" collapsed="false">
      <c r="A108" s="41"/>
      <c r="B108" s="10"/>
      <c r="C108" s="10" t="s">
        <v>775</v>
      </c>
      <c r="D108" s="10" t="s">
        <v>638</v>
      </c>
      <c r="E108" s="9" t="s">
        <v>639</v>
      </c>
      <c r="F108" s="10"/>
    </row>
    <row r="109" customFormat="false" ht="25.5" hidden="false" customHeight="true" outlineLevel="0" collapsed="false">
      <c r="A109" s="41"/>
      <c r="B109" s="33" t="s">
        <v>54</v>
      </c>
      <c r="C109" s="10" t="s">
        <v>776</v>
      </c>
      <c r="D109" s="10" t="s">
        <v>638</v>
      </c>
      <c r="E109" s="9" t="s">
        <v>639</v>
      </c>
      <c r="F109" s="10" t="s">
        <v>767</v>
      </c>
    </row>
    <row r="110" customFormat="false" ht="25.5" hidden="false" customHeight="true" outlineLevel="0" collapsed="false">
      <c r="A110" s="41"/>
      <c r="B110" s="10"/>
      <c r="C110" s="10" t="s">
        <v>777</v>
      </c>
      <c r="D110" s="10" t="s">
        <v>638</v>
      </c>
      <c r="E110" s="9" t="s">
        <v>639</v>
      </c>
      <c r="F110" s="10"/>
    </row>
    <row r="111" customFormat="false" ht="25.5" hidden="false" customHeight="true" outlineLevel="0" collapsed="false">
      <c r="A111" s="41"/>
      <c r="B111" s="10"/>
      <c r="C111" s="10" t="s">
        <v>778</v>
      </c>
      <c r="D111" s="10" t="s">
        <v>638</v>
      </c>
      <c r="E111" s="9" t="s">
        <v>639</v>
      </c>
      <c r="F111" s="10"/>
    </row>
    <row r="112" customFormat="false" ht="25.5" hidden="false" customHeight="true" outlineLevel="0" collapsed="false">
      <c r="A112" s="41"/>
      <c r="B112" s="10"/>
      <c r="C112" s="10" t="s">
        <v>779</v>
      </c>
      <c r="D112" s="10" t="s">
        <v>638</v>
      </c>
      <c r="E112" s="9" t="s">
        <v>639</v>
      </c>
      <c r="F112" s="10"/>
    </row>
    <row r="113" customFormat="false" ht="25.5" hidden="false" customHeight="true" outlineLevel="0" collapsed="false">
      <c r="A113" s="46" t="s">
        <v>780</v>
      </c>
      <c r="B113" s="33" t="s">
        <v>781</v>
      </c>
      <c r="C113" s="10" t="s">
        <v>782</v>
      </c>
      <c r="D113" s="10" t="s">
        <v>638</v>
      </c>
      <c r="E113" s="9" t="s">
        <v>639</v>
      </c>
      <c r="F113" s="10" t="s">
        <v>783</v>
      </c>
    </row>
    <row r="114" customFormat="false" ht="25.5" hidden="false" customHeight="true" outlineLevel="0" collapsed="false">
      <c r="A114" s="41"/>
      <c r="B114" s="10"/>
      <c r="C114" s="10" t="s">
        <v>784</v>
      </c>
      <c r="D114" s="10" t="s">
        <v>638</v>
      </c>
      <c r="E114" s="9" t="s">
        <v>639</v>
      </c>
      <c r="F114" s="10"/>
    </row>
    <row r="115" customFormat="false" ht="25.5" hidden="false" customHeight="true" outlineLevel="0" collapsed="false">
      <c r="A115" s="41"/>
      <c r="B115" s="10"/>
      <c r="C115" s="10" t="s">
        <v>785</v>
      </c>
      <c r="D115" s="10" t="s">
        <v>638</v>
      </c>
      <c r="E115" s="9" t="s">
        <v>639</v>
      </c>
      <c r="F115" s="10"/>
    </row>
    <row r="116" customFormat="false" ht="25.5" hidden="false" customHeight="true" outlineLevel="0" collapsed="false">
      <c r="A116" s="41"/>
      <c r="B116" s="10"/>
      <c r="C116" s="10" t="s">
        <v>786</v>
      </c>
      <c r="D116" s="10" t="s">
        <v>638</v>
      </c>
      <c r="E116" s="9" t="s">
        <v>639</v>
      </c>
      <c r="F116" s="10"/>
    </row>
    <row r="117" customFormat="false" ht="25.5" hidden="false" customHeight="true" outlineLevel="0" collapsed="false">
      <c r="A117" s="41"/>
      <c r="B117" s="33" t="s">
        <v>787</v>
      </c>
      <c r="C117" s="10" t="s">
        <v>788</v>
      </c>
      <c r="D117" s="10" t="s">
        <v>638</v>
      </c>
      <c r="E117" s="9" t="s">
        <v>639</v>
      </c>
      <c r="F117" s="10" t="s">
        <v>783</v>
      </c>
    </row>
    <row r="118" customFormat="false" ht="25.5" hidden="false" customHeight="true" outlineLevel="0" collapsed="false">
      <c r="A118" s="41"/>
      <c r="B118" s="10"/>
      <c r="C118" s="10" t="s">
        <v>789</v>
      </c>
      <c r="D118" s="10" t="s">
        <v>638</v>
      </c>
      <c r="E118" s="9" t="s">
        <v>639</v>
      </c>
      <c r="F118" s="10"/>
    </row>
    <row r="119" customFormat="false" ht="25.5" hidden="false" customHeight="true" outlineLevel="0" collapsed="false">
      <c r="A119" s="41"/>
      <c r="B119" s="10"/>
      <c r="C119" s="10" t="s">
        <v>790</v>
      </c>
      <c r="D119" s="10" t="s">
        <v>638</v>
      </c>
      <c r="E119" s="9" t="s">
        <v>639</v>
      </c>
      <c r="F119" s="10"/>
    </row>
    <row r="120" customFormat="false" ht="25.5" hidden="false" customHeight="true" outlineLevel="0" collapsed="false">
      <c r="A120" s="41"/>
      <c r="B120" s="10"/>
      <c r="C120" s="10" t="s">
        <v>791</v>
      </c>
      <c r="D120" s="10" t="s">
        <v>638</v>
      </c>
      <c r="E120" s="9" t="s">
        <v>639</v>
      </c>
      <c r="F120" s="10"/>
    </row>
    <row r="121" customFormat="false" ht="25.5" hidden="false" customHeight="true" outlineLevel="0" collapsed="false">
      <c r="A121" s="41"/>
      <c r="B121" s="33" t="s">
        <v>792</v>
      </c>
      <c r="C121" s="10" t="s">
        <v>793</v>
      </c>
      <c r="D121" s="10" t="s">
        <v>638</v>
      </c>
      <c r="E121" s="9" t="s">
        <v>639</v>
      </c>
      <c r="F121" s="10" t="s">
        <v>783</v>
      </c>
    </row>
    <row r="122" customFormat="false" ht="25.5" hidden="false" customHeight="true" outlineLevel="0" collapsed="false">
      <c r="A122" s="41"/>
      <c r="B122" s="10"/>
      <c r="C122" s="10" t="s">
        <v>794</v>
      </c>
      <c r="D122" s="10" t="s">
        <v>638</v>
      </c>
      <c r="E122" s="9" t="s">
        <v>639</v>
      </c>
      <c r="F122" s="10"/>
    </row>
    <row r="123" customFormat="false" ht="25.5" hidden="false" customHeight="true" outlineLevel="0" collapsed="false">
      <c r="A123" s="41"/>
      <c r="B123" s="10"/>
      <c r="C123" s="10" t="s">
        <v>795</v>
      </c>
      <c r="D123" s="10" t="s">
        <v>638</v>
      </c>
      <c r="E123" s="9" t="s">
        <v>639</v>
      </c>
      <c r="F123" s="10"/>
    </row>
    <row r="124" customFormat="false" ht="25.5" hidden="false" customHeight="true" outlineLevel="0" collapsed="false">
      <c r="A124" s="41"/>
      <c r="B124" s="10"/>
      <c r="C124" s="10" t="s">
        <v>796</v>
      </c>
      <c r="D124" s="10" t="s">
        <v>638</v>
      </c>
      <c r="E124" s="9" t="s">
        <v>639</v>
      </c>
      <c r="F124" s="10"/>
    </row>
    <row r="125" customFormat="false" ht="25.5" hidden="false" customHeight="true" outlineLevel="0" collapsed="false">
      <c r="A125" s="44" t="s">
        <v>797</v>
      </c>
      <c r="B125" s="33" t="s">
        <v>798</v>
      </c>
      <c r="C125" s="10" t="s">
        <v>799</v>
      </c>
      <c r="D125" s="10" t="s">
        <v>638</v>
      </c>
      <c r="E125" s="9" t="s">
        <v>639</v>
      </c>
      <c r="F125" s="10" t="s">
        <v>800</v>
      </c>
    </row>
    <row r="126" customFormat="false" ht="25.5" hidden="false" customHeight="true" outlineLevel="0" collapsed="false">
      <c r="A126" s="41"/>
      <c r="B126" s="10"/>
      <c r="C126" s="10" t="s">
        <v>801</v>
      </c>
      <c r="D126" s="10" t="s">
        <v>638</v>
      </c>
      <c r="E126" s="9" t="s">
        <v>639</v>
      </c>
      <c r="F126" s="10"/>
    </row>
    <row r="127" customFormat="false" ht="25.5" hidden="false" customHeight="true" outlineLevel="0" collapsed="false">
      <c r="A127" s="41"/>
      <c r="B127" s="10"/>
      <c r="C127" s="10" t="s">
        <v>802</v>
      </c>
      <c r="D127" s="10" t="s">
        <v>638</v>
      </c>
      <c r="E127" s="9" t="s">
        <v>639</v>
      </c>
      <c r="F127" s="10"/>
    </row>
    <row r="128" customFormat="false" ht="25.5" hidden="false" customHeight="true" outlineLevel="0" collapsed="false">
      <c r="A128" s="41"/>
      <c r="B128" s="10"/>
      <c r="C128" s="10" t="s">
        <v>803</v>
      </c>
      <c r="D128" s="10" t="s">
        <v>638</v>
      </c>
      <c r="E128" s="9" t="s">
        <v>639</v>
      </c>
      <c r="F128" s="10"/>
    </row>
    <row r="129" customFormat="false" ht="25.5" hidden="false" customHeight="true" outlineLevel="0" collapsed="false">
      <c r="A129" s="41"/>
      <c r="B129" s="33" t="s">
        <v>804</v>
      </c>
      <c r="C129" s="10" t="s">
        <v>805</v>
      </c>
      <c r="D129" s="10" t="s">
        <v>638</v>
      </c>
      <c r="E129" s="9" t="s">
        <v>639</v>
      </c>
      <c r="F129" s="10" t="s">
        <v>800</v>
      </c>
    </row>
    <row r="130" customFormat="false" ht="25.5" hidden="false" customHeight="true" outlineLevel="0" collapsed="false">
      <c r="A130" s="41"/>
      <c r="B130" s="10"/>
      <c r="C130" s="10" t="s">
        <v>806</v>
      </c>
      <c r="D130" s="10" t="s">
        <v>638</v>
      </c>
      <c r="E130" s="9" t="s">
        <v>639</v>
      </c>
      <c r="F130" s="10"/>
    </row>
    <row r="131" customFormat="false" ht="25.5" hidden="false" customHeight="true" outlineLevel="0" collapsed="false">
      <c r="A131" s="41"/>
      <c r="B131" s="10"/>
      <c r="C131" s="10" t="s">
        <v>807</v>
      </c>
      <c r="D131" s="10" t="s">
        <v>638</v>
      </c>
      <c r="E131" s="9" t="s">
        <v>639</v>
      </c>
      <c r="F131" s="10"/>
    </row>
    <row r="132" customFormat="false" ht="25.5" hidden="false" customHeight="true" outlineLevel="0" collapsed="false">
      <c r="A132" s="41"/>
      <c r="B132" s="10"/>
      <c r="C132" s="10" t="s">
        <v>808</v>
      </c>
      <c r="D132" s="10" t="s">
        <v>638</v>
      </c>
      <c r="E132" s="9" t="s">
        <v>639</v>
      </c>
      <c r="F132" s="10"/>
    </row>
    <row r="133" customFormat="false" ht="25.5" hidden="false" customHeight="true" outlineLevel="0" collapsed="false">
      <c r="A133" s="47" t="s">
        <v>809</v>
      </c>
      <c r="B133" s="33" t="s">
        <v>810</v>
      </c>
      <c r="C133" s="10" t="s">
        <v>811</v>
      </c>
      <c r="D133" s="10" t="s">
        <v>638</v>
      </c>
      <c r="E133" s="9" t="s">
        <v>639</v>
      </c>
      <c r="F133" s="10" t="s">
        <v>812</v>
      </c>
    </row>
    <row r="134" customFormat="false" ht="25.5" hidden="false" customHeight="true" outlineLevel="0" collapsed="false">
      <c r="A134" s="41"/>
      <c r="B134" s="10"/>
      <c r="C134" s="10" t="s">
        <v>813</v>
      </c>
      <c r="D134" s="10" t="s">
        <v>638</v>
      </c>
      <c r="E134" s="9" t="s">
        <v>639</v>
      </c>
      <c r="F134" s="10"/>
    </row>
    <row r="135" customFormat="false" ht="25.5" hidden="false" customHeight="true" outlineLevel="0" collapsed="false">
      <c r="A135" s="41"/>
      <c r="B135" s="10"/>
      <c r="C135" s="10" t="s">
        <v>814</v>
      </c>
      <c r="D135" s="10" t="s">
        <v>638</v>
      </c>
      <c r="E135" s="9" t="s">
        <v>639</v>
      </c>
      <c r="F135" s="10"/>
    </row>
    <row r="136" customFormat="false" ht="25.5" hidden="false" customHeight="true" outlineLevel="0" collapsed="false">
      <c r="A136" s="41"/>
      <c r="B136" s="10"/>
      <c r="C136" s="10" t="s">
        <v>815</v>
      </c>
      <c r="D136" s="10" t="s">
        <v>638</v>
      </c>
      <c r="E136" s="9" t="s">
        <v>639</v>
      </c>
      <c r="F136" s="10"/>
    </row>
    <row r="137" customFormat="false" ht="25.5" hidden="false" customHeight="true" outlineLevel="0" collapsed="false">
      <c r="A137" s="41"/>
      <c r="B137" s="33" t="s">
        <v>816</v>
      </c>
      <c r="C137" s="10" t="s">
        <v>817</v>
      </c>
      <c r="D137" s="10" t="s">
        <v>638</v>
      </c>
      <c r="E137" s="9" t="s">
        <v>639</v>
      </c>
      <c r="F137" s="10" t="s">
        <v>812</v>
      </c>
    </row>
    <row r="138" customFormat="false" ht="25.5" hidden="false" customHeight="true" outlineLevel="0" collapsed="false">
      <c r="A138" s="41"/>
      <c r="B138" s="10"/>
      <c r="C138" s="10" t="s">
        <v>818</v>
      </c>
      <c r="D138" s="10" t="s">
        <v>638</v>
      </c>
      <c r="E138" s="9" t="s">
        <v>639</v>
      </c>
      <c r="F138" s="10"/>
    </row>
    <row r="139" customFormat="false" ht="25.5" hidden="false" customHeight="true" outlineLevel="0" collapsed="false">
      <c r="A139" s="41"/>
      <c r="B139" s="10"/>
      <c r="C139" s="10" t="s">
        <v>819</v>
      </c>
      <c r="D139" s="10" t="s">
        <v>638</v>
      </c>
      <c r="E139" s="9" t="s">
        <v>639</v>
      </c>
      <c r="F139" s="10"/>
    </row>
    <row r="140" customFormat="false" ht="25.5" hidden="false" customHeight="true" outlineLevel="0" collapsed="false">
      <c r="A140" s="41"/>
      <c r="B140" s="10"/>
      <c r="C140" s="10" t="s">
        <v>820</v>
      </c>
      <c r="D140" s="10" t="s">
        <v>638</v>
      </c>
      <c r="E140" s="9" t="s">
        <v>639</v>
      </c>
      <c r="F140" s="10"/>
    </row>
    <row r="141" customFormat="false" ht="25.5" hidden="false" customHeight="true" outlineLevel="0" collapsed="false">
      <c r="A141" s="48" t="s">
        <v>821</v>
      </c>
      <c r="B141" s="33" t="s">
        <v>822</v>
      </c>
      <c r="C141" s="10" t="s">
        <v>823</v>
      </c>
      <c r="D141" s="10" t="s">
        <v>638</v>
      </c>
      <c r="E141" s="9" t="s">
        <v>639</v>
      </c>
      <c r="F141" s="10" t="s">
        <v>238</v>
      </c>
    </row>
    <row r="142" customFormat="false" ht="25.5" hidden="false" customHeight="true" outlineLevel="0" collapsed="false">
      <c r="A142" s="41"/>
      <c r="B142" s="10"/>
      <c r="C142" s="10" t="s">
        <v>824</v>
      </c>
      <c r="D142" s="10" t="s">
        <v>638</v>
      </c>
      <c r="E142" s="9" t="s">
        <v>639</v>
      </c>
      <c r="F142" s="10"/>
    </row>
    <row r="143" customFormat="false" ht="25.5" hidden="false" customHeight="true" outlineLevel="0" collapsed="false">
      <c r="A143" s="41"/>
      <c r="B143" s="10"/>
      <c r="C143" s="10" t="s">
        <v>825</v>
      </c>
      <c r="D143" s="10" t="s">
        <v>638</v>
      </c>
      <c r="E143" s="9" t="s">
        <v>639</v>
      </c>
      <c r="F143" s="10"/>
    </row>
    <row r="144" customFormat="false" ht="25.5" hidden="false" customHeight="true" outlineLevel="0" collapsed="false">
      <c r="A144" s="41"/>
      <c r="B144" s="10"/>
      <c r="C144" s="10" t="s">
        <v>826</v>
      </c>
      <c r="D144" s="10" t="s">
        <v>638</v>
      </c>
      <c r="E144" s="9" t="s">
        <v>639</v>
      </c>
      <c r="F144" s="10"/>
    </row>
    <row r="145" customFormat="false" ht="25.5" hidden="false" customHeight="true" outlineLevel="0" collapsed="false">
      <c r="A145" s="41"/>
      <c r="B145" s="33" t="s">
        <v>827</v>
      </c>
      <c r="C145" s="10" t="s">
        <v>828</v>
      </c>
      <c r="D145" s="10" t="s">
        <v>638</v>
      </c>
      <c r="E145" s="9" t="s">
        <v>639</v>
      </c>
      <c r="F145" s="10" t="s">
        <v>238</v>
      </c>
    </row>
    <row r="146" customFormat="false" ht="25.5" hidden="false" customHeight="true" outlineLevel="0" collapsed="false">
      <c r="A146" s="41"/>
      <c r="B146" s="10"/>
      <c r="C146" s="10" t="s">
        <v>829</v>
      </c>
      <c r="D146" s="10" t="s">
        <v>638</v>
      </c>
      <c r="E146" s="9" t="s">
        <v>639</v>
      </c>
      <c r="F146" s="10"/>
    </row>
    <row r="147" customFormat="false" ht="25.5" hidden="false" customHeight="true" outlineLevel="0" collapsed="false">
      <c r="A147" s="41"/>
      <c r="B147" s="10"/>
      <c r="C147" s="10" t="s">
        <v>830</v>
      </c>
      <c r="D147" s="10" t="s">
        <v>638</v>
      </c>
      <c r="E147" s="9" t="s">
        <v>639</v>
      </c>
      <c r="F147" s="10"/>
    </row>
    <row r="148" customFormat="false" ht="25.5" hidden="false" customHeight="true" outlineLevel="0" collapsed="false">
      <c r="A148" s="41"/>
      <c r="B148" s="10"/>
      <c r="C148" s="10" t="s">
        <v>831</v>
      </c>
      <c r="D148" s="10" t="s">
        <v>638</v>
      </c>
      <c r="E148" s="9" t="s">
        <v>639</v>
      </c>
      <c r="F148" s="10"/>
    </row>
  </sheetData>
  <conditionalFormatting sqref="E5:E148">
    <cfRule type="cellIs" priority="2" operator="equal" aboveAverage="0" equalAverage="0" bottom="0" percent="0" rank="0" text="" dxfId="0">
      <formula>"T4"</formula>
    </cfRule>
    <cfRule type="cellIs" priority="3" operator="equal" aboveAverage="0" equalAverage="0" bottom="0" percent="0" rank="0" text="" dxfId="1">
      <formula>"T3"</formula>
    </cfRule>
    <cfRule type="cellIs" priority="4" operator="equal" aboveAverage="0" equalAverage="0" bottom="0" percent="0" rank="0" text="" dxfId="2">
      <formula>"T2"</formula>
    </cfRule>
    <cfRule type="cellIs" priority="5" operator="equal" aboveAverage="0" equalAverage="0" bottom="0" percent="0" rank="0" text="" dxfId="3">
      <formula>"T1"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34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13"/>
  </cols>
  <sheetData>
    <row r="1" customFormat="false" ht="20.25" hidden="false" customHeight="true" outlineLevel="0" collapsed="false">
      <c r="A1" s="7" t="s">
        <v>832</v>
      </c>
    </row>
    <row r="2" customFormat="false" ht="15" hidden="false" customHeight="true" outlineLevel="0" collapsed="false">
      <c r="A2" s="3" t="s">
        <v>833</v>
      </c>
    </row>
    <row r="4" customFormat="false" ht="15" hidden="false" customHeight="true" outlineLevel="0" collapsed="false">
      <c r="A4" s="8" t="s">
        <v>834</v>
      </c>
      <c r="B4" s="8" t="s">
        <v>835</v>
      </c>
      <c r="C4" s="8" t="s">
        <v>836</v>
      </c>
      <c r="D4" s="8" t="s">
        <v>837</v>
      </c>
      <c r="E4" s="8" t="s">
        <v>838</v>
      </c>
      <c r="F4" s="8" t="s">
        <v>839</v>
      </c>
      <c r="G4" s="8" t="s">
        <v>840</v>
      </c>
      <c r="H4" s="8" t="s">
        <v>841</v>
      </c>
      <c r="I4" s="8" t="s">
        <v>488</v>
      </c>
    </row>
    <row r="5" customFormat="false" ht="78" hidden="false" customHeight="true" outlineLevel="0" collapsed="false">
      <c r="A5" s="23" t="s">
        <v>842</v>
      </c>
      <c r="B5" s="10" t="s">
        <v>843</v>
      </c>
      <c r="C5" s="10" t="s">
        <v>844</v>
      </c>
      <c r="D5" s="10" t="s">
        <v>845</v>
      </c>
      <c r="E5" s="10" t="s">
        <v>846</v>
      </c>
      <c r="F5" s="10" t="s">
        <v>847</v>
      </c>
      <c r="G5" s="10" t="s">
        <v>848</v>
      </c>
      <c r="H5" s="10" t="s">
        <v>849</v>
      </c>
      <c r="I5" s="10" t="s">
        <v>520</v>
      </c>
    </row>
    <row r="6" customFormat="false" ht="78" hidden="false" customHeight="true" outlineLevel="0" collapsed="false">
      <c r="A6" s="23" t="s">
        <v>850</v>
      </c>
      <c r="B6" s="10" t="s">
        <v>851</v>
      </c>
      <c r="C6" s="10" t="s">
        <v>852</v>
      </c>
      <c r="D6" s="10" t="s">
        <v>853</v>
      </c>
      <c r="E6" s="10" t="s">
        <v>854</v>
      </c>
      <c r="F6" s="10" t="s">
        <v>847</v>
      </c>
      <c r="G6" s="10" t="s">
        <v>855</v>
      </c>
      <c r="H6" s="10" t="s">
        <v>849</v>
      </c>
      <c r="I6" s="10" t="s">
        <v>520</v>
      </c>
    </row>
    <row r="7" customFormat="false" ht="78" hidden="false" customHeight="true" outlineLevel="0" collapsed="false">
      <c r="A7" s="23" t="s">
        <v>856</v>
      </c>
      <c r="B7" s="10" t="s">
        <v>857</v>
      </c>
      <c r="C7" s="10" t="s">
        <v>858</v>
      </c>
      <c r="D7" s="10" t="s">
        <v>859</v>
      </c>
      <c r="E7" s="10" t="s">
        <v>860</v>
      </c>
      <c r="F7" s="10" t="s">
        <v>861</v>
      </c>
      <c r="G7" s="10" t="s">
        <v>862</v>
      </c>
      <c r="H7" s="10" t="s">
        <v>863</v>
      </c>
      <c r="I7" s="10" t="s">
        <v>520</v>
      </c>
    </row>
    <row r="8" customFormat="false" ht="78" hidden="false" customHeight="true" outlineLevel="0" collapsed="false">
      <c r="A8" s="23" t="s">
        <v>864</v>
      </c>
      <c r="B8" s="10" t="s">
        <v>865</v>
      </c>
      <c r="C8" s="10" t="s">
        <v>866</v>
      </c>
      <c r="D8" s="10" t="s">
        <v>867</v>
      </c>
      <c r="E8" s="10" t="s">
        <v>868</v>
      </c>
      <c r="F8" s="10" t="s">
        <v>869</v>
      </c>
      <c r="G8" s="10" t="s">
        <v>870</v>
      </c>
      <c r="H8" s="10" t="s">
        <v>871</v>
      </c>
      <c r="I8" s="10" t="s">
        <v>520</v>
      </c>
    </row>
    <row r="9" customFormat="false" ht="78" hidden="false" customHeight="true" outlineLevel="0" collapsed="false">
      <c r="A9" s="23" t="s">
        <v>872</v>
      </c>
      <c r="B9" s="10" t="s">
        <v>873</v>
      </c>
      <c r="C9" s="10" t="s">
        <v>874</v>
      </c>
      <c r="D9" s="10" t="s">
        <v>875</v>
      </c>
      <c r="E9" s="10" t="s">
        <v>876</v>
      </c>
      <c r="F9" s="10" t="s">
        <v>877</v>
      </c>
      <c r="G9" s="10" t="s">
        <v>878</v>
      </c>
      <c r="H9" s="10" t="s">
        <v>871</v>
      </c>
      <c r="I9" s="10" t="s">
        <v>520</v>
      </c>
    </row>
    <row r="10" customFormat="false" ht="78" hidden="false" customHeight="true" outlineLevel="0" collapsed="false">
      <c r="A10" s="23" t="s">
        <v>879</v>
      </c>
      <c r="B10" s="10" t="s">
        <v>880</v>
      </c>
      <c r="C10" s="10" t="s">
        <v>881</v>
      </c>
      <c r="D10" s="10" t="s">
        <v>882</v>
      </c>
      <c r="E10" s="10" t="s">
        <v>883</v>
      </c>
      <c r="F10" s="10" t="s">
        <v>884</v>
      </c>
      <c r="G10" s="10" t="s">
        <v>885</v>
      </c>
      <c r="H10" s="10" t="s">
        <v>849</v>
      </c>
      <c r="I10" s="10" t="s">
        <v>520</v>
      </c>
    </row>
    <row r="11" customFormat="false" ht="78" hidden="false" customHeight="true" outlineLevel="0" collapsed="false">
      <c r="A11" s="23" t="s">
        <v>886</v>
      </c>
      <c r="B11" s="10" t="s">
        <v>887</v>
      </c>
      <c r="C11" s="10" t="s">
        <v>888</v>
      </c>
      <c r="D11" s="10" t="s">
        <v>889</v>
      </c>
      <c r="E11" s="10" t="s">
        <v>890</v>
      </c>
      <c r="F11" s="10" t="s">
        <v>884</v>
      </c>
      <c r="G11" s="10" t="s">
        <v>891</v>
      </c>
      <c r="H11" s="10" t="s">
        <v>892</v>
      </c>
      <c r="I11" s="10" t="s">
        <v>520</v>
      </c>
    </row>
    <row r="12" customFormat="false" ht="78" hidden="false" customHeight="true" outlineLevel="0" collapsed="false">
      <c r="A12" s="23" t="s">
        <v>893</v>
      </c>
      <c r="B12" s="10" t="s">
        <v>894</v>
      </c>
      <c r="C12" s="10" t="s">
        <v>895</v>
      </c>
      <c r="D12" s="10" t="s">
        <v>896</v>
      </c>
      <c r="E12" s="10" t="s">
        <v>897</v>
      </c>
      <c r="F12" s="10" t="s">
        <v>898</v>
      </c>
      <c r="G12" s="10" t="s">
        <v>899</v>
      </c>
      <c r="H12" s="10" t="s">
        <v>900</v>
      </c>
      <c r="I12" s="10" t="s">
        <v>520</v>
      </c>
    </row>
    <row r="13" customFormat="false" ht="78" hidden="false" customHeight="true" outlineLevel="0" collapsed="false">
      <c r="A13" s="23" t="s">
        <v>901</v>
      </c>
      <c r="B13" s="10" t="s">
        <v>902</v>
      </c>
      <c r="C13" s="10" t="s">
        <v>903</v>
      </c>
      <c r="D13" s="10" t="s">
        <v>904</v>
      </c>
      <c r="E13" s="10" t="s">
        <v>905</v>
      </c>
      <c r="F13" s="10" t="s">
        <v>906</v>
      </c>
      <c r="G13" s="10" t="s">
        <v>907</v>
      </c>
      <c r="H13" s="10" t="s">
        <v>908</v>
      </c>
      <c r="I13" s="10" t="s">
        <v>520</v>
      </c>
    </row>
    <row r="14" customFormat="false" ht="78" hidden="false" customHeight="true" outlineLevel="0" collapsed="false">
      <c r="A14" s="23" t="s">
        <v>336</v>
      </c>
      <c r="B14" s="10" t="s">
        <v>909</v>
      </c>
      <c r="C14" s="10" t="s">
        <v>910</v>
      </c>
      <c r="D14" s="10" t="s">
        <v>911</v>
      </c>
      <c r="E14" s="10" t="s">
        <v>912</v>
      </c>
      <c r="F14" s="10" t="s">
        <v>898</v>
      </c>
      <c r="G14" s="10" t="s">
        <v>913</v>
      </c>
      <c r="H14" s="10" t="s">
        <v>914</v>
      </c>
      <c r="I14" s="10" t="s">
        <v>520</v>
      </c>
    </row>
    <row r="15" customFormat="false" ht="78" hidden="false" customHeight="true" outlineLevel="0" collapsed="false">
      <c r="A15" s="23" t="s">
        <v>324</v>
      </c>
      <c r="B15" s="10" t="s">
        <v>915</v>
      </c>
      <c r="C15" s="10" t="s">
        <v>916</v>
      </c>
      <c r="D15" s="10" t="s">
        <v>917</v>
      </c>
      <c r="E15" s="10" t="s">
        <v>897</v>
      </c>
      <c r="F15" s="10" t="s">
        <v>898</v>
      </c>
      <c r="G15" s="10" t="s">
        <v>918</v>
      </c>
      <c r="H15" s="10" t="s">
        <v>914</v>
      </c>
      <c r="I15" s="10" t="s">
        <v>520</v>
      </c>
    </row>
    <row r="16" customFormat="false" ht="78" hidden="false" customHeight="true" outlineLevel="0" collapsed="false">
      <c r="A16" s="23" t="s">
        <v>919</v>
      </c>
      <c r="B16" s="10" t="s">
        <v>920</v>
      </c>
      <c r="C16" s="10" t="s">
        <v>921</v>
      </c>
      <c r="D16" s="10" t="s">
        <v>922</v>
      </c>
      <c r="E16" s="10" t="s">
        <v>923</v>
      </c>
      <c r="F16" s="10" t="s">
        <v>924</v>
      </c>
      <c r="G16" s="10" t="s">
        <v>925</v>
      </c>
      <c r="H16" s="10" t="s">
        <v>926</v>
      </c>
      <c r="I16" s="10" t="s">
        <v>520</v>
      </c>
    </row>
    <row r="17" customFormat="false" ht="78" hidden="false" customHeight="true" outlineLevel="0" collapsed="false">
      <c r="A17" s="23" t="s">
        <v>927</v>
      </c>
      <c r="B17" s="10" t="s">
        <v>928</v>
      </c>
      <c r="C17" s="10" t="s">
        <v>929</v>
      </c>
      <c r="D17" s="10" t="s">
        <v>930</v>
      </c>
      <c r="E17" s="10" t="s">
        <v>931</v>
      </c>
      <c r="F17" s="10" t="s">
        <v>906</v>
      </c>
      <c r="G17" s="10" t="s">
        <v>932</v>
      </c>
      <c r="H17" s="10" t="s">
        <v>863</v>
      </c>
      <c r="I17" s="10" t="s">
        <v>520</v>
      </c>
    </row>
  </sheetData>
  <conditionalFormatting sqref="I5:I17">
    <cfRule type="cellIs" priority="2" operator="equal" aboveAverage="0" equalAverage="0" bottom="0" percent="0" rank="0" text="" dxfId="4">
      <formula>"Won"</formula>
    </cfRule>
  </conditionalFormatting>
  <dataValidations count="1">
    <dataValidation allowBlank="true" errorStyle="stop" operator="between" showDropDown="false" showErrorMessage="false" showInputMessage="false" sqref="I5:I17" type="list">
      <formula1>"Idea,Researching,Approaching,In discussion,Proposal sent,Won,Parked"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15"/>
    <col collapsed="false" customWidth="true" hidden="false" outlineLevel="0" max="8" min="8" style="1" width="26"/>
    <col collapsed="false" customWidth="true" hidden="false" outlineLevel="0" max="10" min="9" style="1" width="12"/>
  </cols>
  <sheetData>
    <row r="1" customFormat="false" ht="20.25" hidden="false" customHeight="true" outlineLevel="0" collapsed="false">
      <c r="A1" s="7" t="s">
        <v>933</v>
      </c>
    </row>
    <row r="2" customFormat="false" ht="15" hidden="false" customHeight="true" outlineLevel="0" collapsed="false">
      <c r="A2" s="3" t="s">
        <v>934</v>
      </c>
    </row>
    <row r="4" customFormat="false" ht="23.25" hidden="false" customHeight="true" outlineLevel="0" collapsed="false">
      <c r="A4" s="8" t="s">
        <v>935</v>
      </c>
      <c r="B4" s="8" t="s">
        <v>936</v>
      </c>
      <c r="C4" s="8" t="s">
        <v>937</v>
      </c>
      <c r="D4" s="8" t="s">
        <v>938</v>
      </c>
      <c r="E4" s="8" t="s">
        <v>939</v>
      </c>
      <c r="F4" s="8" t="s">
        <v>940</v>
      </c>
      <c r="G4" s="8" t="s">
        <v>941</v>
      </c>
      <c r="H4" s="8" t="s">
        <v>942</v>
      </c>
      <c r="I4" s="8" t="s">
        <v>943</v>
      </c>
      <c r="J4" s="8" t="s">
        <v>488</v>
      </c>
    </row>
    <row r="5" customFormat="false" ht="72" hidden="false" customHeight="true" outlineLevel="0" collapsed="false">
      <c r="A5" s="23" t="s">
        <v>944</v>
      </c>
      <c r="B5" s="10" t="s">
        <v>945</v>
      </c>
      <c r="C5" s="10" t="s">
        <v>946</v>
      </c>
      <c r="D5" s="10" t="s">
        <v>947</v>
      </c>
      <c r="E5" s="10" t="s">
        <v>948</v>
      </c>
      <c r="F5" s="10" t="s">
        <v>949</v>
      </c>
      <c r="G5" s="10" t="s">
        <v>950</v>
      </c>
      <c r="H5" s="10" t="s">
        <v>951</v>
      </c>
      <c r="I5" s="12" t="s">
        <v>952</v>
      </c>
      <c r="J5" s="10" t="s">
        <v>953</v>
      </c>
    </row>
    <row r="6" customFormat="false" ht="72" hidden="false" customHeight="true" outlineLevel="0" collapsed="false">
      <c r="A6" s="23" t="s">
        <v>954</v>
      </c>
      <c r="B6" s="10" t="s">
        <v>955</v>
      </c>
      <c r="C6" s="10" t="s">
        <v>956</v>
      </c>
      <c r="D6" s="10" t="s">
        <v>957</v>
      </c>
      <c r="E6" s="10" t="s">
        <v>958</v>
      </c>
      <c r="F6" s="10" t="s">
        <v>959</v>
      </c>
      <c r="G6" s="10" t="s">
        <v>950</v>
      </c>
      <c r="H6" s="10" t="s">
        <v>960</v>
      </c>
      <c r="I6" s="12" t="s">
        <v>952</v>
      </c>
      <c r="J6" s="10" t="s">
        <v>953</v>
      </c>
    </row>
    <row r="7" customFormat="false" ht="72" hidden="false" customHeight="true" outlineLevel="0" collapsed="false">
      <c r="A7" s="23" t="s">
        <v>961</v>
      </c>
      <c r="B7" s="10" t="s">
        <v>962</v>
      </c>
      <c r="C7" s="10" t="s">
        <v>963</v>
      </c>
      <c r="D7" s="10" t="s">
        <v>964</v>
      </c>
      <c r="E7" s="10" t="s">
        <v>965</v>
      </c>
      <c r="F7" s="10" t="s">
        <v>966</v>
      </c>
      <c r="G7" s="10" t="s">
        <v>950</v>
      </c>
      <c r="H7" s="10" t="s">
        <v>967</v>
      </c>
      <c r="I7" s="12" t="s">
        <v>952</v>
      </c>
      <c r="J7" s="10" t="s">
        <v>953</v>
      </c>
    </row>
    <row r="8" customFormat="false" ht="72" hidden="false" customHeight="true" outlineLevel="0" collapsed="false">
      <c r="A8" s="23" t="s">
        <v>968</v>
      </c>
      <c r="B8" s="10" t="s">
        <v>969</v>
      </c>
      <c r="C8" s="10" t="s">
        <v>970</v>
      </c>
      <c r="D8" s="10" t="s">
        <v>971</v>
      </c>
      <c r="E8" s="10" t="s">
        <v>972</v>
      </c>
      <c r="F8" s="10" t="s">
        <v>973</v>
      </c>
      <c r="G8" s="10" t="s">
        <v>974</v>
      </c>
      <c r="H8" s="10" t="s">
        <v>975</v>
      </c>
      <c r="I8" s="12" t="s">
        <v>952</v>
      </c>
      <c r="J8" s="10" t="s">
        <v>976</v>
      </c>
    </row>
    <row r="9" customFormat="false" ht="72" hidden="false" customHeight="true" outlineLevel="0" collapsed="false">
      <c r="A9" s="23" t="s">
        <v>977</v>
      </c>
      <c r="B9" s="10" t="s">
        <v>978</v>
      </c>
      <c r="C9" s="10" t="s">
        <v>979</v>
      </c>
      <c r="D9" s="10" t="s">
        <v>980</v>
      </c>
      <c r="E9" s="10" t="s">
        <v>981</v>
      </c>
      <c r="F9" s="10" t="s">
        <v>982</v>
      </c>
      <c r="G9" s="10" t="s">
        <v>983</v>
      </c>
      <c r="H9" s="10" t="s">
        <v>984</v>
      </c>
      <c r="I9" s="12" t="s">
        <v>952</v>
      </c>
      <c r="J9" s="10" t="s">
        <v>976</v>
      </c>
    </row>
    <row r="10" customFormat="false" ht="72" hidden="false" customHeight="true" outlineLevel="0" collapsed="false">
      <c r="A10" s="23" t="s">
        <v>985</v>
      </c>
      <c r="B10" s="10" t="s">
        <v>976</v>
      </c>
      <c r="C10" s="10" t="s">
        <v>986</v>
      </c>
      <c r="D10" s="10" t="s">
        <v>987</v>
      </c>
      <c r="E10" s="10" t="s">
        <v>988</v>
      </c>
      <c r="F10" s="10" t="s">
        <v>989</v>
      </c>
      <c r="G10" s="10" t="s">
        <v>974</v>
      </c>
      <c r="H10" s="10" t="s">
        <v>990</v>
      </c>
      <c r="I10" s="12" t="s">
        <v>952</v>
      </c>
      <c r="J10" s="10" t="s">
        <v>976</v>
      </c>
    </row>
    <row r="11" customFormat="false" ht="72" hidden="false" customHeight="true" outlineLevel="0" collapsed="false">
      <c r="A11" s="23" t="s">
        <v>991</v>
      </c>
      <c r="B11" s="10" t="s">
        <v>992</v>
      </c>
      <c r="C11" s="10" t="s">
        <v>993</v>
      </c>
      <c r="D11" s="10" t="s">
        <v>994</v>
      </c>
      <c r="E11" s="10" t="s">
        <v>995</v>
      </c>
      <c r="F11" s="10" t="s">
        <v>996</v>
      </c>
      <c r="G11" s="10" t="s">
        <v>974</v>
      </c>
      <c r="H11" s="10" t="s">
        <v>997</v>
      </c>
      <c r="I11" s="12" t="s">
        <v>952</v>
      </c>
      <c r="J11" s="10" t="s">
        <v>976</v>
      </c>
    </row>
    <row r="12" customFormat="false" ht="72" hidden="false" customHeight="true" outlineLevel="0" collapsed="false">
      <c r="A12" s="23" t="s">
        <v>998</v>
      </c>
      <c r="B12" s="10" t="s">
        <v>969</v>
      </c>
      <c r="C12" s="10" t="s">
        <v>999</v>
      </c>
      <c r="D12" s="10" t="s">
        <v>1000</v>
      </c>
      <c r="E12" s="10" t="s">
        <v>1001</v>
      </c>
      <c r="F12" s="10" t="s">
        <v>1002</v>
      </c>
      <c r="G12" s="10" t="s">
        <v>1003</v>
      </c>
      <c r="H12" s="10" t="s">
        <v>1004</v>
      </c>
      <c r="I12" s="12" t="s">
        <v>1005</v>
      </c>
      <c r="J12" s="10" t="s">
        <v>976</v>
      </c>
    </row>
    <row r="13" customFormat="false" ht="72" hidden="false" customHeight="true" outlineLevel="0" collapsed="false">
      <c r="A13" s="23" t="s">
        <v>1006</v>
      </c>
      <c r="B13" s="10" t="s">
        <v>976</v>
      </c>
      <c r="C13" s="10" t="s">
        <v>1007</v>
      </c>
      <c r="D13" s="10" t="s">
        <v>1008</v>
      </c>
      <c r="E13" s="10" t="s">
        <v>1009</v>
      </c>
      <c r="F13" s="10" t="s">
        <v>1010</v>
      </c>
      <c r="G13" s="10" t="s">
        <v>1011</v>
      </c>
      <c r="H13" s="10" t="s">
        <v>1012</v>
      </c>
      <c r="I13" s="12" t="s">
        <v>952</v>
      </c>
      <c r="J13" s="10" t="s">
        <v>976</v>
      </c>
    </row>
    <row r="14" customFormat="false" ht="72" hidden="false" customHeight="true" outlineLevel="0" collapsed="false">
      <c r="A14" s="23" t="s">
        <v>1013</v>
      </c>
      <c r="B14" s="10" t="s">
        <v>1014</v>
      </c>
      <c r="C14" s="10" t="s">
        <v>1015</v>
      </c>
      <c r="D14" s="10" t="s">
        <v>1016</v>
      </c>
      <c r="E14" s="10" t="s">
        <v>1017</v>
      </c>
      <c r="F14" s="10" t="s">
        <v>1018</v>
      </c>
      <c r="G14" s="10" t="s">
        <v>983</v>
      </c>
      <c r="H14" s="10" t="s">
        <v>1019</v>
      </c>
      <c r="I14" s="12" t="s">
        <v>952</v>
      </c>
      <c r="J14" s="10" t="s">
        <v>976</v>
      </c>
    </row>
    <row r="15" customFormat="false" ht="72" hidden="false" customHeight="true" outlineLevel="0" collapsed="false">
      <c r="A15" s="23" t="s">
        <v>1020</v>
      </c>
      <c r="B15" s="10" t="s">
        <v>1021</v>
      </c>
      <c r="C15" s="10" t="s">
        <v>1022</v>
      </c>
      <c r="D15" s="10" t="s">
        <v>1023</v>
      </c>
      <c r="E15" s="10" t="s">
        <v>1024</v>
      </c>
      <c r="F15" s="10" t="s">
        <v>1025</v>
      </c>
      <c r="G15" s="10" t="s">
        <v>884</v>
      </c>
      <c r="H15" s="10" t="s">
        <v>1026</v>
      </c>
      <c r="I15" s="12" t="s">
        <v>1027</v>
      </c>
      <c r="J15" s="10" t="s">
        <v>1028</v>
      </c>
    </row>
    <row r="16" customFormat="false" ht="72" hidden="false" customHeight="true" outlineLevel="0" collapsed="false">
      <c r="A16" s="23" t="s">
        <v>1029</v>
      </c>
      <c r="B16" s="10" t="s">
        <v>1021</v>
      </c>
      <c r="C16" s="10" t="s">
        <v>1030</v>
      </c>
      <c r="D16" s="10" t="s">
        <v>1031</v>
      </c>
      <c r="E16" s="10" t="s">
        <v>1032</v>
      </c>
      <c r="F16" s="10" t="s">
        <v>1025</v>
      </c>
      <c r="G16" s="10" t="s">
        <v>884</v>
      </c>
      <c r="H16" s="10" t="s">
        <v>1033</v>
      </c>
      <c r="I16" s="12" t="s">
        <v>1027</v>
      </c>
      <c r="J16" s="10" t="s">
        <v>1028</v>
      </c>
    </row>
    <row r="17" customFormat="false" ht="72" hidden="false" customHeight="true" outlineLevel="0" collapsed="false">
      <c r="A17" s="23" t="s">
        <v>1034</v>
      </c>
      <c r="B17" s="10" t="s">
        <v>1035</v>
      </c>
      <c r="C17" s="10" t="s">
        <v>1036</v>
      </c>
      <c r="D17" s="10" t="s">
        <v>1037</v>
      </c>
      <c r="E17" s="10" t="s">
        <v>1038</v>
      </c>
      <c r="F17" s="10" t="s">
        <v>1025</v>
      </c>
      <c r="G17" s="10" t="s">
        <v>884</v>
      </c>
      <c r="H17" s="10" t="s">
        <v>1039</v>
      </c>
      <c r="I17" s="12" t="s">
        <v>1027</v>
      </c>
      <c r="J17" s="10" t="s">
        <v>1028</v>
      </c>
    </row>
    <row r="18" customFormat="false" ht="78" hidden="false" customHeight="true" outlineLevel="0" collapsed="false">
      <c r="A18" s="23" t="s">
        <v>1040</v>
      </c>
      <c r="B18" s="10" t="s">
        <v>1041</v>
      </c>
      <c r="C18" s="10" t="s">
        <v>1042</v>
      </c>
      <c r="D18" s="10" t="s">
        <v>1043</v>
      </c>
      <c r="E18" s="10" t="s">
        <v>1044</v>
      </c>
      <c r="F18" s="10" t="s">
        <v>1025</v>
      </c>
      <c r="G18" s="10" t="s">
        <v>1045</v>
      </c>
      <c r="H18" s="10" t="s">
        <v>1046</v>
      </c>
      <c r="I18" s="12" t="s">
        <v>952</v>
      </c>
      <c r="J18" s="10" t="s">
        <v>1028</v>
      </c>
    </row>
  </sheetData>
  <conditionalFormatting sqref="I5:I17">
    <cfRule type="cellIs" priority="2" operator="equal" aboveAverage="0" equalAverage="0" bottom="0" percent="0" rank="0" text="" dxfId="5">
      <formula>"Yes"</formula>
    </cfRule>
  </conditionalFormatting>
  <conditionalFormatting sqref="J5:J17">
    <cfRule type="cellIs" priority="3" operator="equal" aboveAverage="0" equalAverage="0" bottom="0" percent="0" rank="0" text="" dxfId="4">
      <formula>"Active"</formula>
    </cfRule>
  </conditionalFormatting>
  <dataValidations count="1">
    <dataValidation allowBlank="true" errorStyle="stop" operator="between" showDropDown="false" showErrorMessage="false" showInputMessage="false" sqref="J5:J18" type="list">
      <formula1>"Active,To hire,To recruit,Interviewing,Offer out,Onboarded,Parked"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2026-05-26T21:22:44Z</dcterms:created>
  <dc:creator>openpyxl</dc:creator>
  <dc:description/>
  <dc:language>en-US</dc:language>
  <cp:lastModifiedBy/>
  <dcterms:modified xsi:type="dcterms:W3CDTF">2026-05-26T21:37:51Z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