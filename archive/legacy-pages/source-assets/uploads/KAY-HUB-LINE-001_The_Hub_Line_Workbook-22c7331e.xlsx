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00 · READ ME" sheetId="2" state="visible" r:id="rId4"/>
    <sheet name="01 · LINE ON A PAGE" sheetId="3" state="visible" r:id="rId5"/>
    <sheet name="02 · ECONOMICS &amp; REVENUE" sheetId="4" state="visible" r:id="rId6"/>
    <sheet name="03 · ACCOUNTING TREATMENT" sheetId="5" state="visible" r:id="rId7"/>
    <sheet name="04 · ROLES · JD &amp; KPIs" sheetId="6" state="visible" r:id="rId8"/>
    <sheet name="05 · PROCESS" sheetId="7" state="visible" r:id="rId9"/>
    <sheet name="06 · QA &amp; CONTROLS" sheetId="8" state="visible" r:id="rId10"/>
    <sheet name="07 · AUTOMATION MAP" sheetId="9" state="visible" r:id="rId11"/>
    <sheet name="08 · CROSS-DOMAIN NOTES" sheetId="10" state="visible" r:id="rId12"/>
    <sheet name="09 · PAIN POINTS &amp; IDEA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<sst xmlns="http://schemas.openxmlformats.org/spreadsheetml/2006/main" count="381" uniqueCount="334">
  <si>
    <t xml:space="preserve">KAYAN  ◆  LINE INTELLIGENCE &amp; OPERATING WORKBOOK</t>
  </si>
  <si>
    <t xml:space="preserve">The Hub</t>
  </si>
  <si>
    <t xml:space="preserve">Where Aden works — the venue, the community, and the amenity that anchors the brand</t>
  </si>
  <si>
    <t xml:space="preserve">Behind every success, a KAYAN</t>
  </si>
  <si>
    <t xml:space="preserve">Instrument</t>
  </si>
  <si>
    <t xml:space="preserve">KAY-HUB-LINE-001  ·  The Hub Line Intelligence &amp; Operating Workbook</t>
  </si>
  <si>
    <t xml:space="preserve">What it is</t>
  </si>
  <si>
    <t xml:space="preserve">The one place that reasons the Hub all the way through: what it sells and to whom, how it earns, how each transaction is booked, who runs it, the daily operations and controls, and where it can be automated — with the Café as an amenity inside it</t>
  </si>
  <si>
    <t xml:space="preserve">The accumulating idea</t>
  </si>
  <si>
    <t xml:space="preserve">Cross-domain notes land in tab 08 and accumulate here, so the operating domains are already half-written when we reach them</t>
  </si>
  <si>
    <t xml:space="preserve">Numbers</t>
  </si>
  <si>
    <t xml:space="preserve">Every contested figure is an illustrative placeholder in a blue input cell, pending the finance session and an Aden-market pricing rebuild</t>
  </si>
  <si>
    <t xml:space="preserve">Status</t>
  </si>
  <si>
    <t xml:space="preserve">Living workbook — the second of one per business line, on the same template as Managed Delivery</t>
  </si>
  <si>
    <t xml:space="preserve">WHAT IS INSIDE</t>
  </si>
  <si>
    <t xml:space="preserve">00 · READ ME</t>
  </si>
  <si>
    <t xml:space="preserve">How the workbook and the accumulating system work</t>
  </si>
  <si>
    <t xml:space="preserve">01 · LINE ON A PAGE</t>
  </si>
  <si>
    <t xml:space="preserve">What the Hub is, the promise, and the value flow</t>
  </si>
  <si>
    <t xml:space="preserve">02 · ECONOMICS &amp; REVENUE</t>
  </si>
  <si>
    <t xml:space="preserve">The revenue lines, the model, and pain points</t>
  </si>
  <si>
    <t xml:space="preserve">03 · ACCOUNTING TREATMENT</t>
  </si>
  <si>
    <t xml:space="preserve">How every transaction is coded</t>
  </si>
  <si>
    <t xml:space="preserve">04 · ROLES · JD &amp; KPIs</t>
  </si>
  <si>
    <t xml:space="preserve">Every position and intern that runs the Hub</t>
  </si>
  <si>
    <t xml:space="preserve">05 · PROCESS</t>
  </si>
  <si>
    <t xml:space="preserve">The member lifecycle and daily operations</t>
  </si>
  <si>
    <t xml:space="preserve">06 · QA &amp; CONTROLS</t>
  </si>
  <si>
    <t xml:space="preserve">Cleanliness, safety, food safety, and the member standard</t>
  </si>
  <si>
    <t xml:space="preserve">07 · AUTOMATION MAP</t>
  </si>
  <si>
    <t xml:space="preserve">What the platform automates and what stays human</t>
  </si>
  <si>
    <t xml:space="preserve">08 · CROSS-DOMAIN NOTES</t>
  </si>
  <si>
    <t xml:space="preserve">The accumulating ledger for every other domain</t>
  </si>
  <si>
    <t xml:space="preserve">09 · PAIN POINTS &amp; IDEAS</t>
  </si>
  <si>
    <t xml:space="preserve">What hurts and what could earn more</t>
  </si>
  <si>
    <t xml:space="preserve">HOW THIS WORKBOOK WORKS</t>
  </si>
  <si>
    <t xml:space="preserve">What a line workbook is</t>
  </si>
  <si>
    <t xml:space="preserve">One workbook per business line, where the line is reasoned all the way through: what it sells and to whom, how it earns, how each transaction is booked, who runs it, the processes and controls, and where it can be automated. The Hub is a line of its own; the Café lives inside it as an amenity, not as a separate business.</t>
  </si>
  <si>
    <t xml:space="preserve">The accumulating ledger</t>
  </si>
  <si>
    <t xml:space="preserve">Building the Hub surfaces needs for other domains — an account Finance must open, a role HR must hire, a portal Tech must build, a policy Legal must write. Those land in tab 08 as they arise, and accumulate, so the operating domains are already half-written when we reach them.</t>
  </si>
  <si>
    <t xml:space="preserve">Numbers are placeholders</t>
  </si>
  <si>
    <t xml:space="preserve">Every contested figure sits in a blue input cell and is illustrative only, pending the finance session and an Aden-market pricing rebuild. The model computes so the logic is visible — no number here is decided.</t>
  </si>
  <si>
    <t xml:space="preserve">The reader</t>
  </si>
  <si>
    <t xml:space="preserve">Internal and candid about margin, occupancy, and cash. External language (community, space) is handled in the brand assets; here we use the true operating words.</t>
  </si>
  <si>
    <t xml:space="preserve">Café as amenity</t>
  </si>
  <si>
    <t xml:space="preserve">The Café has no standalone profit-and-loss. It earns and it costs, and both roll into the Hub. It exists to make the Hub a place people want to be — measured on the experience it creates, not on its own margin.</t>
  </si>
  <si>
    <t xml:space="preserve">The Hub — the line on a page</t>
  </si>
  <si>
    <t xml:space="preserve">A professional workspace and community hub in Aden — reliable power, internet, quiet, and a place to belong — with a Café as its amenity. It is the physical home of Kayan and the front door to everything else.</t>
  </si>
  <si>
    <t xml:space="preserve">Who it is for</t>
  </si>
  <si>
    <t xml:space="preserve">Members: freelancers, small teams, and professionals who need a reliable place to work. Visitors on a day pass. And the wider community that comes for events, the Café, and the sense of a place that works.</t>
  </si>
  <si>
    <t xml:space="preserve">The promise</t>
  </si>
  <si>
    <t xml:space="preserve">A place in Aden where the power stays on, the internet is fast, the space is safe and welcoming — including a dedicated safe space for women — and there are people around you building things too.</t>
  </si>
  <si>
    <t xml:space="preserve">What it sells</t>
  </si>
  <si>
    <t xml:space="preserve">Memberships, day passes, meeting-room and event-space hire, and the Café as an amenity. Membership is the recurring core; the rest fills the room and feeds conversion.</t>
  </si>
  <si>
    <t xml:space="preserve">The value flow</t>
  </si>
  <si>
    <t xml:space="preserve">Visitor → day pass → member → renew, with the community forming around them. The Café and events draw people in; the space and the people keep them.</t>
  </si>
  <si>
    <t xml:space="preserve">Why it wins</t>
  </si>
  <si>
    <t xml:space="preserve">In Aden, reliable power, fast internet, and a safe, professional place to work are scarce. The Hub's solar is operational and its connectivity is in place — so it delivers, every day, what the city struggles to. That reliability is the product.</t>
  </si>
  <si>
    <t xml:space="preserve">Where it sits</t>
  </si>
  <si>
    <t xml:space="preserve">The physical anchor and the community front door. It gives Managed Delivery a home to meet clients, the Forge a place to run cohorts, and the talent a place to belong — turning a company into a place.</t>
  </si>
  <si>
    <t xml:space="preserve">Economics &amp; revenue</t>
  </si>
  <si>
    <t xml:space="preserve">The revenue lines and the unit economics. Blue cells are illustrative placeholders — the model computes so the logic is visible, but every number is set in the finance session.</t>
  </si>
  <si>
    <t xml:space="preserve">REVENUE LINES</t>
  </si>
  <si>
    <t xml:space="preserve">How it earns</t>
  </si>
  <si>
    <t xml:space="preserve">Memberships</t>
  </si>
  <si>
    <t xml:space="preserve">The recurring core — monthly plans for individuals and teams; the steadiest, most valuable Hub revenue.</t>
  </si>
  <si>
    <t xml:space="preserve">Day passes</t>
  </si>
  <si>
    <t xml:space="preserve">Single-day access — revenue in its own right and the top of the membership funnel.</t>
  </si>
  <si>
    <t xml:space="preserve">Meeting-room &amp; desk bookings</t>
  </si>
  <si>
    <t xml:space="preserve">Hourly and block hire of rooms and dedicated desks, for members and non-members.</t>
  </si>
  <si>
    <t xml:space="preserve">Event &amp; space hire</t>
  </si>
  <si>
    <t xml:space="preserve">The space rented for workshops, launches, and community events — often with a partner.</t>
  </si>
  <si>
    <t xml:space="preserve">Café (amenity)</t>
  </si>
  <si>
    <t xml:space="preserve">Food and drink that make the Hub a place people stay. Earns and costs, but rolls into the Hub — no separate P&amp;L.</t>
  </si>
  <si>
    <t xml:space="preserve">Sponsored / branded space</t>
  </si>
  <si>
    <t xml:space="preserve">A partner sponsors a zone, an event series, or connectivity — revenue plus community programming.</t>
  </si>
  <si>
    <t xml:space="preserve">UNIT ECONOMICS  (illustrative placeholders)</t>
  </si>
  <si>
    <t xml:space="preserve">Value</t>
  </si>
  <si>
    <t xml:space="preserve">Unit</t>
  </si>
  <si>
    <t xml:space="preserve">Active members</t>
  </si>
  <si>
    <t xml:space="preserve">count</t>
  </si>
  <si>
    <t xml:space="preserve">Placeholder — paying members</t>
  </si>
  <si>
    <t xml:space="preserve">Average monthly membership fee</t>
  </si>
  <si>
    <t xml:space="preserve">USD</t>
  </si>
  <si>
    <t xml:space="preserve">Placeholder — rebuild against Aden market</t>
  </si>
  <si>
    <t xml:space="preserve">Day passes per month</t>
  </si>
  <si>
    <t xml:space="preserve">Placeholder — single-day visitors</t>
  </si>
  <si>
    <t xml:space="preserve">Average day-pass price</t>
  </si>
  <si>
    <t xml:space="preserve">Placeholder</t>
  </si>
  <si>
    <t xml:space="preserve">Bookings per month</t>
  </si>
  <si>
    <t xml:space="preserve">Placeholder — room/desk/event hire</t>
  </si>
  <si>
    <t xml:space="preserve">Average booking value</t>
  </si>
  <si>
    <t xml:space="preserve">Hub operating cost per month</t>
  </si>
  <si>
    <t xml:space="preserve">Placeholder — rent, power, staff, security, connectivity</t>
  </si>
  <si>
    <t xml:space="preserve">Membership revenue per month</t>
  </si>
  <si>
    <t xml:space="preserve">The recurring core</t>
  </si>
  <si>
    <t xml:space="preserve">Day-pass revenue per month</t>
  </si>
  <si>
    <t xml:space="preserve">Funnel + revenue</t>
  </si>
  <si>
    <t xml:space="preserve">Booking &amp; event revenue per month</t>
  </si>
  <si>
    <t xml:space="preserve">Fills the room</t>
  </si>
  <si>
    <t xml:space="preserve">Total Hub revenue per month</t>
  </si>
  <si>
    <t xml:space="preserve">Before the Café amenity</t>
  </si>
  <si>
    <t xml:space="preserve">Contribution vs Hub cost</t>
  </si>
  <si>
    <t xml:space="preserve">Total revenue less operating cost</t>
  </si>
  <si>
    <t xml:space="preserve">Members needed to cover cost</t>
  </si>
  <si>
    <t xml:space="preserve">At the average fee, memberships alone to break even</t>
  </si>
  <si>
    <t xml:space="preserve">Unlike Managed Delivery, the Hub is straightforward revenue — no protected funds, no holdback. Membership is booked when earned each month; the Café earns and costs within the Hub, never as a separate business. The pricing here must be rebuilt against the real Aden market before it is trusted.</t>
  </si>
  <si>
    <t xml:space="preserve">Accounting treatment</t>
  </si>
  <si>
    <t xml:space="preserve">How each Hub transaction is coded. Straightforward revenue and cost — no escrow. The Café is tracked as its own cost centre inside the Hub. Account codes are placeholders for the finance session.</t>
  </si>
  <si>
    <t xml:space="preserve">Event</t>
  </si>
  <si>
    <t xml:space="preserve">Debit</t>
  </si>
  <si>
    <t xml:space="preserve">Credit</t>
  </si>
  <si>
    <t xml:space="preserve">Why / account note</t>
  </si>
  <si>
    <t xml:space="preserve">Member pays monthly fee</t>
  </si>
  <si>
    <t xml:space="preserve">Bank / cash</t>
  </si>
  <si>
    <t xml:space="preserve">Hub membership income (revenue)</t>
  </si>
  <si>
    <t xml:space="preserve">Recognised in the month it covers. «COA: 4xxx»</t>
  </si>
  <si>
    <t xml:space="preserve">Visitor buys a day pass</t>
  </si>
  <si>
    <t xml:space="preserve">Cash (YER primary)</t>
  </si>
  <si>
    <t xml:space="preserve">Day-pass income (revenue)</t>
  </si>
  <si>
    <t xml:space="preserve">Point-of-sale; most payment is cash in YER. «COA: 4xxx»</t>
  </si>
  <si>
    <t xml:space="preserve">Room / event booking paid</t>
  </si>
  <si>
    <t xml:space="preserve">Booking &amp; event income (revenue)</t>
  </si>
  <si>
    <t xml:space="preserve">Recognised on the date of hire. «COA: 4xxx»</t>
  </si>
  <si>
    <t xml:space="preserve">Café sale</t>
  </si>
  <si>
    <t xml:space="preserve">Cash / member tab</t>
  </si>
  <si>
    <t xml:space="preserve">Café income (revenue, amenity)</t>
  </si>
  <si>
    <t xml:space="preserve">Tracked in the Café cost centre; rolls into the Hub. «COA: 4xxx-CAFE»</t>
  </si>
  <si>
    <t xml:space="preserve">Café buys stock</t>
  </si>
  <si>
    <t xml:space="preserve">Inventory / Café COGS (expense)</t>
  </si>
  <si>
    <t xml:space="preserve">Bank / cash / payable</t>
  </si>
  <si>
    <t xml:space="preserve">Cost of goods; waste is logged and written off. «COA: 5xxx-CAFE»</t>
  </si>
  <si>
    <t xml:space="preserve">Rent paid</t>
  </si>
  <si>
    <t xml:space="preserve">Rent expense</t>
  </si>
  <si>
    <t xml:space="preserve">Bank</t>
  </si>
  <si>
    <t xml:space="preserve">Monthly premises cost. «COA: 5xxx»</t>
  </si>
  <si>
    <t xml:space="preserve">Solar power system</t>
  </si>
  <si>
    <t xml:space="preserve">Fixed asset (solar)</t>
  </si>
  <si>
    <t xml:space="preserve">Bank / payable</t>
  </si>
  <si>
    <t xml:space="preserve">Capitalised and depreciated — it is why the power stays on. «COA: 1xxx / depreciation 5xxx»</t>
  </si>
  <si>
    <t xml:space="preserve">Security &amp; staff</t>
  </si>
  <si>
    <t xml:space="preserve">Salaries / security expense</t>
  </si>
  <si>
    <t xml:space="preserve">Includes the third guard. «COA: 5xxx»</t>
  </si>
  <si>
    <t xml:space="preserve">Connectivity &amp; utilities</t>
  </si>
  <si>
    <t xml:space="preserve">Utilities expense</t>
  </si>
  <si>
    <t xml:space="preserve">Internet, water, backup power. «COA: 5xxx»</t>
  </si>
  <si>
    <t xml:space="preserve">Roles · JD &amp; KPIs</t>
  </si>
  <si>
    <t xml:space="preserve">Every position and intern that runs the Hub, in position codes. The Member Experience Assistant is the face of the place; the Café Lead is measured on the experience, not on margin.</t>
  </si>
  <si>
    <t xml:space="preserve">Code</t>
  </si>
  <si>
    <t xml:space="preserve">Role</t>
  </si>
  <si>
    <t xml:space="preserve">Purpose</t>
  </si>
  <si>
    <t xml:space="preserve">Key responsibilities</t>
  </si>
  <si>
    <t xml:space="preserve">KPIs</t>
  </si>
  <si>
    <t xml:space="preserve">Reports to</t>
  </si>
  <si>
    <t xml:space="preserve">HUB-MGR</t>
  </si>
  <si>
    <t xml:space="preserve">Workspace / Hub Manager</t>
  </si>
  <si>
    <t xml:space="preserve">Own the Hub's occupancy, experience, and safety</t>
  </si>
  <si>
    <t xml:space="preserve">Run daily operations; own membership growth and renewals; manage staff and security; keep the space safe and welcoming; own the Hub P&amp;L</t>
  </si>
  <si>
    <t xml:space="preserve">Occupancy / active members; renewal rate; member satisfaction; incidents (target zero)</t>
  </si>
  <si>
    <t xml:space="preserve">Chief Executive</t>
  </si>
  <si>
    <t xml:space="preserve">HUB-EXP</t>
  </si>
  <si>
    <t xml:space="preserve">Member Experience Assistant</t>
  </si>
  <si>
    <t xml:space="preserve">Welcome people and convert visitors to members</t>
  </si>
  <si>
    <t xml:space="preserve">Front desk and welcome; day-pass sales; onboarding; member touchpoints; run the conversion funnel</t>
  </si>
  <si>
    <t xml:space="preserve">Day-pass-to-member conversion; onboarding completion; satisfaction score; follow-ups done</t>
  </si>
  <si>
    <t xml:space="preserve">CAF-LEAD</t>
  </si>
  <si>
    <t xml:space="preserve">Café Lead (Impact Maker)</t>
  </si>
  <si>
    <t xml:space="preserve">Make the Café a reason to be here</t>
  </si>
  <si>
    <t xml:space="preserve">Menu and prep to standard; food safety; inventory and waste control; the daily Café experience</t>
  </si>
  <si>
    <t xml:space="preserve">Food-safety compliance; waste rate; member satisfaction with the Café; Café contribution</t>
  </si>
  <si>
    <t xml:space="preserve">HUB-SEC</t>
  </si>
  <si>
    <t xml:space="preserve">Security</t>
  </si>
  <si>
    <t xml:space="preserve">Keep the Hub and its people safe</t>
  </si>
  <si>
    <t xml:space="preserve">Access control; guest logging; overnight security; support the women's safe-space policy</t>
  </si>
  <si>
    <t xml:space="preserve">Incidents; guest-log completeness; response time</t>
  </si>
  <si>
    <t xml:space="preserve">HUB-INT</t>
  </si>
  <si>
    <t xml:space="preserve">Hub Intern</t>
  </si>
  <si>
    <t xml:space="preserve">Learn hospitality and operations while supporting</t>
  </si>
  <si>
    <t xml:space="preserve">Assist front desk, events, and documentation; prepare the space; support the Café</t>
  </si>
  <si>
    <t xml:space="preserve">Tasks on time; reliability; readiness to progress</t>
  </si>
  <si>
    <t xml:space="preserve">Process — the member lifecycle &amp; daily operations</t>
  </si>
  <si>
    <t xml:space="preserve">The member journey from visitor to renewal, plus the daily opening and closing. Each stage has an owner, a checklist, and what the platform automates.</t>
  </si>
  <si>
    <t xml:space="preserve">Stage</t>
  </si>
  <si>
    <t xml:space="preserve">What happens</t>
  </si>
  <si>
    <t xml:space="preserve">Owner</t>
  </si>
  <si>
    <t xml:space="preserve">Checklist (key items)</t>
  </si>
  <si>
    <t xml:space="preserve">Automation</t>
  </si>
  <si>
    <t xml:space="preserve">Discover</t>
  </si>
  <si>
    <t xml:space="preserve">A visitor finds the Hub — walk-in, event, referral, or online</t>
  </si>
  <si>
    <t xml:space="preserve">Greeted; needs understood; tour offered; details captured</t>
  </si>
  <si>
    <t xml:space="preserve">Enquiry form; CRM record</t>
  </si>
  <si>
    <t xml:space="preserve">Day pass</t>
  </si>
  <si>
    <t xml:space="preserve">They try the space for a day</t>
  </si>
  <si>
    <t xml:space="preserve">Pass issued; payment (YER) taken; Wi-Fi voucher; guest logged</t>
  </si>
  <si>
    <t xml:space="preserve">Day-pass log; receipt; conversion nudge scheduled</t>
  </si>
  <si>
    <t xml:space="preserve">Convert</t>
  </si>
  <si>
    <t xml:space="preserve">They decide to join</t>
  </si>
  <si>
    <t xml:space="preserve">Plan chosen; membership agreement signed; first payment; access set</t>
  </si>
  <si>
    <t xml:space="preserve">Membership record; billing set up; welcome sequence</t>
  </si>
  <si>
    <t xml:space="preserve">Onboard</t>
  </si>
  <si>
    <t xml:space="preserve">Their first days as a member</t>
  </si>
  <si>
    <t xml:space="preserve">Orientation; zones and rules explained; introductions; settled in</t>
  </si>
  <si>
    <t xml:space="preserve">Onboarding checklist; access provisioned</t>
  </si>
  <si>
    <t xml:space="preserve">Use &amp; belong</t>
  </si>
  <si>
    <t xml:space="preserve">Daily use of the space and community</t>
  </si>
  <si>
    <t xml:space="preserve">Space ready daily (opening SOP); power/internet up; clean; safe</t>
  </si>
  <si>
    <t xml:space="preserve">Check-in; booking system; daily-ops checklist</t>
  </si>
  <si>
    <t xml:space="preserve">Serve</t>
  </si>
  <si>
    <t xml:space="preserve">Regular member touchpoints</t>
  </si>
  <si>
    <t xml:space="preserve">Check in on satisfaction; resolve issues; invite to events</t>
  </si>
  <si>
    <t xml:space="preserve">Service log; satisfaction survey</t>
  </si>
  <si>
    <t xml:space="preserve">Renew</t>
  </si>
  <si>
    <t xml:space="preserve">Their plan comes up for renewal</t>
  </si>
  <si>
    <t xml:space="preserve">Renewal contact before expiry; value reinforced; payment</t>
  </si>
  <si>
    <t xml:space="preserve">Renewal reminders; billing</t>
  </si>
  <si>
    <t xml:space="preserve">Win back</t>
  </si>
  <si>
    <t xml:space="preserve">A member lapses</t>
  </si>
  <si>
    <t xml:space="preserve">Reason understood; offer made; learning logged</t>
  </si>
  <si>
    <t xml:space="preserve">Churn log; win-back sequence</t>
  </si>
  <si>
    <t xml:space="preserve">Open / close</t>
  </si>
  <si>
    <t xml:space="preserve">Every operating day</t>
  </si>
  <si>
    <t xml:space="preserve">HUB-SEC / HUB-EXP</t>
  </si>
  <si>
    <t xml:space="preserve">Opening and closing SOP; cash counted; space secured</t>
  </si>
  <si>
    <t xml:space="preserve">Opening/closing checklist; cash log</t>
  </si>
  <si>
    <t xml:space="preserve">Quality assurance &amp; controls</t>
  </si>
  <si>
    <t xml:space="preserve">Cleanliness standard</t>
  </si>
  <si>
    <t xml:space="preserve">The space is cleaned to a written standard on a schedule — a professional place, every day. The daily opening SOP checks it before members arrive.</t>
  </si>
  <si>
    <t xml:space="preserve">Food safety (Café)</t>
  </si>
  <si>
    <t xml:space="preserve">Non-negotiable: handwashing on a timer, temperature control, and the food-safety checklist. The Café protects the Hub's reputation, so safety is never traded for speed.</t>
  </si>
  <si>
    <t xml:space="preserve">Member satisfaction</t>
  </si>
  <si>
    <t xml:space="preserve">Measured through service touchpoints and a simple score. A place people choose to be is the whole product, so satisfaction is tracked and acted on.</t>
  </si>
  <si>
    <t xml:space="preserve">Safety &amp; the women's safe space</t>
  </si>
  <si>
    <t xml:space="preserve">A dedicated, respected safe space for women, guest logging, and overnight security. Safety is a promise the Hub keeps, enforced by policy and by the security team.</t>
  </si>
  <si>
    <t xml:space="preserve">Maintenance</t>
  </si>
  <si>
    <t xml:space="preserve">Issues are logged and fixed fast — power, internet, furniture, facilities — so the reliability that is the product is protected.</t>
  </si>
  <si>
    <t xml:space="preserve">Cash controls</t>
  </si>
  <si>
    <t xml:space="preserve">Cash is primary and in YER: counted at open and close, logged against receipts, and reconciled. No sale without a receipt.</t>
  </si>
  <si>
    <t xml:space="preserve">Opening &amp; closing</t>
  </si>
  <si>
    <t xml:space="preserve">A written opening and closing routine every day — the space ready before members arrive, and secured after they leave.</t>
  </si>
  <si>
    <t xml:space="preserve">Automation map</t>
  </si>
  <si>
    <t xml:space="preserve">What the platform automates and what stays a human warmth. Automate the booking, the billing, and the reminders; keep the welcome and the judgement human.</t>
  </si>
  <si>
    <t xml:space="preserve">Process step</t>
  </si>
  <si>
    <t xml:space="preserve">Automated by the platform</t>
  </si>
  <si>
    <t xml:space="preserve">Trigger</t>
  </si>
  <si>
    <t xml:space="preserve">Human check (owner)</t>
  </si>
  <si>
    <t xml:space="preserve">Bookings</t>
  </si>
  <si>
    <t xml:space="preserve">Room and desk availability, booking, and confirmation</t>
  </si>
  <si>
    <t xml:space="preserve">Member books</t>
  </si>
  <si>
    <t xml:space="preserve">Confirm and prepare the space (HUB-EXP)</t>
  </si>
  <si>
    <t xml:space="preserve">Membership billing</t>
  </si>
  <si>
    <t xml:space="preserve">Recurring billing and payment status</t>
  </si>
  <si>
    <t xml:space="preserve">Cycle date</t>
  </si>
  <si>
    <t xml:space="preserve">Handle exceptions and AR (HUB-MGR)</t>
  </si>
  <si>
    <t xml:space="preserve">Renewals</t>
  </si>
  <si>
    <t xml:space="preserve">Reminders before expiry and a renewal sequence</t>
  </si>
  <si>
    <t xml:space="preserve">30 days to expiry</t>
  </si>
  <si>
    <t xml:space="preserve">The renewal conversation (HUB-MGR)</t>
  </si>
  <si>
    <t xml:space="preserve">Conversion</t>
  </si>
  <si>
    <t xml:space="preserve">Nudge a day-pass visitor toward membership</t>
  </si>
  <si>
    <t xml:space="preserve">Day pass used</t>
  </si>
  <si>
    <t xml:space="preserve">The membership invitation (HUB-EXP)</t>
  </si>
  <si>
    <t xml:space="preserve">Café stock</t>
  </si>
  <si>
    <t xml:space="preserve">Track inventory and flag reorder at par level</t>
  </si>
  <si>
    <t xml:space="preserve">Stock low</t>
  </si>
  <si>
    <t xml:space="preserve">Place the Aden order (CAF-LEAD)</t>
  </si>
  <si>
    <t xml:space="preserve">Check-in</t>
  </si>
  <si>
    <t xml:space="preserve">Member check-in / out and zone use</t>
  </si>
  <si>
    <t xml:space="preserve">Member arrives</t>
  </si>
  <si>
    <t xml:space="preserve">Welcome and assist (HUB-EXP)</t>
  </si>
  <si>
    <t xml:space="preserve">Satisfaction</t>
  </si>
  <si>
    <t xml:space="preserve">Send and collect a simple satisfaction score</t>
  </si>
  <si>
    <t xml:space="preserve">After touchpoints</t>
  </si>
  <si>
    <t xml:space="preserve">Act on what it says (HUB-MGR)</t>
  </si>
  <si>
    <t xml:space="preserve">Dashboard</t>
  </si>
  <si>
    <t xml:space="preserve">Occupancy, revenue, renewals, Café — live</t>
  </si>
  <si>
    <t xml:space="preserve">Continuous</t>
  </si>
  <si>
    <t xml:space="preserve">Review and steer (HUB-MGR)</t>
  </si>
  <si>
    <t xml:space="preserve">Cross-domain notes — the accumulating ledger</t>
  </si>
  <si>
    <t xml:space="preserve">What the Hub requires of every other domain, captured as it arises so nothing is rediscovered.</t>
  </si>
  <si>
    <t xml:space="preserve">Domain</t>
  </si>
  <si>
    <t xml:space="preserve">Note / requirement surfaced while building this line</t>
  </si>
  <si>
    <t xml:space="preserve">Action for that domain</t>
  </si>
  <si>
    <t xml:space="preserve">Finance</t>
  </si>
  <si>
    <t xml:space="preserve">Hub needs revenue accounts for membership, day passes, bookings, and Café (as a cost centre); the solar system is a capital asset that depreciates; cash is primary in YER.</t>
  </si>
  <si>
    <t xml:space="preserve">Open these accounts; treat the Café as a cost centre inside the Hub; set the depreciation and cash-control policy.</t>
  </si>
  <si>
    <t xml:space="preserve">NEEDS FORK</t>
  </si>
  <si>
    <t xml:space="preserve">People / HR</t>
  </si>
  <si>
    <t xml:space="preserve">Five roles run the Hub (HUB-MGR, HUB-EXP, CAF-LEAD, HUB-SEC, HUB-INT); the Member Experience Assistant JD already exists; a third security guard has joined.</t>
  </si>
  <si>
    <t xml:space="preserve">Write these JDs and KPIs into the People OS; reflect the third guard in staffing.</t>
  </si>
  <si>
    <t xml:space="preserve">STANDING</t>
  </si>
  <si>
    <t xml:space="preserve">Technology</t>
  </si>
  <si>
    <t xml:space="preserve">The platform needs a booking system, a membership and billing module, check-in, and a light member portal.</t>
  </si>
  <si>
    <t xml:space="preserve">Build booking, billing, check-in, and the member view into the platform.</t>
  </si>
  <si>
    <t xml:space="preserve">Legal</t>
  </si>
  <si>
    <t xml:space="preserve">Needs a membership agreement, day-pass terms, a written women's safe-space policy, and premises liability cover.</t>
  </si>
  <si>
    <t xml:space="preserve">Draft these into the legal suite; the safe-space policy is a standing commitment.</t>
  </si>
  <si>
    <t xml:space="preserve">Brand / external</t>
  </si>
  <si>
    <t xml:space="preserve">The Hub is the community front door; external language is 'community' and 'space', never 'workspace marketplace'. The safe space is a point of pride, stated plainly.</t>
  </si>
  <si>
    <t xml:space="preserve">Keep external language warm and community-led; feature the safe space.</t>
  </si>
  <si>
    <t xml:space="preserve">Partnerships</t>
  </si>
  <si>
    <t xml:space="preserve">Sponsored zones, connectivity, and event series are natural partner plays; events bring the community in.</t>
  </si>
  <si>
    <t xml:space="preserve">Build sponsored-space and event partnerships into the partnership plan.</t>
  </si>
  <si>
    <t xml:space="preserve">OPEN</t>
  </si>
  <si>
    <t xml:space="preserve">Café / Operations</t>
  </si>
  <si>
    <t xml:space="preserve">The Café is an amenity with its own ops bible (menu, inventory, waste, food safety); the 'Impact Maker' role runs it, measured on experience.</t>
  </si>
  <si>
    <t xml:space="preserve">Fold the Café ops standard under the Hub; keep the amenity framing.</t>
  </si>
  <si>
    <t xml:space="preserve">Pain points &amp; ideas</t>
  </si>
  <si>
    <t xml:space="preserve">What hurts and what could earn more. Candid, because it is internal.</t>
  </si>
  <si>
    <t xml:space="preserve">Type</t>
  </si>
  <si>
    <t xml:space="preserve">Item</t>
  </si>
  <si>
    <t xml:space="preserve">So what — the response</t>
  </si>
  <si>
    <t xml:space="preserve">Priority</t>
  </si>
  <si>
    <t xml:space="preserve">Pain</t>
  </si>
  <si>
    <t xml:space="preserve">Power and internet reliability — the thing Aden struggles with most</t>
  </si>
  <si>
    <t xml:space="preserve">Largely solved: the solar system is operational and connectivity is in place. This reliability is now the Hub's core advantage, not its risk.</t>
  </si>
  <si>
    <t xml:space="preserve">HIGH</t>
  </si>
  <si>
    <t xml:space="preserve">Member acquisition and conversion — filling and keeping the space</t>
  </si>
  <si>
    <t xml:space="preserve">The day-pass funnel, events, and the Café draw people in; the experience and community keep them. Conversion is tracked at every step.</t>
  </si>
  <si>
    <t xml:space="preserve">Demand sensitive to the local economy</t>
  </si>
  <si>
    <t xml:space="preserve">A mix of memberships, day passes, bookings, and events spreads the risk; corporate and sponsored deals steady it.</t>
  </si>
  <si>
    <t xml:space="preserve">MED</t>
  </si>
  <si>
    <t xml:space="preserve">Cash handling — YER, cash-primary</t>
  </si>
  <si>
    <t xml:space="preserve">Counted and reconciled at open and close, logged against receipts; no sale without a receipt.</t>
  </si>
  <si>
    <t xml:space="preserve">Café margin and waste</t>
  </si>
  <si>
    <t xml:space="preserve">Par-level inventory and a waste log control it; the Café is measured on experience, so modest margin is acceptable if it fills the room.</t>
  </si>
  <si>
    <t xml:space="preserve">Idea</t>
  </si>
  <si>
    <t xml:space="preserve">Community programming and events</t>
  </si>
  <si>
    <t xml:space="preserve">A calendar of workshops, meetups, and launches makes the Hub the place things happen in Aden — and each event is a conversion moment.</t>
  </si>
  <si>
    <t xml:space="preserve">IDEA</t>
  </si>
  <si>
    <t xml:space="preserve">Corporate and team memberships</t>
  </si>
  <si>
    <t xml:space="preserve">Sell blocks of access to organisations — steadier revenue and a pipeline of Managed-Delivery clients.</t>
  </si>
  <si>
    <t xml:space="preserve">A partner funds a zone, connectivity, or a series — revenue plus programming plus a visible partnership.</t>
  </si>
  <si>
    <t xml:space="preserve">Virtual office / business address</t>
  </si>
  <si>
    <t xml:space="preserve">A low-cost membership tier: an address, mail handling, and occasional space — revenue with no seat taken.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</si>
</sst>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D4B574"/>
      <name val="Arial"/>
      <family val="0"/>
      <charset val="1"/>
    </font>
    <font>
      <b val="true"/>
      <sz val="26"/>
      <color rgb="FFF4F1EA"/>
      <name val="Arial"/>
      <family val="0"/>
      <charset val="1"/>
    </font>
    <font>
      <sz val="11"/>
      <color rgb="FFD4B574"/>
      <name val="Arial"/>
      <family val="0"/>
      <charset val="1"/>
    </font>
    <font>
      <i val="true"/>
      <sz val="10"/>
      <color rgb="FFD4B574"/>
      <name val="Arial"/>
      <family val="0"/>
      <charset val="1"/>
    </font>
    <font>
      <b val="true"/>
      <sz val="9"/>
      <color rgb="FF7A5A25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0"/>
      <color rgb="FF0B3A33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15"/>
      <color rgb="FF0B3A33"/>
      <name val="Arial"/>
      <family val="0"/>
      <charset val="1"/>
    </font>
    <font>
      <sz val="8"/>
      <color rgb="FF6E8E7B"/>
      <name val="Arial"/>
      <family val="0"/>
      <charset val="1"/>
    </font>
    <font>
      <b val="true"/>
      <sz val="9"/>
      <color rgb="FFF4F1EA"/>
      <name val="Arial"/>
      <family val="0"/>
      <charset val="1"/>
    </font>
    <font>
      <b val="true"/>
      <sz val="9"/>
      <color rgb="FF0000CC"/>
      <name val="Arial"/>
      <family val="0"/>
      <charset val="1"/>
    </font>
    <font>
      <i val="true"/>
      <sz val="9"/>
      <color rgb="FF7A5A2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3A33"/>
        <bgColor rgb="FF003300"/>
      </patternFill>
    </fill>
    <fill>
      <patternFill patternType="solid">
        <fgColor rgb="FFFFF3C4"/>
        <bgColor rgb="FFF0E6CE"/>
      </patternFill>
    </fill>
    <fill>
      <patternFill patternType="solid">
        <fgColor rgb="FFE7EDE7"/>
        <bgColor rgb="FFE3E9EE"/>
      </patternFill>
    </fill>
    <fill>
      <patternFill patternType="solid">
        <fgColor rgb="FFF5E4DE"/>
        <bgColor rgb="FFF0E6CE"/>
      </patternFill>
    </fill>
    <fill>
      <patternFill patternType="solid">
        <fgColor rgb="FFE3E9EE"/>
        <bgColor rgb="FFE7EDE7"/>
      </patternFill>
    </fill>
    <fill>
      <patternFill patternType="solid">
        <fgColor rgb="FFF0E6CE"/>
        <bgColor rgb="FFF5E4DE"/>
      </patternFill>
    </fill>
    <fill>
      <patternFill patternType="solid">
        <fgColor rgb="FFE0EBE1"/>
        <bgColor rgb="FFE7ED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0BE"/>
      </left>
      <right style="thin">
        <color rgb="FFD8D0BE"/>
      </right>
      <top style="thin">
        <color rgb="FFD8D0BE"/>
      </top>
      <bottom style="thin">
        <color rgb="FFD8D0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1EA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7A5A25"/>
      <rgbColor rgb="FF800080"/>
      <rgbColor rgb="FF008080"/>
      <rgbColor rgb="FFD8D0BE"/>
      <rgbColor rgb="FF6E8E7B"/>
      <rgbColor rgb="FF9999FF"/>
      <rgbColor rgb="FF993366"/>
      <rgbColor rgb="FFFFF3C4"/>
      <rgbColor rgb="FFE7ED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9EE"/>
      <rgbColor rgb="FFE0EBE1"/>
      <rgbColor rgb="FFF0E6CE"/>
      <rgbColor rgb="FF99CCFF"/>
      <rgbColor rgb="FFFF99CC"/>
      <rgbColor rgb="FFCC99FF"/>
      <rgbColor rgb="FFF5E4DE"/>
      <rgbColor rgb="FF3366FF"/>
      <rgbColor rgb="FF33CCCC"/>
      <rgbColor rgb="FF99CC00"/>
      <rgbColor rgb="FFFFCC00"/>
      <rgbColor rgb="FFFF9900"/>
      <rgbColor rgb="FFFF6600"/>
      <rgbColor rgb="FF666699"/>
      <rgbColor rgb="FFD4B574"/>
      <rgbColor rgb="FF0B3A33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18"/>
    <col collapsed="false" customWidth="true" hidden="false" outlineLevel="0" max="7" min="7" style="0" width="20"/>
    <col collapsed="false" customWidth="true" hidden="false" outlineLevel="0" max="8" min="8" style="0" width="3"/>
  </cols>
  <sheetData>
    <row r="2" customFormat="false" ht="15" hidden="false" customHeight="false" outlineLevel="0" collapsed="false"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0</v>
      </c>
      <c r="C3" s="2"/>
      <c r="D3" s="2"/>
      <c r="E3" s="2"/>
      <c r="F3" s="2"/>
      <c r="G3" s="2"/>
    </row>
    <row r="4" customFormat="false" ht="15" hidden="false" customHeight="false" outlineLevel="0" collapsed="false">
      <c r="B4" s="1"/>
      <c r="C4" s="1"/>
      <c r="D4" s="1"/>
      <c r="E4" s="1"/>
      <c r="F4" s="1"/>
      <c r="G4" s="1"/>
    </row>
    <row r="5" customFormat="false" ht="15" hidden="false" customHeight="false" outlineLevel="0" collapsed="false">
      <c r="B5" s="3" t="s">
        <v>1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3"/>
      <c r="C6" s="3"/>
      <c r="D6" s="3"/>
      <c r="E6" s="3"/>
      <c r="F6" s="3"/>
      <c r="G6" s="3"/>
    </row>
    <row r="7" customFormat="false" ht="15" hidden="false" customHeight="false" outlineLevel="0" collapsed="false">
      <c r="B7" s="4" t="s">
        <v>2</v>
      </c>
      <c r="C7" s="4"/>
      <c r="D7" s="4"/>
      <c r="E7" s="4"/>
      <c r="F7" s="4"/>
      <c r="G7" s="4"/>
    </row>
    <row r="8" customFormat="false" ht="15" hidden="false" customHeight="false" outlineLevel="0" collapsed="false">
      <c r="B8" s="1"/>
      <c r="C8" s="1"/>
      <c r="D8" s="1"/>
      <c r="E8" s="1"/>
      <c r="F8" s="1"/>
      <c r="G8" s="1"/>
    </row>
    <row r="9" customFormat="false" ht="15" hidden="false" customHeight="false" outlineLevel="0" collapsed="false">
      <c r="B9" s="5" t="s">
        <v>3</v>
      </c>
      <c r="C9" s="5"/>
      <c r="D9" s="5"/>
      <c r="E9" s="5"/>
      <c r="F9" s="5"/>
      <c r="G9" s="5"/>
    </row>
    <row r="10" customFormat="false" ht="15" hidden="false" customHeight="false" outlineLevel="0" collapsed="false">
      <c r="B10" s="1"/>
      <c r="C10" s="1"/>
      <c r="D10" s="1"/>
      <c r="E10" s="1"/>
      <c r="F10" s="1"/>
      <c r="G10" s="1"/>
    </row>
    <row r="11" customFormat="false" ht="15" hidden="false" customHeight="false" outlineLevel="0" collapsed="false">
      <c r="B11" s="1"/>
      <c r="C11" s="1"/>
      <c r="D11" s="1"/>
      <c r="E11" s="1"/>
      <c r="F11" s="1"/>
      <c r="G11" s="1"/>
    </row>
    <row r="13" customFormat="false" ht="42" hidden="false" customHeight="true" outlineLevel="0" collapsed="false">
      <c r="B13" s="6" t="s">
        <v>4</v>
      </c>
      <c r="C13" s="6"/>
      <c r="D13" s="7" t="s">
        <v>5</v>
      </c>
      <c r="E13" s="7"/>
      <c r="F13" s="7"/>
      <c r="G13" s="7"/>
    </row>
    <row r="14" customFormat="false" ht="42" hidden="false" customHeight="true" outlineLevel="0" collapsed="false">
      <c r="B14" s="6" t="s">
        <v>6</v>
      </c>
      <c r="C14" s="6"/>
      <c r="D14" s="7" t="s">
        <v>7</v>
      </c>
      <c r="E14" s="7"/>
      <c r="F14" s="7"/>
      <c r="G14" s="7"/>
    </row>
    <row r="15" customFormat="false" ht="42" hidden="false" customHeight="true" outlineLevel="0" collapsed="false">
      <c r="B15" s="6" t="s">
        <v>8</v>
      </c>
      <c r="C15" s="6"/>
      <c r="D15" s="7" t="s">
        <v>9</v>
      </c>
      <c r="E15" s="7"/>
      <c r="F15" s="7"/>
      <c r="G15" s="7"/>
    </row>
    <row r="16" customFormat="false" ht="42" hidden="false" customHeight="true" outlineLevel="0" collapsed="false">
      <c r="B16" s="6" t="s">
        <v>10</v>
      </c>
      <c r="C16" s="6"/>
      <c r="D16" s="7" t="s">
        <v>11</v>
      </c>
      <c r="E16" s="7"/>
      <c r="F16" s="7"/>
      <c r="G16" s="7"/>
    </row>
    <row r="17" customFormat="false" ht="42" hidden="false" customHeight="true" outlineLevel="0" collapsed="false">
      <c r="B17" s="6" t="s">
        <v>12</v>
      </c>
      <c r="C17" s="6"/>
      <c r="D17" s="7" t="s">
        <v>13</v>
      </c>
      <c r="E17" s="7"/>
      <c r="F17" s="7"/>
      <c r="G17" s="7"/>
    </row>
    <row r="19" customFormat="false" ht="15" hidden="false" customHeight="false" outlineLevel="0" collapsed="false">
      <c r="B19" s="8" t="s">
        <v>14</v>
      </c>
      <c r="C19" s="8"/>
      <c r="D19" s="8"/>
      <c r="E19" s="8"/>
      <c r="F19" s="8"/>
      <c r="G19" s="8"/>
    </row>
    <row r="20" customFormat="false" ht="21.75" hidden="false" customHeight="true" outlineLevel="0" collapsed="false">
      <c r="B20" s="9" t="s">
        <v>15</v>
      </c>
      <c r="C20" s="9"/>
      <c r="D20" s="7" t="s">
        <v>16</v>
      </c>
      <c r="E20" s="7"/>
      <c r="F20" s="7"/>
      <c r="G20" s="7"/>
    </row>
    <row r="21" customFormat="false" ht="21.75" hidden="false" customHeight="true" outlineLevel="0" collapsed="false">
      <c r="B21" s="9" t="s">
        <v>17</v>
      </c>
      <c r="C21" s="9"/>
      <c r="D21" s="7" t="s">
        <v>18</v>
      </c>
      <c r="E21" s="7"/>
      <c r="F21" s="7"/>
      <c r="G21" s="7"/>
    </row>
    <row r="22" customFormat="false" ht="21.75" hidden="false" customHeight="true" outlineLevel="0" collapsed="false">
      <c r="B22" s="9" t="s">
        <v>19</v>
      </c>
      <c r="C22" s="9"/>
      <c r="D22" s="7" t="s">
        <v>20</v>
      </c>
      <c r="E22" s="7"/>
      <c r="F22" s="7"/>
      <c r="G22" s="7"/>
    </row>
    <row r="23" customFormat="false" ht="21.75" hidden="false" customHeight="true" outlineLevel="0" collapsed="false">
      <c r="B23" s="9" t="s">
        <v>21</v>
      </c>
      <c r="C23" s="9"/>
      <c r="D23" s="7" t="s">
        <v>22</v>
      </c>
      <c r="E23" s="7"/>
      <c r="F23" s="7"/>
      <c r="G23" s="7"/>
    </row>
    <row r="24" customFormat="false" ht="21.75" hidden="false" customHeight="true" outlineLevel="0" collapsed="false">
      <c r="B24" s="9" t="s">
        <v>23</v>
      </c>
      <c r="C24" s="9"/>
      <c r="D24" s="7" t="s">
        <v>24</v>
      </c>
      <c r="E24" s="7"/>
      <c r="F24" s="7"/>
      <c r="G24" s="7"/>
    </row>
    <row r="25" customFormat="false" ht="21.75" hidden="false" customHeight="true" outlineLevel="0" collapsed="false">
      <c r="B25" s="9" t="s">
        <v>25</v>
      </c>
      <c r="C25" s="9"/>
      <c r="D25" s="7" t="s">
        <v>26</v>
      </c>
      <c r="E25" s="7"/>
      <c r="F25" s="7"/>
      <c r="G25" s="7"/>
    </row>
    <row r="26" customFormat="false" ht="21.75" hidden="false" customHeight="true" outlineLevel="0" collapsed="false">
      <c r="B26" s="9" t="s">
        <v>27</v>
      </c>
      <c r="C26" s="9"/>
      <c r="D26" s="7" t="s">
        <v>28</v>
      </c>
      <c r="E26" s="7"/>
      <c r="F26" s="7"/>
      <c r="G26" s="7"/>
    </row>
    <row r="27" customFormat="false" ht="21.75" hidden="false" customHeight="true" outlineLevel="0" collapsed="false">
      <c r="B27" s="9" t="s">
        <v>29</v>
      </c>
      <c r="C27" s="9"/>
      <c r="D27" s="7" t="s">
        <v>30</v>
      </c>
      <c r="E27" s="7"/>
      <c r="F27" s="7"/>
      <c r="G27" s="7"/>
    </row>
    <row r="28" customFormat="false" ht="21.75" hidden="false" customHeight="true" outlineLevel="0" collapsed="false">
      <c r="B28" s="9" t="s">
        <v>31</v>
      </c>
      <c r="C28" s="9"/>
      <c r="D28" s="7" t="s">
        <v>32</v>
      </c>
      <c r="E28" s="7"/>
      <c r="F28" s="7"/>
      <c r="G28" s="7"/>
    </row>
    <row r="29" customFormat="false" ht="21.75" hidden="false" customHeight="true" outlineLevel="0" collapsed="false">
      <c r="B29" s="9" t="s">
        <v>33</v>
      </c>
      <c r="C29" s="9"/>
      <c r="D29" s="7" t="s">
        <v>34</v>
      </c>
      <c r="E29" s="7"/>
      <c r="F29" s="7"/>
      <c r="G29" s="7"/>
    </row>
  </sheetData>
  <mergeCells count="35">
    <mergeCell ref="B3:G3"/>
    <mergeCell ref="B5:G6"/>
    <mergeCell ref="B7:G7"/>
    <mergeCell ref="B9:G9"/>
    <mergeCell ref="B13:C13"/>
    <mergeCell ref="D13:G13"/>
    <mergeCell ref="B14:C14"/>
    <mergeCell ref="D14:G14"/>
    <mergeCell ref="B15:C15"/>
    <mergeCell ref="D15:G15"/>
    <mergeCell ref="B16:C16"/>
    <mergeCell ref="D16:G16"/>
    <mergeCell ref="B17:C17"/>
    <mergeCell ref="D17:G17"/>
    <mergeCell ref="B19:G19"/>
    <mergeCell ref="B20:C20"/>
    <mergeCell ref="D20:G20"/>
    <mergeCell ref="B21:C21"/>
    <mergeCell ref="D21:G21"/>
    <mergeCell ref="B22:C22"/>
    <mergeCell ref="D22:G22"/>
    <mergeCell ref="B23:C23"/>
    <mergeCell ref="D23:G23"/>
    <mergeCell ref="B24:C24"/>
    <mergeCell ref="D24:G24"/>
    <mergeCell ref="B25:C25"/>
    <mergeCell ref="D25:G25"/>
    <mergeCell ref="B26:C26"/>
    <mergeCell ref="D26:G26"/>
    <mergeCell ref="B27:C27"/>
    <mergeCell ref="D27:G27"/>
    <mergeCell ref="B28:C28"/>
    <mergeCell ref="D28:G28"/>
    <mergeCell ref="B29:C29"/>
    <mergeCell ref="D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8"/>
  </cols>
  <sheetData>
    <row r="2" customFormat="false" ht="24" hidden="false" customHeight="true" outlineLevel="0" collapsed="false">
      <c r="B2" s="10" t="s">
        <v>35</v>
      </c>
      <c r="C2" s="10"/>
    </row>
    <row r="4" customFormat="false" ht="63.75" hidden="false" customHeight="true" outlineLevel="0" collapsed="false">
      <c r="B4" s="11" t="s">
        <v>36</v>
      </c>
      <c r="C4" s="12" t="s">
        <v>37</v>
      </c>
    </row>
    <row r="5" customFormat="false" ht="63.75" hidden="false" customHeight="true" outlineLevel="0" collapsed="false">
      <c r="B5" s="11" t="s">
        <v>38</v>
      </c>
      <c r="C5" s="12" t="s">
        <v>39</v>
      </c>
    </row>
    <row r="6" customFormat="false" ht="48" hidden="false" customHeight="true" outlineLevel="0" collapsed="false">
      <c r="B6" s="11" t="s">
        <v>40</v>
      </c>
      <c r="C6" s="12" t="s">
        <v>41</v>
      </c>
    </row>
    <row r="7" customFormat="false" ht="31.5" hidden="false" customHeight="true" outlineLevel="0" collapsed="false">
      <c r="B7" s="11" t="s">
        <v>42</v>
      </c>
      <c r="C7" s="12" t="s">
        <v>43</v>
      </c>
    </row>
    <row r="8" customFormat="false" ht="48" hidden="false" customHeight="true" outlineLevel="0" collapsed="false">
      <c r="B8" s="11" t="s">
        <v>44</v>
      </c>
      <c r="C8" s="12" t="s">
        <v>45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8"/>
  </cols>
  <sheetData>
    <row r="2" customFormat="false" ht="24" hidden="false" customHeight="true" outlineLevel="0" collapsed="false">
      <c r="B2" s="10" t="s">
        <v>46</v>
      </c>
      <c r="C2" s="10"/>
    </row>
    <row r="4" customFormat="false" ht="48" hidden="false" customHeight="true" outlineLevel="0" collapsed="false">
      <c r="B4" s="11" t="s">
        <v>6</v>
      </c>
      <c r="C4" s="12" t="s">
        <v>47</v>
      </c>
    </row>
    <row r="5" customFormat="false" ht="48" hidden="false" customHeight="true" outlineLevel="0" collapsed="false">
      <c r="B5" s="11" t="s">
        <v>48</v>
      </c>
      <c r="C5" s="12" t="s">
        <v>49</v>
      </c>
    </row>
    <row r="6" customFormat="false" ht="48" hidden="false" customHeight="true" outlineLevel="0" collapsed="false">
      <c r="B6" s="11" t="s">
        <v>50</v>
      </c>
      <c r="C6" s="12" t="s">
        <v>51</v>
      </c>
    </row>
    <row r="7" customFormat="false" ht="31.5" hidden="false" customHeight="true" outlineLevel="0" collapsed="false">
      <c r="B7" s="11" t="s">
        <v>52</v>
      </c>
      <c r="C7" s="12" t="s">
        <v>53</v>
      </c>
    </row>
    <row r="8" customFormat="false" ht="31.5" hidden="false" customHeight="true" outlineLevel="0" collapsed="false">
      <c r="B8" s="11" t="s">
        <v>54</v>
      </c>
      <c r="C8" s="12" t="s">
        <v>55</v>
      </c>
    </row>
    <row r="9" customFormat="false" ht="48" hidden="false" customHeight="true" outlineLevel="0" collapsed="false">
      <c r="B9" s="11" t="s">
        <v>56</v>
      </c>
      <c r="C9" s="12" t="s">
        <v>57</v>
      </c>
    </row>
    <row r="10" customFormat="false" ht="48" hidden="false" customHeight="true" outlineLevel="0" collapsed="false">
      <c r="B10" s="11" t="s">
        <v>58</v>
      </c>
      <c r="C10" s="12" t="s">
        <v>59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16"/>
    <col collapsed="false" customWidth="true" hidden="false" outlineLevel="0" max="5" min="5" style="0" width="44"/>
  </cols>
  <sheetData>
    <row r="2" customFormat="false" ht="18.55" hidden="false" customHeight="false" outlineLevel="0" collapsed="false">
      <c r="B2" s="13" t="s">
        <v>60</v>
      </c>
    </row>
    <row r="3" customFormat="false" ht="15" hidden="false" customHeight="false" outlineLevel="0" collapsed="false">
      <c r="B3" s="14" t="s">
        <v>61</v>
      </c>
    </row>
    <row r="5" customFormat="false" ht="15" hidden="false" customHeight="false" outlineLevel="0" collapsed="false">
      <c r="B5" s="15" t="s">
        <v>62</v>
      </c>
      <c r="C5" s="15"/>
      <c r="D5" s="15"/>
      <c r="E5" s="15" t="s">
        <v>63</v>
      </c>
    </row>
    <row r="6" customFormat="false" ht="30" hidden="false" customHeight="true" outlineLevel="0" collapsed="false">
      <c r="B6" s="16" t="s">
        <v>64</v>
      </c>
      <c r="C6" s="12"/>
      <c r="D6" s="12"/>
      <c r="E6" s="12" t="s">
        <v>65</v>
      </c>
    </row>
    <row r="7" customFormat="false" ht="30" hidden="false" customHeight="true" outlineLevel="0" collapsed="false">
      <c r="B7" s="16" t="s">
        <v>66</v>
      </c>
      <c r="C7" s="12"/>
      <c r="D7" s="12"/>
      <c r="E7" s="12" t="s">
        <v>67</v>
      </c>
    </row>
    <row r="8" customFormat="false" ht="30" hidden="false" customHeight="true" outlineLevel="0" collapsed="false">
      <c r="B8" s="16" t="s">
        <v>68</v>
      </c>
      <c r="C8" s="12"/>
      <c r="D8" s="12"/>
      <c r="E8" s="12" t="s">
        <v>69</v>
      </c>
    </row>
    <row r="9" customFormat="false" ht="30" hidden="false" customHeight="true" outlineLevel="0" collapsed="false">
      <c r="B9" s="16" t="s">
        <v>70</v>
      </c>
      <c r="C9" s="12"/>
      <c r="D9" s="12"/>
      <c r="E9" s="12" t="s">
        <v>71</v>
      </c>
    </row>
    <row r="10" customFormat="false" ht="30" hidden="false" customHeight="true" outlineLevel="0" collapsed="false">
      <c r="B10" s="16" t="s">
        <v>72</v>
      </c>
      <c r="C10" s="12"/>
      <c r="D10" s="12"/>
      <c r="E10" s="12" t="s">
        <v>73</v>
      </c>
    </row>
    <row r="11" customFormat="false" ht="30" hidden="false" customHeight="true" outlineLevel="0" collapsed="false">
      <c r="B11" s="16" t="s">
        <v>74</v>
      </c>
      <c r="C11" s="12"/>
      <c r="D11" s="12"/>
      <c r="E11" s="12" t="s">
        <v>75</v>
      </c>
    </row>
    <row r="13" customFormat="false" ht="15" hidden="false" customHeight="false" outlineLevel="0" collapsed="false">
      <c r="B13" s="15" t="s">
        <v>76</v>
      </c>
      <c r="C13" s="17" t="s">
        <v>77</v>
      </c>
      <c r="D13" s="17" t="s">
        <v>78</v>
      </c>
      <c r="E13" s="15"/>
    </row>
    <row r="14" customFormat="false" ht="15" hidden="false" customHeight="false" outlineLevel="0" collapsed="false">
      <c r="B14" s="12" t="s">
        <v>79</v>
      </c>
      <c r="C14" s="18" t="n">
        <v>30</v>
      </c>
      <c r="D14" s="19" t="s">
        <v>80</v>
      </c>
      <c r="E14" s="20" t="s">
        <v>81</v>
      </c>
    </row>
    <row r="15" customFormat="false" ht="15" hidden="false" customHeight="false" outlineLevel="0" collapsed="false">
      <c r="B15" s="12" t="s">
        <v>82</v>
      </c>
      <c r="C15" s="18" t="n">
        <v>80</v>
      </c>
      <c r="D15" s="19" t="s">
        <v>83</v>
      </c>
      <c r="E15" s="20" t="s">
        <v>84</v>
      </c>
    </row>
    <row r="16" customFormat="false" ht="15" hidden="false" customHeight="false" outlineLevel="0" collapsed="false">
      <c r="B16" s="12" t="s">
        <v>85</v>
      </c>
      <c r="C16" s="18" t="n">
        <v>40</v>
      </c>
      <c r="D16" s="19" t="s">
        <v>80</v>
      </c>
      <c r="E16" s="20" t="s">
        <v>86</v>
      </c>
    </row>
    <row r="17" customFormat="false" ht="15" hidden="false" customHeight="false" outlineLevel="0" collapsed="false">
      <c r="B17" s="12" t="s">
        <v>87</v>
      </c>
      <c r="C17" s="18" t="n">
        <v>5</v>
      </c>
      <c r="D17" s="19" t="s">
        <v>83</v>
      </c>
      <c r="E17" s="20" t="s">
        <v>88</v>
      </c>
    </row>
    <row r="18" customFormat="false" ht="15" hidden="false" customHeight="false" outlineLevel="0" collapsed="false">
      <c r="B18" s="12" t="s">
        <v>89</v>
      </c>
      <c r="C18" s="18" t="n">
        <v>20</v>
      </c>
      <c r="D18" s="19" t="s">
        <v>80</v>
      </c>
      <c r="E18" s="20" t="s">
        <v>90</v>
      </c>
    </row>
    <row r="19" customFormat="false" ht="15" hidden="false" customHeight="false" outlineLevel="0" collapsed="false">
      <c r="B19" s="12" t="s">
        <v>91</v>
      </c>
      <c r="C19" s="18" t="n">
        <v>15</v>
      </c>
      <c r="D19" s="19" t="s">
        <v>83</v>
      </c>
      <c r="E19" s="20" t="s">
        <v>88</v>
      </c>
    </row>
    <row r="20" customFormat="false" ht="15" hidden="false" customHeight="false" outlineLevel="0" collapsed="false">
      <c r="B20" s="12" t="s">
        <v>92</v>
      </c>
      <c r="C20" s="18" t="n">
        <v>3500</v>
      </c>
      <c r="D20" s="19" t="s">
        <v>83</v>
      </c>
      <c r="E20" s="20" t="s">
        <v>93</v>
      </c>
    </row>
    <row r="21" customFormat="false" ht="15" hidden="false" customHeight="false" outlineLevel="0" collapsed="false">
      <c r="B21" s="16" t="s">
        <v>94</v>
      </c>
      <c r="C21" s="21" t="n">
        <f aca="false">C14*C15</f>
        <v>2400</v>
      </c>
      <c r="D21" s="19" t="s">
        <v>83</v>
      </c>
      <c r="E21" s="20" t="s">
        <v>95</v>
      </c>
    </row>
    <row r="22" customFormat="false" ht="15" hidden="false" customHeight="false" outlineLevel="0" collapsed="false">
      <c r="B22" s="16" t="s">
        <v>96</v>
      </c>
      <c r="C22" s="21" t="n">
        <f aca="false">C16*C17</f>
        <v>200</v>
      </c>
      <c r="D22" s="19" t="s">
        <v>83</v>
      </c>
      <c r="E22" s="20" t="s">
        <v>97</v>
      </c>
    </row>
    <row r="23" customFormat="false" ht="15" hidden="false" customHeight="false" outlineLevel="0" collapsed="false">
      <c r="B23" s="16" t="s">
        <v>98</v>
      </c>
      <c r="C23" s="21" t="n">
        <f aca="false">C18*C19</f>
        <v>300</v>
      </c>
      <c r="D23" s="19" t="s">
        <v>83</v>
      </c>
      <c r="E23" s="20" t="s">
        <v>99</v>
      </c>
    </row>
    <row r="24" customFormat="false" ht="15" hidden="false" customHeight="false" outlineLevel="0" collapsed="false">
      <c r="B24" s="16" t="s">
        <v>100</v>
      </c>
      <c r="C24" s="21" t="n">
        <f aca="false">C14*C15+C16*C17+C18*C19</f>
        <v>2900</v>
      </c>
      <c r="D24" s="19" t="s">
        <v>83</v>
      </c>
      <c r="E24" s="20" t="s">
        <v>101</v>
      </c>
    </row>
    <row r="25" customFormat="false" ht="15" hidden="false" customHeight="false" outlineLevel="0" collapsed="false">
      <c r="B25" s="16" t="s">
        <v>102</v>
      </c>
      <c r="C25" s="21" t="n">
        <f aca="false">(C14*C15+C16*C17+C18*C19)-C20</f>
        <v>-600</v>
      </c>
      <c r="D25" s="19" t="s">
        <v>83</v>
      </c>
      <c r="E25" s="20" t="s">
        <v>103</v>
      </c>
    </row>
    <row r="26" customFormat="false" ht="15" hidden="false" customHeight="false" outlineLevel="0" collapsed="false">
      <c r="B26" s="16" t="s">
        <v>104</v>
      </c>
      <c r="C26" s="22" t="n">
        <f aca="false">C20/C15</f>
        <v>43.75</v>
      </c>
      <c r="D26" s="19" t="s">
        <v>80</v>
      </c>
      <c r="E26" s="20" t="s">
        <v>105</v>
      </c>
    </row>
    <row r="28" customFormat="false" ht="43.5" hidden="false" customHeight="true" outlineLevel="0" collapsed="false">
      <c r="B28" s="23" t="s">
        <v>106</v>
      </c>
      <c r="C28" s="23"/>
      <c r="D28" s="23"/>
      <c r="E28" s="23"/>
    </row>
  </sheetData>
  <mergeCells count="1"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4"/>
    <col collapsed="false" customWidth="true" hidden="false" outlineLevel="0" max="4" min="4" style="0" width="40"/>
  </cols>
  <sheetData>
    <row r="1" customFormat="false" ht="18.55" hidden="false" customHeight="false" outlineLevel="0" collapsed="false">
      <c r="A1" s="10" t="s">
        <v>107</v>
      </c>
      <c r="B1" s="10"/>
    </row>
    <row r="2" customFormat="false" ht="15" hidden="false" customHeight="false" outlineLevel="0" collapsed="false">
      <c r="A2" s="14" t="s">
        <v>108</v>
      </c>
    </row>
    <row r="4" customFormat="false" ht="25.5" hidden="false" customHeight="true" outlineLevel="0" collapsed="false">
      <c r="A4" s="17" t="s">
        <v>109</v>
      </c>
      <c r="B4" s="17" t="s">
        <v>110</v>
      </c>
      <c r="C4" s="17" t="s">
        <v>111</v>
      </c>
      <c r="D4" s="17" t="s">
        <v>112</v>
      </c>
    </row>
    <row r="5" customFormat="false" ht="37.5" hidden="false" customHeight="true" outlineLevel="0" collapsed="false">
      <c r="A5" s="16" t="s">
        <v>113</v>
      </c>
      <c r="B5" s="12" t="s">
        <v>114</v>
      </c>
      <c r="C5" s="12" t="s">
        <v>115</v>
      </c>
      <c r="D5" s="12" t="s">
        <v>116</v>
      </c>
    </row>
    <row r="6" customFormat="false" ht="37.5" hidden="false" customHeight="true" outlineLevel="0" collapsed="false">
      <c r="A6" s="16" t="s">
        <v>117</v>
      </c>
      <c r="B6" s="12" t="s">
        <v>118</v>
      </c>
      <c r="C6" s="12" t="s">
        <v>119</v>
      </c>
      <c r="D6" s="12" t="s">
        <v>120</v>
      </c>
    </row>
    <row r="7" customFormat="false" ht="37.5" hidden="false" customHeight="true" outlineLevel="0" collapsed="false">
      <c r="A7" s="16" t="s">
        <v>121</v>
      </c>
      <c r="B7" s="12" t="s">
        <v>114</v>
      </c>
      <c r="C7" s="12" t="s">
        <v>122</v>
      </c>
      <c r="D7" s="12" t="s">
        <v>123</v>
      </c>
    </row>
    <row r="8" customFormat="false" ht="37.5" hidden="false" customHeight="true" outlineLevel="0" collapsed="false">
      <c r="A8" s="16" t="s">
        <v>124</v>
      </c>
      <c r="B8" s="12" t="s">
        <v>125</v>
      </c>
      <c r="C8" s="12" t="s">
        <v>126</v>
      </c>
      <c r="D8" s="12" t="s">
        <v>127</v>
      </c>
    </row>
    <row r="9" customFormat="false" ht="37.5" hidden="false" customHeight="true" outlineLevel="0" collapsed="false">
      <c r="A9" s="16" t="s">
        <v>128</v>
      </c>
      <c r="B9" s="12" t="s">
        <v>129</v>
      </c>
      <c r="C9" s="12" t="s">
        <v>130</v>
      </c>
      <c r="D9" s="12" t="s">
        <v>131</v>
      </c>
    </row>
    <row r="10" customFormat="false" ht="37.5" hidden="false" customHeight="true" outlineLevel="0" collapsed="false">
      <c r="A10" s="16" t="s">
        <v>132</v>
      </c>
      <c r="B10" s="12" t="s">
        <v>133</v>
      </c>
      <c r="C10" s="12" t="s">
        <v>134</v>
      </c>
      <c r="D10" s="12" t="s">
        <v>135</v>
      </c>
    </row>
    <row r="11" customFormat="false" ht="37.5" hidden="false" customHeight="true" outlineLevel="0" collapsed="false">
      <c r="A11" s="16" t="s">
        <v>136</v>
      </c>
      <c r="B11" s="12" t="s">
        <v>137</v>
      </c>
      <c r="C11" s="12" t="s">
        <v>138</v>
      </c>
      <c r="D11" s="12" t="s">
        <v>139</v>
      </c>
    </row>
    <row r="12" customFormat="false" ht="37.5" hidden="false" customHeight="true" outlineLevel="0" collapsed="false">
      <c r="A12" s="16" t="s">
        <v>140</v>
      </c>
      <c r="B12" s="12" t="s">
        <v>141</v>
      </c>
      <c r="C12" s="12" t="s">
        <v>134</v>
      </c>
      <c r="D12" s="12" t="s">
        <v>142</v>
      </c>
    </row>
    <row r="13" customFormat="false" ht="37.5" hidden="false" customHeight="true" outlineLevel="0" collapsed="false">
      <c r="A13" s="16" t="s">
        <v>143</v>
      </c>
      <c r="B13" s="12" t="s">
        <v>144</v>
      </c>
      <c r="C13" s="12" t="s">
        <v>134</v>
      </c>
      <c r="D13" s="12" t="s">
        <v>145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6"/>
  </cols>
  <sheetData>
    <row r="1" customFormat="false" ht="18.55" hidden="false" customHeight="false" outlineLevel="0" collapsed="false">
      <c r="A1" s="10" t="s">
        <v>146</v>
      </c>
      <c r="B1" s="10"/>
    </row>
    <row r="2" customFormat="false" ht="15" hidden="false" customHeight="false" outlineLevel="0" collapsed="false">
      <c r="A2" s="14" t="s">
        <v>147</v>
      </c>
    </row>
    <row r="4" customFormat="false" ht="25.5" hidden="false" customHeight="true" outlineLevel="0" collapsed="false">
      <c r="A4" s="17" t="s">
        <v>148</v>
      </c>
      <c r="B4" s="17" t="s">
        <v>149</v>
      </c>
      <c r="C4" s="17" t="s">
        <v>150</v>
      </c>
      <c r="D4" s="17" t="s">
        <v>151</v>
      </c>
      <c r="E4" s="17" t="s">
        <v>152</v>
      </c>
      <c r="F4" s="17" t="s">
        <v>153</v>
      </c>
    </row>
    <row r="5" customFormat="false" ht="57.75" hidden="false" customHeight="true" outlineLevel="0" collapsed="false">
      <c r="A5" s="24" t="s">
        <v>154</v>
      </c>
      <c r="B5" s="16" t="s">
        <v>155</v>
      </c>
      <c r="C5" s="12" t="s">
        <v>156</v>
      </c>
      <c r="D5" s="12" t="s">
        <v>157</v>
      </c>
      <c r="E5" s="12" t="s">
        <v>158</v>
      </c>
      <c r="F5" s="12" t="s">
        <v>159</v>
      </c>
    </row>
    <row r="6" customFormat="false" ht="57.75" hidden="false" customHeight="true" outlineLevel="0" collapsed="false">
      <c r="A6" s="24" t="s">
        <v>160</v>
      </c>
      <c r="B6" s="16" t="s">
        <v>161</v>
      </c>
      <c r="C6" s="12" t="s">
        <v>162</v>
      </c>
      <c r="D6" s="12" t="s">
        <v>163</v>
      </c>
      <c r="E6" s="12" t="s">
        <v>164</v>
      </c>
      <c r="F6" s="12" t="s">
        <v>154</v>
      </c>
    </row>
    <row r="7" customFormat="false" ht="57.75" hidden="false" customHeight="true" outlineLevel="0" collapsed="false">
      <c r="A7" s="24" t="s">
        <v>165</v>
      </c>
      <c r="B7" s="16" t="s">
        <v>166</v>
      </c>
      <c r="C7" s="12" t="s">
        <v>167</v>
      </c>
      <c r="D7" s="12" t="s">
        <v>168</v>
      </c>
      <c r="E7" s="12" t="s">
        <v>169</v>
      </c>
      <c r="F7" s="12" t="s">
        <v>154</v>
      </c>
    </row>
    <row r="8" customFormat="false" ht="57.75" hidden="false" customHeight="true" outlineLevel="0" collapsed="false">
      <c r="A8" s="24" t="s">
        <v>170</v>
      </c>
      <c r="B8" s="16" t="s">
        <v>171</v>
      </c>
      <c r="C8" s="12" t="s">
        <v>172</v>
      </c>
      <c r="D8" s="12" t="s">
        <v>173</v>
      </c>
      <c r="E8" s="12" t="s">
        <v>174</v>
      </c>
      <c r="F8" s="12" t="s">
        <v>154</v>
      </c>
    </row>
    <row r="9" customFormat="false" ht="57.75" hidden="false" customHeight="true" outlineLevel="0" collapsed="false">
      <c r="A9" s="24" t="s">
        <v>175</v>
      </c>
      <c r="B9" s="16" t="s">
        <v>176</v>
      </c>
      <c r="C9" s="12" t="s">
        <v>177</v>
      </c>
      <c r="D9" s="12" t="s">
        <v>178</v>
      </c>
      <c r="E9" s="12" t="s">
        <v>179</v>
      </c>
      <c r="F9" s="12" t="s">
        <v>160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26"/>
  </cols>
  <sheetData>
    <row r="1" customFormat="false" ht="18.55" hidden="false" customHeight="false" outlineLevel="0" collapsed="false">
      <c r="A1" s="10" t="s">
        <v>180</v>
      </c>
      <c r="B1" s="10"/>
    </row>
    <row r="2" customFormat="false" ht="15" hidden="false" customHeight="false" outlineLevel="0" collapsed="false">
      <c r="A2" s="14" t="s">
        <v>181</v>
      </c>
    </row>
    <row r="4" customFormat="false" ht="25.5" hidden="false" customHeight="true" outlineLevel="0" collapsed="false">
      <c r="A4" s="17" t="s">
        <v>182</v>
      </c>
      <c r="B4" s="17" t="s">
        <v>183</v>
      </c>
      <c r="C4" s="17" t="s">
        <v>184</v>
      </c>
      <c r="D4" s="17" t="s">
        <v>185</v>
      </c>
      <c r="E4" s="17" t="s">
        <v>186</v>
      </c>
    </row>
    <row r="5" customFormat="false" ht="45.75" hidden="false" customHeight="true" outlineLevel="0" collapsed="false">
      <c r="A5" s="24" t="s">
        <v>187</v>
      </c>
      <c r="B5" s="12" t="s">
        <v>188</v>
      </c>
      <c r="C5" s="12" t="s">
        <v>160</v>
      </c>
      <c r="D5" s="12" t="s">
        <v>189</v>
      </c>
      <c r="E5" s="12" t="s">
        <v>190</v>
      </c>
    </row>
    <row r="6" customFormat="false" ht="45.75" hidden="false" customHeight="true" outlineLevel="0" collapsed="false">
      <c r="A6" s="24" t="s">
        <v>191</v>
      </c>
      <c r="B6" s="12" t="s">
        <v>192</v>
      </c>
      <c r="C6" s="12" t="s">
        <v>160</v>
      </c>
      <c r="D6" s="12" t="s">
        <v>193</v>
      </c>
      <c r="E6" s="12" t="s">
        <v>194</v>
      </c>
    </row>
    <row r="7" customFormat="false" ht="45.75" hidden="false" customHeight="true" outlineLevel="0" collapsed="false">
      <c r="A7" s="24" t="s">
        <v>195</v>
      </c>
      <c r="B7" s="12" t="s">
        <v>196</v>
      </c>
      <c r="C7" s="12" t="s">
        <v>160</v>
      </c>
      <c r="D7" s="12" t="s">
        <v>197</v>
      </c>
      <c r="E7" s="12" t="s">
        <v>198</v>
      </c>
    </row>
    <row r="8" customFormat="false" ht="45.75" hidden="false" customHeight="true" outlineLevel="0" collapsed="false">
      <c r="A8" s="24" t="s">
        <v>199</v>
      </c>
      <c r="B8" s="12" t="s">
        <v>200</v>
      </c>
      <c r="C8" s="12" t="s">
        <v>160</v>
      </c>
      <c r="D8" s="12" t="s">
        <v>201</v>
      </c>
      <c r="E8" s="12" t="s">
        <v>202</v>
      </c>
    </row>
    <row r="9" customFormat="false" ht="45.75" hidden="false" customHeight="true" outlineLevel="0" collapsed="false">
      <c r="A9" s="24" t="s">
        <v>203</v>
      </c>
      <c r="B9" s="12" t="s">
        <v>204</v>
      </c>
      <c r="C9" s="12" t="s">
        <v>154</v>
      </c>
      <c r="D9" s="12" t="s">
        <v>205</v>
      </c>
      <c r="E9" s="12" t="s">
        <v>206</v>
      </c>
    </row>
    <row r="10" customFormat="false" ht="45.75" hidden="false" customHeight="true" outlineLevel="0" collapsed="false">
      <c r="A10" s="24" t="s">
        <v>207</v>
      </c>
      <c r="B10" s="12" t="s">
        <v>208</v>
      </c>
      <c r="C10" s="12" t="s">
        <v>160</v>
      </c>
      <c r="D10" s="12" t="s">
        <v>209</v>
      </c>
      <c r="E10" s="12" t="s">
        <v>210</v>
      </c>
    </row>
    <row r="11" customFormat="false" ht="45.75" hidden="false" customHeight="true" outlineLevel="0" collapsed="false">
      <c r="A11" s="24" t="s">
        <v>211</v>
      </c>
      <c r="B11" s="12" t="s">
        <v>212</v>
      </c>
      <c r="C11" s="12" t="s">
        <v>154</v>
      </c>
      <c r="D11" s="12" t="s">
        <v>213</v>
      </c>
      <c r="E11" s="12" t="s">
        <v>214</v>
      </c>
    </row>
    <row r="12" customFormat="false" ht="45.75" hidden="false" customHeight="true" outlineLevel="0" collapsed="false">
      <c r="A12" s="24" t="s">
        <v>215</v>
      </c>
      <c r="B12" s="12" t="s">
        <v>216</v>
      </c>
      <c r="C12" s="12" t="s">
        <v>160</v>
      </c>
      <c r="D12" s="12" t="s">
        <v>217</v>
      </c>
      <c r="E12" s="12" t="s">
        <v>218</v>
      </c>
    </row>
    <row r="13" customFormat="false" ht="45.75" hidden="false" customHeight="true" outlineLevel="0" collapsed="false">
      <c r="A13" s="24" t="s">
        <v>219</v>
      </c>
      <c r="B13" s="12" t="s">
        <v>220</v>
      </c>
      <c r="C13" s="12" t="s">
        <v>221</v>
      </c>
      <c r="D13" s="12" t="s">
        <v>222</v>
      </c>
      <c r="E13" s="12" t="s">
        <v>223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8"/>
  </cols>
  <sheetData>
    <row r="2" customFormat="false" ht="24" hidden="false" customHeight="true" outlineLevel="0" collapsed="false">
      <c r="B2" s="10" t="s">
        <v>224</v>
      </c>
      <c r="C2" s="10"/>
    </row>
    <row r="4" customFormat="false" ht="31.5" hidden="false" customHeight="true" outlineLevel="0" collapsed="false">
      <c r="B4" s="11" t="s">
        <v>225</v>
      </c>
      <c r="C4" s="12" t="s">
        <v>226</v>
      </c>
    </row>
    <row r="5" customFormat="false" ht="31.5" hidden="false" customHeight="true" outlineLevel="0" collapsed="false">
      <c r="B5" s="11" t="s">
        <v>227</v>
      </c>
      <c r="C5" s="12" t="s">
        <v>228</v>
      </c>
    </row>
    <row r="6" customFormat="false" ht="31.5" hidden="false" customHeight="true" outlineLevel="0" collapsed="false">
      <c r="B6" s="11" t="s">
        <v>229</v>
      </c>
      <c r="C6" s="12" t="s">
        <v>230</v>
      </c>
    </row>
    <row r="7" customFormat="false" ht="31.5" hidden="false" customHeight="true" outlineLevel="0" collapsed="false">
      <c r="B7" s="25" t="s">
        <v>231</v>
      </c>
      <c r="C7" s="12" t="s">
        <v>232</v>
      </c>
    </row>
    <row r="8" customFormat="false" ht="31.5" hidden="false" customHeight="true" outlineLevel="0" collapsed="false">
      <c r="B8" s="11" t="s">
        <v>233</v>
      </c>
      <c r="C8" s="12" t="s">
        <v>234</v>
      </c>
    </row>
    <row r="9" customFormat="false" ht="31.5" hidden="false" customHeight="true" outlineLevel="0" collapsed="false">
      <c r="B9" s="11" t="s">
        <v>235</v>
      </c>
      <c r="C9" s="12" t="s">
        <v>236</v>
      </c>
    </row>
    <row r="10" customFormat="false" ht="31.5" hidden="false" customHeight="true" outlineLevel="0" collapsed="false">
      <c r="B10" s="11" t="s">
        <v>237</v>
      </c>
      <c r="C10" s="12" t="s">
        <v>238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28"/>
  </cols>
  <sheetData>
    <row r="1" customFormat="false" ht="18.55" hidden="false" customHeight="false" outlineLevel="0" collapsed="false">
      <c r="A1" s="10" t="s">
        <v>239</v>
      </c>
      <c r="B1" s="10"/>
    </row>
    <row r="2" customFormat="false" ht="15" hidden="false" customHeight="false" outlineLevel="0" collapsed="false">
      <c r="A2" s="14" t="s">
        <v>240</v>
      </c>
    </row>
    <row r="4" customFormat="false" ht="25.5" hidden="false" customHeight="true" outlineLevel="0" collapsed="false">
      <c r="A4" s="17" t="s">
        <v>241</v>
      </c>
      <c r="B4" s="17" t="s">
        <v>242</v>
      </c>
      <c r="C4" s="17" t="s">
        <v>243</v>
      </c>
      <c r="D4" s="17" t="s">
        <v>244</v>
      </c>
    </row>
    <row r="5" customFormat="false" ht="31.5" hidden="false" customHeight="true" outlineLevel="0" collapsed="false">
      <c r="A5" s="16" t="s">
        <v>245</v>
      </c>
      <c r="B5" s="12" t="s">
        <v>246</v>
      </c>
      <c r="C5" s="12" t="s">
        <v>247</v>
      </c>
      <c r="D5" s="12" t="s">
        <v>248</v>
      </c>
    </row>
    <row r="6" customFormat="false" ht="31.5" hidden="false" customHeight="true" outlineLevel="0" collapsed="false">
      <c r="A6" s="16" t="s">
        <v>249</v>
      </c>
      <c r="B6" s="12" t="s">
        <v>250</v>
      </c>
      <c r="C6" s="12" t="s">
        <v>251</v>
      </c>
      <c r="D6" s="12" t="s">
        <v>252</v>
      </c>
    </row>
    <row r="7" customFormat="false" ht="31.5" hidden="false" customHeight="true" outlineLevel="0" collapsed="false">
      <c r="A7" s="16" t="s">
        <v>253</v>
      </c>
      <c r="B7" s="12" t="s">
        <v>254</v>
      </c>
      <c r="C7" s="12" t="s">
        <v>255</v>
      </c>
      <c r="D7" s="12" t="s">
        <v>256</v>
      </c>
    </row>
    <row r="8" customFormat="false" ht="31.5" hidden="false" customHeight="true" outlineLevel="0" collapsed="false">
      <c r="A8" s="16" t="s">
        <v>257</v>
      </c>
      <c r="B8" s="12" t="s">
        <v>258</v>
      </c>
      <c r="C8" s="12" t="s">
        <v>259</v>
      </c>
      <c r="D8" s="12" t="s">
        <v>260</v>
      </c>
    </row>
    <row r="9" customFormat="false" ht="31.5" hidden="false" customHeight="true" outlineLevel="0" collapsed="false">
      <c r="A9" s="16" t="s">
        <v>261</v>
      </c>
      <c r="B9" s="12" t="s">
        <v>262</v>
      </c>
      <c r="C9" s="12" t="s">
        <v>263</v>
      </c>
      <c r="D9" s="12" t="s">
        <v>264</v>
      </c>
    </row>
    <row r="10" customFormat="false" ht="31.5" hidden="false" customHeight="true" outlineLevel="0" collapsed="false">
      <c r="A10" s="16" t="s">
        <v>265</v>
      </c>
      <c r="B10" s="12" t="s">
        <v>266</v>
      </c>
      <c r="C10" s="12" t="s">
        <v>267</v>
      </c>
      <c r="D10" s="12" t="s">
        <v>268</v>
      </c>
    </row>
    <row r="11" customFormat="false" ht="31.5" hidden="false" customHeight="true" outlineLevel="0" collapsed="false">
      <c r="A11" s="16" t="s">
        <v>269</v>
      </c>
      <c r="B11" s="12" t="s">
        <v>270</v>
      </c>
      <c r="C11" s="12" t="s">
        <v>271</v>
      </c>
      <c r="D11" s="12" t="s">
        <v>272</v>
      </c>
    </row>
    <row r="12" customFormat="false" ht="31.5" hidden="false" customHeight="true" outlineLevel="0" collapsed="false">
      <c r="A12" s="16" t="s">
        <v>273</v>
      </c>
      <c r="B12" s="12" t="s">
        <v>274</v>
      </c>
      <c r="C12" s="12" t="s">
        <v>275</v>
      </c>
      <c r="D12" s="12" t="s">
        <v>276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12"/>
  </cols>
  <sheetData>
    <row r="1" customFormat="false" ht="18.55" hidden="false" customHeight="false" outlineLevel="0" collapsed="false">
      <c r="A1" s="10" t="s">
        <v>277</v>
      </c>
      <c r="B1" s="10"/>
    </row>
    <row r="2" customFormat="false" ht="15" hidden="false" customHeight="false" outlineLevel="0" collapsed="false">
      <c r="A2" s="14" t="s">
        <v>278</v>
      </c>
    </row>
    <row r="4" customFormat="false" ht="25.5" hidden="false" customHeight="true" outlineLevel="0" collapsed="false">
      <c r="A4" s="17" t="s">
        <v>279</v>
      </c>
      <c r="B4" s="17" t="s">
        <v>280</v>
      </c>
      <c r="C4" s="17" t="s">
        <v>281</v>
      </c>
      <c r="D4" s="17" t="s">
        <v>12</v>
      </c>
    </row>
    <row r="5" customFormat="false" ht="43.5" hidden="false" customHeight="true" outlineLevel="0" collapsed="false">
      <c r="A5" s="16" t="s">
        <v>282</v>
      </c>
      <c r="B5" s="12" t="s">
        <v>283</v>
      </c>
      <c r="C5" s="12" t="s">
        <v>284</v>
      </c>
      <c r="D5" s="26" t="s">
        <v>285</v>
      </c>
    </row>
    <row r="6" customFormat="false" ht="43.5" hidden="false" customHeight="true" outlineLevel="0" collapsed="false">
      <c r="A6" s="16" t="s">
        <v>286</v>
      </c>
      <c r="B6" s="12" t="s">
        <v>287</v>
      </c>
      <c r="C6" s="12" t="s">
        <v>288</v>
      </c>
      <c r="D6" s="27" t="s">
        <v>289</v>
      </c>
    </row>
    <row r="7" customFormat="false" ht="43.5" hidden="false" customHeight="true" outlineLevel="0" collapsed="false">
      <c r="A7" s="16" t="s">
        <v>290</v>
      </c>
      <c r="B7" s="12" t="s">
        <v>291</v>
      </c>
      <c r="C7" s="12" t="s">
        <v>292</v>
      </c>
      <c r="D7" s="27" t="s">
        <v>289</v>
      </c>
    </row>
    <row r="8" customFormat="false" ht="43.5" hidden="false" customHeight="true" outlineLevel="0" collapsed="false">
      <c r="A8" s="16" t="s">
        <v>293</v>
      </c>
      <c r="B8" s="12" t="s">
        <v>294</v>
      </c>
      <c r="C8" s="12" t="s">
        <v>295</v>
      </c>
      <c r="D8" s="27" t="s">
        <v>289</v>
      </c>
    </row>
    <row r="9" customFormat="false" ht="43.5" hidden="false" customHeight="true" outlineLevel="0" collapsed="false">
      <c r="A9" s="16" t="s">
        <v>296</v>
      </c>
      <c r="B9" s="12" t="s">
        <v>297</v>
      </c>
      <c r="C9" s="12" t="s">
        <v>298</v>
      </c>
      <c r="D9" s="27" t="s">
        <v>289</v>
      </c>
    </row>
    <row r="10" customFormat="false" ht="43.5" hidden="false" customHeight="true" outlineLevel="0" collapsed="false">
      <c r="A10" s="16" t="s">
        <v>299</v>
      </c>
      <c r="B10" s="12" t="s">
        <v>300</v>
      </c>
      <c r="C10" s="12" t="s">
        <v>301</v>
      </c>
      <c r="D10" s="28" t="s">
        <v>302</v>
      </c>
    </row>
    <row r="11" customFormat="false" ht="43.5" hidden="false" customHeight="true" outlineLevel="0" collapsed="false">
      <c r="A11" s="16" t="s">
        <v>303</v>
      </c>
      <c r="B11" s="12" t="s">
        <v>304</v>
      </c>
      <c r="C11" s="12" t="s">
        <v>305</v>
      </c>
      <c r="D11" s="27" t="s">
        <v>289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12"/>
  </cols>
  <sheetData>
    <row r="1" customFormat="false" ht="18.55" hidden="false" customHeight="false" outlineLevel="0" collapsed="false">
      <c r="A1" s="10" t="s">
        <v>306</v>
      </c>
      <c r="B1" s="10"/>
    </row>
    <row r="2" customFormat="false" ht="15" hidden="false" customHeight="false" outlineLevel="0" collapsed="false">
      <c r="A2" s="14" t="s">
        <v>307</v>
      </c>
    </row>
    <row r="4" customFormat="false" ht="25.5" hidden="false" customHeight="true" outlineLevel="0" collapsed="false">
      <c r="A4" s="17" t="s">
        <v>308</v>
      </c>
      <c r="B4" s="17" t="s">
        <v>309</v>
      </c>
      <c r="C4" s="17" t="s">
        <v>310</v>
      </c>
      <c r="D4" s="17" t="s">
        <v>311</v>
      </c>
    </row>
    <row r="5" customFormat="false" ht="43.5" hidden="false" customHeight="true" outlineLevel="0" collapsed="false">
      <c r="A5" s="29" t="s">
        <v>312</v>
      </c>
      <c r="B5" s="16" t="s">
        <v>313</v>
      </c>
      <c r="C5" s="12" t="s">
        <v>314</v>
      </c>
      <c r="D5" s="26" t="s">
        <v>315</v>
      </c>
    </row>
    <row r="6" customFormat="false" ht="43.5" hidden="false" customHeight="true" outlineLevel="0" collapsed="false">
      <c r="A6" s="29" t="s">
        <v>312</v>
      </c>
      <c r="B6" s="16" t="s">
        <v>316</v>
      </c>
      <c r="C6" s="12" t="s">
        <v>317</v>
      </c>
      <c r="D6" s="26" t="s">
        <v>315</v>
      </c>
    </row>
    <row r="7" customFormat="false" ht="43.5" hidden="false" customHeight="true" outlineLevel="0" collapsed="false">
      <c r="A7" s="29" t="s">
        <v>312</v>
      </c>
      <c r="B7" s="16" t="s">
        <v>318</v>
      </c>
      <c r="C7" s="12" t="s">
        <v>319</v>
      </c>
      <c r="D7" s="28" t="s">
        <v>320</v>
      </c>
    </row>
    <row r="8" customFormat="false" ht="43.5" hidden="false" customHeight="true" outlineLevel="0" collapsed="false">
      <c r="A8" s="29" t="s">
        <v>312</v>
      </c>
      <c r="B8" s="16" t="s">
        <v>321</v>
      </c>
      <c r="C8" s="12" t="s">
        <v>322</v>
      </c>
      <c r="D8" s="28" t="s">
        <v>320</v>
      </c>
    </row>
    <row r="9" customFormat="false" ht="43.5" hidden="false" customHeight="true" outlineLevel="0" collapsed="false">
      <c r="A9" s="29" t="s">
        <v>312</v>
      </c>
      <c r="B9" s="16" t="s">
        <v>323</v>
      </c>
      <c r="C9" s="12" t="s">
        <v>324</v>
      </c>
      <c r="D9" s="28" t="s">
        <v>320</v>
      </c>
    </row>
    <row r="10" customFormat="false" ht="43.5" hidden="false" customHeight="true" outlineLevel="0" collapsed="false">
      <c r="A10" s="30" t="s">
        <v>325</v>
      </c>
      <c r="B10" s="16" t="s">
        <v>326</v>
      </c>
      <c r="C10" s="12" t="s">
        <v>327</v>
      </c>
      <c r="D10" s="30" t="s">
        <v>328</v>
      </c>
    </row>
    <row r="11" customFormat="false" ht="43.5" hidden="false" customHeight="true" outlineLevel="0" collapsed="false">
      <c r="A11" s="30" t="s">
        <v>325</v>
      </c>
      <c r="B11" s="16" t="s">
        <v>329</v>
      </c>
      <c r="C11" s="12" t="s">
        <v>330</v>
      </c>
      <c r="D11" s="30" t="s">
        <v>328</v>
      </c>
    </row>
    <row r="12" customFormat="false" ht="43.5" hidden="false" customHeight="true" outlineLevel="0" collapsed="false">
      <c r="A12" s="30" t="s">
        <v>325</v>
      </c>
      <c r="B12" s="16" t="s">
        <v>74</v>
      </c>
      <c r="C12" s="12" t="s">
        <v>331</v>
      </c>
      <c r="D12" s="30" t="s">
        <v>328</v>
      </c>
    </row>
    <row r="13" customFormat="false" ht="43.5" hidden="false" customHeight="true" outlineLevel="0" collapsed="false">
      <c r="A13" s="30" t="s">
        <v>325</v>
      </c>
      <c r="B13" s="16" t="s">
        <v>332</v>
      </c>
      <c r="C13" s="12" t="s">
        <v>333</v>
      </c>
      <c r="D13" s="30" t="s">
        <v>328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2026-07-30T17:07:09Z</dcterms:created>
  <dc:creator>openpyxl</dc:creator>
  <dc:description/>
  <dc:language>en-US</dc:language>
  <cp:lastModifiedBy/>
  <dcterms:modified xsi:type="dcterms:W3CDTF">2026-07-30T17:07:09Z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