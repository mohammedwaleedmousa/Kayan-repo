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55C0559D693AC1CE4EBFACF4BD3306F683274A46" xr6:coauthVersionLast="47" xr6:coauthVersionMax="47" xr10:uidLastSave="{3DE1FBA6-8BF1-48AB-A96C-216D97AE1DEA}"/>
  <bookViews>
    <workbookView xWindow="0" yWindow="0" windowWidth="0" windowHeight="0" activeTab="6" xr2:uid="{00000000-000D-0000-FFFF-FFFF00000000}"/>
  </bookViews>
  <sheets>
    <sheet name="00 INTELLIGENCE" sheetId="1" r:id="rId1"/>
    <sheet name="01 DONOR MAP" sheetId="2" r:id="rId2"/>
    <sheet name="02 COMPETITIVE LANDSCAPE" sheetId="3" r:id="rId3"/>
    <sheet name="03 SPONSOR DATABASE" sheetId="4" r:id="rId4"/>
    <sheet name="04 GOVERNMENT MAP" sheetId="5" r:id="rId5"/>
    <sheet name="05 CONTACT LOG" sheetId="6" r:id="rId6"/>
    <sheet name="06 SOURC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<sst xmlns="http://schemas.openxmlformats.org/spreadsheetml/2006/main" count="554" uniqueCount="399">
  <si>
    <t>KAYAN — STRATEGIC INTELLIGENCE SUITE</t>
  </si>
  <si>
    <t>The four databases the Wide Research fills — donors, peers, sponsors, government</t>
  </si>
  <si>
    <t>KAY-STR-INTEL-001 · v1.0 (structure) · 8 July 2026 · Owner CEO-01 · RESTRICTED</t>
  </si>
  <si>
    <t>These tabs are pre-structured to receive Wide Research findings. Every row must carry a</t>
  </si>
  <si>
    <t>dated source and a confidence label. Sanctions-screen every funder/partner before contact.</t>
  </si>
  <si>
    <t>INDEX</t>
  </si>
  <si>
    <t>01 DONOR MAP</t>
  </si>
  <si>
    <t>WR-01 — development partners &amp; donors funding Yemen youth/livelihoods</t>
  </si>
  <si>
    <t>02 COMPETITIVE LANDSCAPE</t>
  </si>
  <si>
    <t>WR-02 — peers &amp; comparables, local and global, and where they sit vs Kayan</t>
  </si>
  <si>
    <t>03 SPONSOR DATABASE</t>
  </si>
  <si>
    <t>WR-03 — campaign funders, their buy-in, and pipeline stage</t>
  </si>
  <si>
    <t>04 GOVERNMENT MAP</t>
  </si>
  <si>
    <t>WR-04 — ministries &amp; authorities, partnership surface, MoU targets</t>
  </si>
  <si>
    <t>05 CONTACT LOG</t>
  </si>
  <si>
    <t>Every outreach: who, when, channel, outcome, next step</t>
  </si>
  <si>
    <t>06 SOURCES</t>
  </si>
  <si>
    <t>Every source cited across the suite — dated, linked, confidence</t>
  </si>
  <si>
    <t>Donor &amp; Development-Partner Map</t>
  </si>
  <si>
    <t>WR-01. Who funds youth, livelihoods, and economic empowerment in Yemen — and how Kayan engages each.</t>
  </si>
  <si>
    <t>Partner</t>
  </si>
  <si>
    <t>Type</t>
  </si>
  <si>
    <t>Active Yemen programme(s)</t>
  </si>
  <si>
    <t>Focus (youth/women/SME/skills/digital)</t>
  </si>
  <si>
    <t>Engagement model for Kayan</t>
  </si>
  <si>
    <t>Procures services? (Y/N)</t>
  </si>
  <si>
    <t>Country office / portal</t>
  </si>
  <si>
    <t>Named contact</t>
  </si>
  <si>
    <t>Funding cycle / window</t>
  </si>
  <si>
    <t>Priority (H/M/L)</t>
  </si>
  <si>
    <t>Source (dated)</t>
  </si>
  <si>
    <t>Confidence</t>
  </si>
  <si>
    <t>UNDP Yemen</t>
  </si>
  <si>
    <t>UN agency</t>
  </si>
  <si>
    <t>ERRY III ENDED Feb 2025 (US$49.4M, EU+Sweden); ESPECRP US$232.9M ACTIVE via SFD/PWP/SMEPS; FSRRP</t>
  </si>
  <si>
    <t>Youth, livelihoods, SME, women's entrepreneurship, digital-design micro-biz</t>
  </si>
  <si>
    <t>Delivery vendor (training-to-work, digital-skills, M&amp;E). Track ERRY successor</t>
  </si>
  <si>
    <t>Y (via implementers)</t>
  </si>
  <si>
    <t>undp.org/yemen</t>
  </si>
  <si>
    <t>Country office Sana'a/Aden</t>
  </si>
  <si>
    <t>ERRY III closed; ESPECRP ongoing</t>
  </si>
  <si>
    <t>H</t>
  </si>
  <si>
    <t>undp.org/yemen/erry-jp (2025)</t>
  </si>
  <si>
    <t>ILO Yemen</t>
  </si>
  <si>
    <t>SIYB entrepreneurship + apprenticeship components inside ERRY</t>
  </si>
  <si>
    <t>Skills-to-work, decent work, TVET</t>
  </si>
  <si>
    <t>Partner/implementer on skills methodology</t>
  </si>
  <si>
    <t>Y</t>
  </si>
  <si>
    <t>ilo.org</t>
  </si>
  <si>
    <t>—</t>
  </si>
  <si>
    <t>Via ERRY successor</t>
  </si>
  <si>
    <t>ilo.org (2024-25)</t>
  </si>
  <si>
    <t>World Bank / IFC</t>
  </si>
  <si>
    <t>IFI</t>
  </si>
  <si>
    <t>June 2026 CPF ~US$2B, 9 projects; EU-IFC Enhancing Private Sector Growth TF; IFC $55M+ HSA, $8M Al-Mawarid, Al-Kuraimi trade finance</t>
  </si>
  <si>
    <t>SME, private sector, bankable investments</t>
  </si>
  <si>
    <t>Sub-contract via implementer now; EU-IFC grantee once trading record</t>
  </si>
  <si>
    <t>worldbank.org; ifc.org</t>
  </si>
  <si>
    <t>CPF June 2026 active</t>
  </si>
  <si>
    <t>WB CPF (Jun 2026); ifc.org</t>
  </si>
  <si>
    <t>EU Delegation Yemen</t>
  </si>
  <si>
    <t>Bilateral bloc</t>
  </si>
  <si>
    <t>Multiannual Support Prog 2025-27; co-funds ERRY, SIERY; HSA partnership May 2025; funds Wathba</t>
  </si>
  <si>
    <t>Youth jobs, innovation, governance</t>
  </si>
  <si>
    <t>Partner/co-funder via implementers</t>
  </si>
  <si>
    <t>europa.eu</t>
  </si>
  <si>
    <t>EU mission Yemen</t>
  </si>
  <si>
    <t>MASP 2025-2027</t>
  </si>
  <si>
    <t>europa.eu; prnewswire (2025)</t>
  </si>
  <si>
    <t>KSrelief (Saudi)</t>
  </si>
  <si>
    <t>GCC fund</t>
  </si>
  <si>
    <t>UNDP/SMEPS Vocational &amp; Business Skills (US$3M Ph I; Ph II 1,500+ grants, 9 gov, 30% women)</t>
  </si>
  <si>
    <t>Livelihoods, vocational, entrepreneurship</t>
  </si>
  <si>
    <t>Grantee/partner; warm GCC entry</t>
  </si>
  <si>
    <t>Y (via partners)</t>
  </si>
  <si>
    <t>ksrelief.org</t>
  </si>
  <si>
    <t>Riyadh</t>
  </si>
  <si>
    <t>Phase II delivering</t>
  </si>
  <si>
    <t>yemen.un.org; undp.org</t>
  </si>
  <si>
    <t>SMEPS (SFD subsidiary)</t>
  </si>
  <si>
    <t>Local</t>
  </si>
  <si>
    <t>Value chains, BDS, entrepreneurship; implements ESPECRP, UNESCO/EU creative industries. 47,928+ jobs since 2017</t>
  </si>
  <si>
    <t>SME, entrepreneurship, creative industries, youth</t>
  </si>
  <si>
    <t>SINGLE BEST local partner/sub-contracting route</t>
  </si>
  <si>
    <t>smeps.org.ye</t>
  </si>
  <si>
    <t>Mukalla + ADEN</t>
  </si>
  <si>
    <t>Multiple active</t>
  </si>
  <si>
    <t>smeps.org.ye; oecd.org (2025)</t>
  </si>
  <si>
    <t>Social Fund for Development</t>
  </si>
  <si>
    <t>Cash-for-work, skills, community contracting; parent of SMEPS</t>
  </si>
  <si>
    <t>Livelihoods, skills, community</t>
  </si>
  <si>
    <t>Partner/co-delivery</t>
  </si>
  <si>
    <t>sfd-yemen.org</t>
  </si>
  <si>
    <t>Multiple</t>
  </si>
  <si>
    <t>Active</t>
  </si>
  <si>
    <t>M</t>
  </si>
  <si>
    <t>WB ESPECRP docs (2025)</t>
  </si>
  <si>
    <t>GIZ Yemen</t>
  </si>
  <si>
    <t>Bilateral</t>
  </si>
  <si>
    <t>TVET support, gender-sensitive school mgmt, Cash-for-Work Plus (German TDA)</t>
  </si>
  <si>
    <t>TVET, employment, gender</t>
  </si>
  <si>
    <t>Partner/grantee on TVET</t>
  </si>
  <si>
    <t>N (mostly)</t>
  </si>
  <si>
    <t>giz.de</t>
  </si>
  <si>
    <t>Active (TDA)</t>
  </si>
  <si>
    <t>giz.de (2022-25)</t>
  </si>
  <si>
    <t>USAID</t>
  </si>
  <si>
    <t>Bilateral (DISMANTLED)</t>
  </si>
  <si>
    <t>83% programs cancelled Mar 2025; ~$67M Yemen humanitarian awards terminated Apr 2025</t>
  </si>
  <si>
    <t>(was largest humanitarian donor)</t>
  </si>
  <si>
    <t>NONE — build no US dependency</t>
  </si>
  <si>
    <t>N</t>
  </si>
  <si>
    <t>TERMINATED</t>
  </si>
  <si>
    <t>L</t>
  </si>
  <si>
    <t>NPR (Apr 2025); State Dept</t>
  </si>
  <si>
    <t>Competitive &amp; Peer Landscape</t>
  </si>
  <si>
    <t>WR-02. Every comparable — and the explicit call: competes, complements, or partner?</t>
  </si>
  <si>
    <t>Name</t>
  </si>
  <si>
    <t>Geography</t>
  </si>
  <si>
    <t>What they do</t>
  </si>
  <si>
    <t>Model</t>
  </si>
  <si>
    <t>Funding/backing</t>
  </si>
  <si>
    <t>Verify/guarantee method</t>
  </si>
  <si>
    <t>vs Kayan: compete/complement/partner</t>
  </si>
  <si>
    <t>What Kayan adapts</t>
  </si>
  <si>
    <t>Wathba</t>
  </si>
  <si>
    <t>Yemen</t>
  </si>
  <si>
    <t>Startup accelerator, 5 cohorts/4yr, 10 startups each, mentorship+grants</t>
  </si>
  <si>
    <t>Accelerator (cohort)</t>
  </si>
  <si>
    <t>EU + HSA funded; ROWAD+DeepRoot implement</t>
  </si>
  <si>
    <t>N/A</t>
  </si>
  <si>
    <t>COMPLEMENT (builds founders; Kayan monetizes delivery capacity)</t>
  </si>
  <si>
    <t>Cohort→pipeline model; YAIN investor network</t>
  </si>
  <si>
    <t>rowad.org (2024-25)</t>
  </si>
  <si>
    <t>ROWAD Foundation</t>
  </si>
  <si>
    <t>Entrepreneurship-ecosystem NGO; BlockOne, Afkar w UNDP</t>
  </si>
  <si>
    <t>NGO incubator/accelerator</t>
  </si>
  <si>
    <t>Events, membership, Al-Kuraimi, Yemen LNG</t>
  </si>
  <si>
    <t>COMPLEMENT/PARTNER</t>
  </si>
  <si>
    <t>Ecosystem convening; microfinance network</t>
  </si>
  <si>
    <t>rowad.org; entrepreneur.com</t>
  </si>
  <si>
    <t>SMEPS</t>
  </si>
  <si>
    <t>SME dev services, value chains, BDS</t>
  </si>
  <si>
    <t>Donor-funded programme</t>
  </si>
  <si>
    <t>SFD/WB/EU/KSrelief</t>
  </si>
  <si>
    <t>PARTNER (not managed delivery)</t>
  </si>
  <si>
    <t>Partnership + sub-contract channel</t>
  </si>
  <si>
    <t>Anamehani</t>
  </si>
  <si>
    <t>Online vocational-jobs marketplace; 36,000 jobs/43,000 hrs</t>
  </si>
  <si>
    <t>Jobs marketplace</t>
  </si>
  <si>
    <t>BlockOne 2014</t>
  </si>
  <si>
    <t>Basic matching</t>
  </si>
  <si>
    <t>COMPLEMENT (informal/vocational tier)</t>
  </si>
  <si>
    <t>Proof of local verified-labour demand</t>
  </si>
  <si>
    <t>BlockOne records</t>
  </si>
  <si>
    <t>Andela</t>
  </si>
  <si>
    <t>Africa/global</t>
  </si>
  <si>
    <t>150k+ vetted technologists, 135 countries</t>
  </si>
  <si>
    <t>Managed talent marketplace</t>
  </si>
  <si>
    <t>$200M SoftBank Series E ($1.5B val)</t>
  </si>
  <si>
    <t>Rigorous vetting, ongoing perf</t>
  </si>
  <si>
    <t>COMPLEMENT (diff geography)</t>
  </si>
  <si>
    <t>Vetting=moat; AVOID training-heavy + pricing opacity + lock-ins</t>
  </si>
  <si>
    <t>TechCrunch; Quartz (2019-26)</t>
  </si>
  <si>
    <t>Gebeya</t>
  </si>
  <si>
    <t>Ethiopia/Africa</t>
  </si>
  <si>
    <t>Training+marketplace+managed dev</t>
  </si>
  <si>
    <t>Marketplace + academy</t>
  </si>
  <si>
    <t>VC/DFI</t>
  </si>
  <si>
    <t>Skills assessment</t>
  </si>
  <si>
    <t>COMPLEMENT (closest cousin)</t>
  </si>
  <si>
    <t>Academy-to-marketplace loop</t>
  </si>
  <si>
    <t>company materials</t>
  </si>
  <si>
    <t>Sama / DDD / CloudFactory</t>
  </si>
  <si>
    <t>Impact sourcing</t>
  </si>
  <si>
    <t>Data/AI/BPO work for global clients from LMICs</t>
  </si>
  <si>
    <t>Impact BPO</t>
  </si>
  <si>
    <t>Impact investors</t>
  </si>
  <si>
    <t>Training+QA</t>
  </si>
  <si>
    <t>COMPLEMENT (impact-sourcing archetype)</t>
  </si>
  <si>
    <t>Impact+quality dual pitch; BPO product idea</t>
  </si>
  <si>
    <t>sector reports</t>
  </si>
  <si>
    <t>Upwork</t>
  </si>
  <si>
    <t>Global</t>
  </si>
  <si>
    <t>Freelance marketplace + Fixed-Price Payment Protection</t>
  </si>
  <si>
    <t>Marketplace + escrow</t>
  </si>
  <si>
    <t>Public</t>
  </si>
  <si>
    <t>Pre-funded milestone, 14-day auto-release</t>
  </si>
  <si>
    <t>COMPLEMENT (doesn't solve Yemen payment/trust)</t>
  </si>
  <si>
    <t>Milestone protection mechanics</t>
  </si>
  <si>
    <t>support.upwork.com</t>
  </si>
  <si>
    <t>Toptal</t>
  </si>
  <si>
    <t>Top-3% freelance network</t>
  </si>
  <si>
    <t>Curated marketplace</t>
  </si>
  <si>
    <t>Bootstrapped</t>
  </si>
  <si>
    <t>Screening funnel</t>
  </si>
  <si>
    <t>COMPLEMENT (premium tier)</t>
  </si>
  <si>
    <t>Trust-through-screening narrative</t>
  </si>
  <si>
    <t>toptal.com</t>
  </si>
  <si>
    <t>Deel</t>
  </si>
  <si>
    <t>EOR + contractor payments + milestone contracts</t>
  </si>
  <si>
    <t>EOR/payments</t>
  </si>
  <si>
    <t>VC</t>
  </si>
  <si>
    <t>KYC/compliance</t>
  </si>
  <si>
    <t>COMPLEMENT (potential tool/partner)</t>
  </si>
  <si>
    <t>EOR model for diaspora hiring</t>
  </si>
  <si>
    <t>deel.com</t>
  </si>
  <si>
    <t>Sponsor Database — Campaign Funders</t>
  </si>
  <si>
    <t>WR-03. Who could fund which K4Y campaign, what they want in return, and pipeline stage.</t>
  </si>
  <si>
    <t>Sponsor</t>
  </si>
  <si>
    <t>Giving profile / interest</t>
  </si>
  <si>
    <t>Likely campaign fit (of the 12)</t>
  </si>
  <si>
    <t>The buy-in (what they want)</t>
  </si>
  <si>
    <t>Est. ticket size</t>
  </si>
  <si>
    <t>Warm intro path</t>
  </si>
  <si>
    <t>Pipeline stage</t>
  </si>
  <si>
    <t>Sanctions-screened?</t>
  </si>
  <si>
    <t>Silatech (Qatar/QFFD)</t>
  </si>
  <si>
    <t>Foundation</t>
  </si>
  <si>
    <t>3.3M+ youth/23 countries, target 5M by 2027; €10M EU deal; Yemen youth-entrepreneurship prog</t>
  </si>
  <si>
    <t>Skills to the Map / Get Verified / Everyone Can Build</t>
  </si>
  <si>
    <t>Youth jobs numbers, MENA reach, partner delivery</t>
  </si>
  <si>
    <t>[verify]</t>
  </si>
  <si>
    <t>QFFD / Education Above All</t>
  </si>
  <si>
    <t>Identified</t>
  </si>
  <si>
    <t>Pending</t>
  </si>
  <si>
    <t>silatech.org; mofa.gov.qa</t>
  </si>
  <si>
    <t>HSA Group / Hayel Saeed Anam</t>
  </si>
  <si>
    <t>Corporate CSR</t>
  </si>
  <si>
    <t>Largest Yemeni private employer (35k+); ~1,000 schools; EU partnership May 2025 for youth jobs; funds Wathba</t>
  </si>
  <si>
    <t>Built in Aden / Women Who Build / Yemen Build Challenge</t>
  </si>
  <si>
    <t>Local impact, employee pride, visibility, innovation story</t>
  </si>
  <si>
    <t>Existing Yemen business networks</t>
  </si>
  <si>
    <t>hsagroup.com; prnewswire (2025)</t>
  </si>
  <si>
    <t>KSrelief</t>
  </si>
  <si>
    <t>Funds UNDP/SMEPS vocational (1,500+ grants, 30% women)</t>
  </si>
  <si>
    <t>Build Back Home / cohort sponsorship</t>
  </si>
  <si>
    <t>Beneficiary numbers, KSA visibility</t>
  </si>
  <si>
    <t>Via UNDP/SMEPS relationship</t>
  </si>
  <si>
    <t>yemen.un.org</t>
  </si>
  <si>
    <t>Mastercard Foundation</t>
  </si>
  <si>
    <t>Young Africa Works; youth digital employability; BPO enabler</t>
  </si>
  <si>
    <t>The Yemen Build Challenge</t>
  </si>
  <si>
    <t>Scale, dignified work, data</t>
  </si>
  <si>
    <t>[research]</t>
  </si>
  <si>
    <t>Cold</t>
  </si>
  <si>
    <t>Argidius Foundation</t>
  </si>
  <si>
    <t>SME/entrepreneur support</t>
  </si>
  <si>
    <t>Startup in a Box</t>
  </si>
  <si>
    <t>Enterprise-support outcomes</t>
  </si>
  <si>
    <t>argidius.com</t>
  </si>
  <si>
    <t>Tadamon Islamic Bank</t>
  </si>
  <si>
    <t>Banking CSR (verify Aden status first)</t>
  </si>
  <si>
    <t>Digital for Public Good</t>
  </si>
  <si>
    <t>Local goodwill, financial-inclusion story</t>
  </si>
  <si>
    <t>Banking relationship</t>
  </si>
  <si>
    <t>(verify CBY-Aden standing)</t>
  </si>
  <si>
    <t>Yemeni telecoms (YOU/Y, Sabafon)</t>
  </si>
  <si>
    <t>Local visibility CSR</t>
  </si>
  <si>
    <t>Everyone Can Build</t>
  </si>
  <si>
    <t>Brand, youth reach, connectivity tie-in</t>
  </si>
  <si>
    <t>Diaspora HNW / foundations</t>
  </si>
  <si>
    <t>Diaspora</t>
  </si>
  <si>
    <t>Homeland development; micro-bond (LONG-TERM, GCC/UK vehicle)</t>
  </si>
  <si>
    <t>The Diaspora Bond / Built in Aden</t>
  </si>
  <si>
    <t>Legacy, homeland impact, recognition</t>
  </si>
  <si>
    <t>Founder network</t>
  </si>
  <si>
    <t>Israel/Nigeria bond precedents</t>
  </si>
  <si>
    <t>Government &amp; Local-Authority Map</t>
  </si>
  <si>
    <t>WR-04. Where partnership, recognition, or social responsibility touches Kayan.</t>
  </si>
  <si>
    <t>Body</t>
  </si>
  <si>
    <t>Level</t>
  </si>
  <si>
    <t>Relevant mandate/initiative</t>
  </si>
  <si>
    <t>Partnership surface for Kayan</t>
  </si>
  <si>
    <t>MoU / recognition target</t>
  </si>
  <si>
    <t>Contact path</t>
  </si>
  <si>
    <t>Priority</t>
  </si>
  <si>
    <t>Ministry of Technical Education &amp; Vocational Training (MTEVT)</t>
  </si>
  <si>
    <t>National</t>
  </si>
  <si>
    <t>TVET, skills certification (GIZ works w regional admins)</t>
  </si>
  <si>
    <t>Credential co-recognition; Forge accreditation; referral pipeline</t>
  </si>
  <si>
    <t>Credential MoU</t>
  </si>
  <si>
    <t>[research in Aden]</t>
  </si>
  <si>
    <t>GIZ/giz.de (2025)</t>
  </si>
  <si>
    <t>Aden Chamber of Commerce</t>
  </si>
  <si>
    <t>Private sector representation</t>
  </si>
  <si>
    <t>SME client channel; events; credibility</t>
  </si>
  <si>
    <t>Membership + events</t>
  </si>
  <si>
    <t>(confirm on ground)</t>
  </si>
  <si>
    <t>Aden Local Authority</t>
  </si>
  <si>
    <t>City services, permits</t>
  </si>
  <si>
    <t>Legitimacy, Hub events, local hiring</t>
  </si>
  <si>
    <t>Cooperation letter</t>
  </si>
  <si>
    <t>Ministry of Industry &amp; Trade (MoIT)</t>
  </si>
  <si>
    <t>Business registration, trade (CR registration)</t>
  </si>
  <si>
    <t>LLC registration; SME programmes</t>
  </si>
  <si>
    <t>MEAL Center CR precedent</t>
  </si>
  <si>
    <t>Ministry of Social Affairs &amp; Labour</t>
  </si>
  <si>
    <t>Labour, social protection</t>
  </si>
  <si>
    <t>Labour compliance; women's participation</t>
  </si>
  <si>
    <t>Programme partnership</t>
  </si>
  <si>
    <t>Ministry of Youth &amp; Sports</t>
  </si>
  <si>
    <t>Youth programmes</t>
  </si>
  <si>
    <t>Youth-employment co-branding</t>
  </si>
  <si>
    <t>Outreach Contact Log</t>
  </si>
  <si>
    <t>Every approach to any donor, sponsor, partner, or authority — the pipeline in motion.</t>
  </si>
  <si>
    <t>Date</t>
  </si>
  <si>
    <t>Organisation</t>
  </si>
  <si>
    <t>Person</t>
  </si>
  <si>
    <t>Channel</t>
  </si>
  <si>
    <t>Purpose</t>
  </si>
  <si>
    <t>Outcome</t>
  </si>
  <si>
    <t>Next step</t>
  </si>
  <si>
    <t>Owner</t>
  </si>
  <si>
    <t>Follow-up date</t>
  </si>
  <si>
    <t>Source Register</t>
  </si>
  <si>
    <t>Every source behind the intelligence — dated, linked, confidence-rated. The audit trail.</t>
  </si>
  <si>
    <t>#</t>
  </si>
  <si>
    <t>Workstream</t>
  </si>
  <si>
    <t>Claim it supports</t>
  </si>
  <si>
    <t>Source name</t>
  </si>
  <si>
    <t>URL / reference</t>
  </si>
  <si>
    <t>Date of source</t>
  </si>
  <si>
    <t>Confidence (H/M/L)</t>
  </si>
  <si>
    <t>Second source?</t>
  </si>
  <si>
    <t>1</t>
  </si>
  <si>
    <t>WR-05</t>
  </si>
  <si>
    <t>Escrow only via bank-held trust account; CBY bans unlicensed PSPs; UNMONEY mandate</t>
  </si>
  <si>
    <t>CBY-Aden / Barran Press / Yemen Monitor</t>
  </si>
  <si>
    <t>cby-ye.com; barran.press/news/3183</t>
  </si>
  <si>
    <t>2024-2025</t>
  </si>
  <si>
    <t>Yes (3 sources)</t>
  </si>
  <si>
    <t>2</t>
  </si>
  <si>
    <t>WR-01</t>
  </si>
  <si>
    <t>ERRY III US$49.4M, ended Feb 2025; ESPECRP US$232.9M active</t>
  </si>
  <si>
    <t>undp.org/yemen/erry-jp</t>
  </si>
  <si>
    <t>2025</t>
  </si>
  <si>
    <t>Yes</t>
  </si>
  <si>
    <t>3</t>
  </si>
  <si>
    <t>World Bank June 2026 CPF ~US$2B; EU-IFC Private Sector Growth TF</t>
  </si>
  <si>
    <t>Jun 2026</t>
  </si>
  <si>
    <t>4</t>
  </si>
  <si>
    <t>USAID 83% programs cancelled; ~$67M Yemen awards terminated</t>
  </si>
  <si>
    <t>NPR / US State Dept</t>
  </si>
  <si>
    <t>npr.org</t>
  </si>
  <si>
    <t>Apr 2025</t>
  </si>
  <si>
    <t>5</t>
  </si>
  <si>
    <t>WR-03</t>
  </si>
  <si>
    <t>Silatech 3.3M+ youth/23 countries; Yemen precedent</t>
  </si>
  <si>
    <t>Silatech / QFFD</t>
  </si>
  <si>
    <t>6</t>
  </si>
  <si>
    <t>HSA Group EU partnership May 2025 for youth jobs</t>
  </si>
  <si>
    <t>HSA / PR Newswire</t>
  </si>
  <si>
    <t>hsagroup.com; prnewswire.com</t>
  </si>
  <si>
    <t>May 2025</t>
  </si>
  <si>
    <t>7</t>
  </si>
  <si>
    <t>WR-02</t>
  </si>
  <si>
    <t>Andela 150k+ technologists; pivoted to marketplace 2020; lessons</t>
  </si>
  <si>
    <t>TechCrunch / Quartz</t>
  </si>
  <si>
    <t>techcrunch.com</t>
  </si>
  <si>
    <t>2019-2026</t>
  </si>
  <si>
    <t>8</t>
  </si>
  <si>
    <t>GISC impact-sourcing standard sunset ~2021</t>
  </si>
  <si>
    <t>BSR / IAOP</t>
  </si>
  <si>
    <t>bsr.org</t>
  </si>
  <si>
    <t>2021</t>
  </si>
  <si>
    <t>9</t>
  </si>
  <si>
    <t>Yemen FATF grey list since 2010; Houthis FTO Mar 2025; OFAC bank sanctions</t>
  </si>
  <si>
    <t>US Treasury / FATF</t>
  </si>
  <si>
    <t>treasury.gov</t>
  </si>
  <si>
    <t>10</t>
  </si>
  <si>
    <t>Tadamon among 8 banks notifying CBY-Aden relocation Mar 2025</t>
  </si>
  <si>
    <t>South24 / Arab News</t>
  </si>
  <si>
    <t>south24.net; arabnews.com</t>
  </si>
  <si>
    <t>Mar 2025</t>
  </si>
  <si>
    <t>11</t>
  </si>
  <si>
    <t>WR-10</t>
  </si>
  <si>
    <t>Youth unemployment 32% (UNDP); Arab States 28% world-highest (ILO)</t>
  </si>
  <si>
    <t>UNDP / ILO</t>
  </si>
  <si>
    <t>undp.org; ilo.org</t>
  </si>
  <si>
    <t>12</t>
  </si>
  <si>
    <t>Female labour-force participation ~4.9% (2024)</t>
  </si>
  <si>
    <t>World Bank</t>
  </si>
  <si>
    <t>theglobaleconomy.com</t>
  </si>
  <si>
    <t>2024</t>
  </si>
  <si>
    <t>Cross-check WB</t>
  </si>
  <si>
    <t>13</t>
  </si>
  <si>
    <t>WR-06</t>
  </si>
  <si>
    <t>INGO local procurement warmest; MEAL Center MoIT-registered for-profit</t>
  </si>
  <si>
    <t>MEAL Center</t>
  </si>
  <si>
    <t>mealcenter.org</t>
  </si>
  <si>
    <t>Partial</t>
  </si>
  <si>
    <t>14</t>
  </si>
  <si>
    <t>Remittances ~US$3.8B (2023); global LMIC $685B (2024)</t>
  </si>
  <si>
    <t>World Bank/KNOMAD</t>
  </si>
  <si>
    <t>blogs.worldbank.org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</si>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</sst>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color rgb="FF022B22"/>
      <name val="Fraunces"/>
    </font>
    <font>
      <i/>
      <sz val="11"/>
      <color rgb="FF0D4F4F"/>
      <name val="Fraunces"/>
    </font>
    <font>
      <sz val="9"/>
      <color rgb="FF66756D"/>
      <name val="Calibri"/>
    </font>
    <font>
      <sz val="9"/>
      <color rgb="FF1B2823"/>
      <name val="Calibri"/>
    </font>
    <font>
      <b/>
      <sz val="10"/>
      <color rgb="FFC8962E"/>
      <name val="Calibri"/>
    </font>
    <font>
      <b/>
      <sz val="9.5"/>
      <color rgb="FF0D4F4F"/>
      <name val="Calibri"/>
    </font>
    <font>
      <b/>
      <sz val="15"/>
      <color rgb="FF022B22"/>
      <name val="Fraunces"/>
    </font>
    <font>
      <i/>
      <sz val="9"/>
      <color rgb="FF66756D"/>
      <name val="Outfit"/>
    </font>
    <font>
      <b/>
      <sz val="8"/>
      <color rgb="FFFFFFFF"/>
      <name val="Outfit"/>
    </font>
    <font>
      <sz val="8"/>
      <color rgb="FF1B2823"/>
      <name val="Outfit"/>
    </font>
  </fonts>
  <fills count="4">
    <fill>
      <patternFill patternType="none"/>
    </fill>
    <fill>
      <patternFill patternType="gray125"/>
    </fill>
    <fill>
      <patternFill patternType="solid">
        <fgColor rgb="FF022B22"/>
      </patternFill>
    </fill>
    <fill>
      <patternFill patternType="solid">
        <fgColor rgb="FFFAFBF9"/>
      </patternFill>
    </fill>
  </fills>
  <borders count="2">
    <border>
      <left/>
      <right/>
      <top/>
      <bottom/>
      <diagonal/>
    </border>
    <border>
      <left style="thin">
        <color rgb="FFE7ECE8"/>
      </left>
      <right style="thin">
        <color rgb="FFE7ECE8"/>
      </right>
      <top style="thin">
        <color rgb="FFE7ECE8"/>
      </top>
      <bottom style="thin">
        <color rgb="FFE7EC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/>
  </sheetViews>
  <sheetFormatPr defaultRowHeight="15"/>
  <cols>
    <col min="1" max="8" width="16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6" spans="1:3">
      <c r="A6" s="4" t="s">
        <v>3</v>
      </c>
    </row>
    <row r="7" spans="1:3">
      <c r="A7" s="4" t="s">
        <v>4</v>
      </c>
    </row>
    <row r="9" spans="1:3">
      <c r="A9" s="5" t="s">
        <v>5</v>
      </c>
    </row>
    <row r="10" spans="1:3">
      <c r="A10" s="6" t="s">
        <v>6</v>
      </c>
      <c r="C10" s="4" t="s">
        <v>7</v>
      </c>
    </row>
    <row r="11" spans="1:3">
      <c r="A11" s="6" t="s">
        <v>8</v>
      </c>
      <c r="C11" s="4" t="s">
        <v>9</v>
      </c>
    </row>
    <row r="12" spans="1:3">
      <c r="A12" s="6" t="s">
        <v>10</v>
      </c>
      <c r="C12" s="4" t="s">
        <v>11</v>
      </c>
    </row>
    <row r="13" spans="1:3">
      <c r="A13" s="6" t="s">
        <v>12</v>
      </c>
      <c r="C13" s="4" t="s">
        <v>13</v>
      </c>
    </row>
    <row r="14" spans="1:3">
      <c r="A14" s="6" t="s">
        <v>14</v>
      </c>
      <c r="C14" s="4" t="s">
        <v>15</v>
      </c>
    </row>
    <row r="15" spans="1:3">
      <c r="A15" s="6" t="s">
        <v>16</v>
      </c>
      <c r="C15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workbookViewId="0"/>
  </sheetViews>
  <sheetFormatPr defaultRowHeight="15"/>
  <cols>
    <col min="1" max="1" width="18" customWidth="1"/>
    <col min="2" max="2" width="12" customWidth="1"/>
    <col min="3" max="3" width="26" customWidth="1"/>
    <col min="4" max="5" width="22" customWidth="1"/>
    <col min="6" max="6" width="12" customWidth="1"/>
    <col min="7" max="7" width="20" customWidth="1"/>
    <col min="8" max="8" width="16" customWidth="1"/>
    <col min="9" max="9" width="18" customWidth="1"/>
    <col min="10" max="10" width="10" customWidth="1"/>
    <col min="11" max="11" width="20" customWidth="1"/>
    <col min="12" max="12" width="10" customWidth="1"/>
  </cols>
  <sheetData>
    <row r="1" spans="1:12">
      <c r="A1" s="7" t="s">
        <v>18</v>
      </c>
    </row>
    <row r="2" spans="1:12">
      <c r="A2" s="8" t="s">
        <v>19</v>
      </c>
    </row>
    <row r="4" spans="1:1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</row>
    <row r="5" spans="1:12">
      <c r="A5" s="10" t="s">
        <v>32</v>
      </c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0" t="s">
        <v>40</v>
      </c>
      <c r="J5" s="10" t="s">
        <v>41</v>
      </c>
      <c r="K5" s="10" t="s">
        <v>42</v>
      </c>
      <c r="L5" s="10" t="s">
        <v>41</v>
      </c>
    </row>
    <row r="6" spans="1:12">
      <c r="A6" s="11" t="s">
        <v>43</v>
      </c>
      <c r="B6" s="11" t="s">
        <v>33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41</v>
      </c>
      <c r="K6" s="11" t="s">
        <v>51</v>
      </c>
      <c r="L6" s="11" t="s">
        <v>41</v>
      </c>
    </row>
    <row r="7" spans="1:12">
      <c r="A7" s="10" t="s">
        <v>52</v>
      </c>
      <c r="B7" s="10" t="s">
        <v>53</v>
      </c>
      <c r="C7" s="10" t="s">
        <v>54</v>
      </c>
      <c r="D7" s="10" t="s">
        <v>55</v>
      </c>
      <c r="E7" s="10" t="s">
        <v>56</v>
      </c>
      <c r="F7" s="10" t="s">
        <v>47</v>
      </c>
      <c r="G7" s="10" t="s">
        <v>57</v>
      </c>
      <c r="H7" s="10" t="s">
        <v>49</v>
      </c>
      <c r="I7" s="10" t="s">
        <v>58</v>
      </c>
      <c r="J7" s="10" t="s">
        <v>41</v>
      </c>
      <c r="K7" s="10" t="s">
        <v>59</v>
      </c>
      <c r="L7" s="10" t="s">
        <v>41</v>
      </c>
    </row>
    <row r="8" spans="1:12">
      <c r="A8" s="11" t="s">
        <v>60</v>
      </c>
      <c r="B8" s="11" t="s">
        <v>61</v>
      </c>
      <c r="C8" s="11" t="s">
        <v>62</v>
      </c>
      <c r="D8" s="11" t="s">
        <v>63</v>
      </c>
      <c r="E8" s="11" t="s">
        <v>64</v>
      </c>
      <c r="F8" s="11" t="s">
        <v>47</v>
      </c>
      <c r="G8" s="11" t="s">
        <v>65</v>
      </c>
      <c r="H8" s="11" t="s">
        <v>66</v>
      </c>
      <c r="I8" s="11" t="s">
        <v>67</v>
      </c>
      <c r="J8" s="11" t="s">
        <v>41</v>
      </c>
      <c r="K8" s="11" t="s">
        <v>68</v>
      </c>
      <c r="L8" s="11" t="s">
        <v>41</v>
      </c>
    </row>
    <row r="9" spans="1:12">
      <c r="A9" s="10" t="s">
        <v>69</v>
      </c>
      <c r="B9" s="10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0" t="s">
        <v>75</v>
      </c>
      <c r="H9" s="10" t="s">
        <v>76</v>
      </c>
      <c r="I9" s="10" t="s">
        <v>77</v>
      </c>
      <c r="J9" s="10" t="s">
        <v>41</v>
      </c>
      <c r="K9" s="10" t="s">
        <v>78</v>
      </c>
      <c r="L9" s="10" t="s">
        <v>41</v>
      </c>
    </row>
    <row r="10" spans="1:12">
      <c r="A10" s="11" t="s">
        <v>79</v>
      </c>
      <c r="B10" s="11" t="s">
        <v>80</v>
      </c>
      <c r="C10" s="11" t="s">
        <v>81</v>
      </c>
      <c r="D10" s="11" t="s">
        <v>82</v>
      </c>
      <c r="E10" s="11" t="s">
        <v>83</v>
      </c>
      <c r="F10" s="11" t="s">
        <v>47</v>
      </c>
      <c r="G10" s="11" t="s">
        <v>84</v>
      </c>
      <c r="H10" s="11" t="s">
        <v>85</v>
      </c>
      <c r="I10" s="11" t="s">
        <v>86</v>
      </c>
      <c r="J10" s="11" t="s">
        <v>41</v>
      </c>
      <c r="K10" s="11" t="s">
        <v>87</v>
      </c>
      <c r="L10" s="11" t="s">
        <v>41</v>
      </c>
    </row>
    <row r="11" spans="1:12">
      <c r="A11" s="10" t="s">
        <v>88</v>
      </c>
      <c r="B11" s="10" t="s">
        <v>80</v>
      </c>
      <c r="C11" s="10" t="s">
        <v>89</v>
      </c>
      <c r="D11" s="10" t="s">
        <v>90</v>
      </c>
      <c r="E11" s="10" t="s">
        <v>91</v>
      </c>
      <c r="F11" s="10" t="s">
        <v>47</v>
      </c>
      <c r="G11" s="10" t="s">
        <v>92</v>
      </c>
      <c r="H11" s="10" t="s">
        <v>93</v>
      </c>
      <c r="I11" s="10" t="s">
        <v>94</v>
      </c>
      <c r="J11" s="10" t="s">
        <v>95</v>
      </c>
      <c r="K11" s="10" t="s">
        <v>96</v>
      </c>
      <c r="L11" s="10" t="s">
        <v>41</v>
      </c>
    </row>
    <row r="12" spans="1:12">
      <c r="A12" s="11" t="s">
        <v>97</v>
      </c>
      <c r="B12" s="11" t="s">
        <v>98</v>
      </c>
      <c r="C12" s="11" t="s">
        <v>99</v>
      </c>
      <c r="D12" s="11" t="s">
        <v>100</v>
      </c>
      <c r="E12" s="11" t="s">
        <v>101</v>
      </c>
      <c r="F12" s="11" t="s">
        <v>102</v>
      </c>
      <c r="G12" s="11" t="s">
        <v>103</v>
      </c>
      <c r="H12" s="11" t="s">
        <v>49</v>
      </c>
      <c r="I12" s="11" t="s">
        <v>104</v>
      </c>
      <c r="J12" s="11" t="s">
        <v>95</v>
      </c>
      <c r="K12" s="11" t="s">
        <v>105</v>
      </c>
      <c r="L12" s="11" t="s">
        <v>95</v>
      </c>
    </row>
    <row r="13" spans="1:12">
      <c r="A13" s="10" t="s">
        <v>106</v>
      </c>
      <c r="B13" s="10" t="s">
        <v>107</v>
      </c>
      <c r="C13" s="10" t="s">
        <v>108</v>
      </c>
      <c r="D13" s="10" t="s">
        <v>109</v>
      </c>
      <c r="E13" s="10" t="s">
        <v>110</v>
      </c>
      <c r="F13" s="10" t="s">
        <v>111</v>
      </c>
      <c r="G13" s="10" t="s">
        <v>49</v>
      </c>
      <c r="H13" s="10" t="s">
        <v>49</v>
      </c>
      <c r="I13" s="10" t="s">
        <v>112</v>
      </c>
      <c r="J13" s="10" t="s">
        <v>113</v>
      </c>
      <c r="K13" s="10" t="s">
        <v>114</v>
      </c>
      <c r="L13" s="1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/>
  </sheetViews>
  <sheetFormatPr defaultRowHeight="15"/>
  <cols>
    <col min="1" max="1" width="16" customWidth="1"/>
    <col min="2" max="2" width="14" customWidth="1"/>
    <col min="3" max="3" width="26" customWidth="1"/>
    <col min="4" max="4" width="18" customWidth="1"/>
    <col min="5" max="5" width="16" customWidth="1"/>
    <col min="6" max="8" width="22" customWidth="1"/>
    <col min="9" max="9" width="18" customWidth="1"/>
    <col min="10" max="10" width="10" customWidth="1"/>
  </cols>
  <sheetData>
    <row r="1" spans="1:10">
      <c r="A1" s="7" t="s">
        <v>115</v>
      </c>
    </row>
    <row r="2" spans="1:10">
      <c r="A2" s="8" t="s">
        <v>116</v>
      </c>
    </row>
    <row r="4" spans="1:10">
      <c r="A4" s="9" t="s">
        <v>117</v>
      </c>
      <c r="B4" s="9" t="s">
        <v>118</v>
      </c>
      <c r="C4" s="9" t="s">
        <v>119</v>
      </c>
      <c r="D4" s="9" t="s">
        <v>120</v>
      </c>
      <c r="E4" s="9" t="s">
        <v>121</v>
      </c>
      <c r="F4" s="9" t="s">
        <v>122</v>
      </c>
      <c r="G4" s="9" t="s">
        <v>123</v>
      </c>
      <c r="H4" s="9" t="s">
        <v>124</v>
      </c>
      <c r="I4" s="9" t="s">
        <v>30</v>
      </c>
      <c r="J4" s="9" t="s">
        <v>31</v>
      </c>
    </row>
    <row r="5" spans="1:10">
      <c r="A5" s="10" t="s">
        <v>125</v>
      </c>
      <c r="B5" s="10" t="s">
        <v>126</v>
      </c>
      <c r="C5" s="10" t="s">
        <v>127</v>
      </c>
      <c r="D5" s="10" t="s">
        <v>128</v>
      </c>
      <c r="E5" s="10" t="s">
        <v>129</v>
      </c>
      <c r="F5" s="10" t="s">
        <v>130</v>
      </c>
      <c r="G5" s="10" t="s">
        <v>131</v>
      </c>
      <c r="H5" s="10" t="s">
        <v>132</v>
      </c>
      <c r="I5" s="10" t="s">
        <v>133</v>
      </c>
      <c r="J5" s="10" t="s">
        <v>41</v>
      </c>
    </row>
    <row r="6" spans="1:10">
      <c r="A6" s="11" t="s">
        <v>134</v>
      </c>
      <c r="B6" s="11" t="s">
        <v>126</v>
      </c>
      <c r="C6" s="11" t="s">
        <v>135</v>
      </c>
      <c r="D6" s="11" t="s">
        <v>136</v>
      </c>
      <c r="E6" s="11" t="s">
        <v>137</v>
      </c>
      <c r="F6" s="11" t="s">
        <v>130</v>
      </c>
      <c r="G6" s="11" t="s">
        <v>138</v>
      </c>
      <c r="H6" s="11" t="s">
        <v>139</v>
      </c>
      <c r="I6" s="11" t="s">
        <v>140</v>
      </c>
      <c r="J6" s="11" t="s">
        <v>41</v>
      </c>
    </row>
    <row r="7" spans="1:10">
      <c r="A7" s="10" t="s">
        <v>141</v>
      </c>
      <c r="B7" s="10" t="s">
        <v>126</v>
      </c>
      <c r="C7" s="10" t="s">
        <v>142</v>
      </c>
      <c r="D7" s="10" t="s">
        <v>143</v>
      </c>
      <c r="E7" s="10" t="s">
        <v>144</v>
      </c>
      <c r="F7" s="10" t="s">
        <v>130</v>
      </c>
      <c r="G7" s="10" t="s">
        <v>145</v>
      </c>
      <c r="H7" s="10" t="s">
        <v>146</v>
      </c>
      <c r="I7" s="10" t="s">
        <v>84</v>
      </c>
      <c r="J7" s="10" t="s">
        <v>41</v>
      </c>
    </row>
    <row r="8" spans="1:10">
      <c r="A8" s="11" t="s">
        <v>147</v>
      </c>
      <c r="B8" s="11" t="s">
        <v>126</v>
      </c>
      <c r="C8" s="11" t="s">
        <v>148</v>
      </c>
      <c r="D8" s="11" t="s">
        <v>149</v>
      </c>
      <c r="E8" s="11" t="s">
        <v>150</v>
      </c>
      <c r="F8" s="11" t="s">
        <v>151</v>
      </c>
      <c r="G8" s="11" t="s">
        <v>152</v>
      </c>
      <c r="H8" s="11" t="s">
        <v>153</v>
      </c>
      <c r="I8" s="11" t="s">
        <v>154</v>
      </c>
      <c r="J8" s="11" t="s">
        <v>95</v>
      </c>
    </row>
    <row r="9" spans="1:10">
      <c r="A9" s="10" t="s">
        <v>155</v>
      </c>
      <c r="B9" s="10" t="s">
        <v>156</v>
      </c>
      <c r="C9" s="10" t="s">
        <v>157</v>
      </c>
      <c r="D9" s="10" t="s">
        <v>158</v>
      </c>
      <c r="E9" s="10" t="s">
        <v>159</v>
      </c>
      <c r="F9" s="10" t="s">
        <v>160</v>
      </c>
      <c r="G9" s="10" t="s">
        <v>161</v>
      </c>
      <c r="H9" s="10" t="s">
        <v>162</v>
      </c>
      <c r="I9" s="10" t="s">
        <v>163</v>
      </c>
      <c r="J9" s="10" t="s">
        <v>41</v>
      </c>
    </row>
    <row r="10" spans="1:10">
      <c r="A10" s="11" t="s">
        <v>164</v>
      </c>
      <c r="B10" s="11" t="s">
        <v>165</v>
      </c>
      <c r="C10" s="11" t="s">
        <v>166</v>
      </c>
      <c r="D10" s="11" t="s">
        <v>167</v>
      </c>
      <c r="E10" s="11" t="s">
        <v>168</v>
      </c>
      <c r="F10" s="11" t="s">
        <v>169</v>
      </c>
      <c r="G10" s="11" t="s">
        <v>170</v>
      </c>
      <c r="H10" s="11" t="s">
        <v>171</v>
      </c>
      <c r="I10" s="11" t="s">
        <v>172</v>
      </c>
      <c r="J10" s="11" t="s">
        <v>95</v>
      </c>
    </row>
    <row r="11" spans="1:10">
      <c r="A11" s="10" t="s">
        <v>173</v>
      </c>
      <c r="B11" s="10" t="s">
        <v>174</v>
      </c>
      <c r="C11" s="10" t="s">
        <v>175</v>
      </c>
      <c r="D11" s="10" t="s">
        <v>176</v>
      </c>
      <c r="E11" s="10" t="s">
        <v>177</v>
      </c>
      <c r="F11" s="10" t="s">
        <v>178</v>
      </c>
      <c r="G11" s="10" t="s">
        <v>179</v>
      </c>
      <c r="H11" s="10" t="s">
        <v>180</v>
      </c>
      <c r="I11" s="10" t="s">
        <v>181</v>
      </c>
      <c r="J11" s="10" t="s">
        <v>95</v>
      </c>
    </row>
    <row r="12" spans="1:10">
      <c r="A12" s="11" t="s">
        <v>182</v>
      </c>
      <c r="B12" s="11" t="s">
        <v>183</v>
      </c>
      <c r="C12" s="11" t="s">
        <v>184</v>
      </c>
      <c r="D12" s="11" t="s">
        <v>185</v>
      </c>
      <c r="E12" s="11" t="s">
        <v>186</v>
      </c>
      <c r="F12" s="11" t="s">
        <v>187</v>
      </c>
      <c r="G12" s="11" t="s">
        <v>188</v>
      </c>
      <c r="H12" s="11" t="s">
        <v>189</v>
      </c>
      <c r="I12" s="11" t="s">
        <v>190</v>
      </c>
      <c r="J12" s="11" t="s">
        <v>41</v>
      </c>
    </row>
    <row r="13" spans="1:10">
      <c r="A13" s="10" t="s">
        <v>191</v>
      </c>
      <c r="B13" s="10" t="s">
        <v>183</v>
      </c>
      <c r="C13" s="10" t="s">
        <v>192</v>
      </c>
      <c r="D13" s="10" t="s">
        <v>193</v>
      </c>
      <c r="E13" s="10" t="s">
        <v>194</v>
      </c>
      <c r="F13" s="10" t="s">
        <v>195</v>
      </c>
      <c r="G13" s="10" t="s">
        <v>196</v>
      </c>
      <c r="H13" s="10" t="s">
        <v>197</v>
      </c>
      <c r="I13" s="10" t="s">
        <v>198</v>
      </c>
      <c r="J13" s="10" t="s">
        <v>95</v>
      </c>
    </row>
    <row r="14" spans="1:10">
      <c r="A14" s="11" t="s">
        <v>199</v>
      </c>
      <c r="B14" s="11" t="s">
        <v>183</v>
      </c>
      <c r="C14" s="11" t="s">
        <v>200</v>
      </c>
      <c r="D14" s="11" t="s">
        <v>201</v>
      </c>
      <c r="E14" s="11" t="s">
        <v>202</v>
      </c>
      <c r="F14" s="11" t="s">
        <v>203</v>
      </c>
      <c r="G14" s="11" t="s">
        <v>204</v>
      </c>
      <c r="H14" s="11" t="s">
        <v>205</v>
      </c>
      <c r="I14" s="11" t="s">
        <v>206</v>
      </c>
      <c r="J14" s="11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showGridLines="0" workbookViewId="0"/>
  </sheetViews>
  <sheetFormatPr defaultRowHeight="15"/>
  <cols>
    <col min="1" max="1" width="18" customWidth="1"/>
    <col min="2" max="2" width="14" customWidth="1"/>
    <col min="3" max="3" width="24" customWidth="1"/>
    <col min="4" max="4" width="22" customWidth="1"/>
    <col min="5" max="5" width="24" customWidth="1"/>
    <col min="6" max="6" width="12" customWidth="1"/>
    <col min="7" max="7" width="18" customWidth="1"/>
    <col min="8" max="8" width="14" customWidth="1"/>
    <col min="9" max="9" width="12" customWidth="1"/>
    <col min="10" max="10" width="18" customWidth="1"/>
    <col min="11" max="11" width="10" customWidth="1"/>
  </cols>
  <sheetData>
    <row r="1" spans="1:11">
      <c r="A1" s="7" t="s">
        <v>207</v>
      </c>
    </row>
    <row r="2" spans="1:11">
      <c r="A2" s="8" t="s">
        <v>208</v>
      </c>
    </row>
    <row r="4" spans="1:11">
      <c r="A4" s="9" t="s">
        <v>209</v>
      </c>
      <c r="B4" s="9" t="s">
        <v>21</v>
      </c>
      <c r="C4" s="9" t="s">
        <v>210</v>
      </c>
      <c r="D4" s="9" t="s">
        <v>211</v>
      </c>
      <c r="E4" s="9" t="s">
        <v>212</v>
      </c>
      <c r="F4" s="9" t="s">
        <v>213</v>
      </c>
      <c r="G4" s="9" t="s">
        <v>214</v>
      </c>
      <c r="H4" s="9" t="s">
        <v>215</v>
      </c>
      <c r="I4" s="9" t="s">
        <v>216</v>
      </c>
      <c r="J4" s="9" t="s">
        <v>30</v>
      </c>
      <c r="K4" s="9" t="s">
        <v>31</v>
      </c>
    </row>
    <row r="5" spans="1:11">
      <c r="A5" s="10" t="s">
        <v>217</v>
      </c>
      <c r="B5" s="10" t="s">
        <v>218</v>
      </c>
      <c r="C5" s="10" t="s">
        <v>219</v>
      </c>
      <c r="D5" s="10" t="s">
        <v>220</v>
      </c>
      <c r="E5" s="10" t="s">
        <v>221</v>
      </c>
      <c r="F5" s="10" t="s">
        <v>222</v>
      </c>
      <c r="G5" s="10" t="s">
        <v>223</v>
      </c>
      <c r="H5" s="10" t="s">
        <v>224</v>
      </c>
      <c r="I5" s="10" t="s">
        <v>225</v>
      </c>
      <c r="J5" s="10" t="s">
        <v>226</v>
      </c>
      <c r="K5" s="10" t="s">
        <v>41</v>
      </c>
    </row>
    <row r="6" spans="1:11">
      <c r="A6" s="11" t="s">
        <v>227</v>
      </c>
      <c r="B6" s="11" t="s">
        <v>228</v>
      </c>
      <c r="C6" s="11" t="s">
        <v>229</v>
      </c>
      <c r="D6" s="11" t="s">
        <v>230</v>
      </c>
      <c r="E6" s="11" t="s">
        <v>231</v>
      </c>
      <c r="F6" s="11" t="s">
        <v>222</v>
      </c>
      <c r="G6" s="11" t="s">
        <v>232</v>
      </c>
      <c r="H6" s="11" t="s">
        <v>224</v>
      </c>
      <c r="I6" s="11" t="s">
        <v>225</v>
      </c>
      <c r="J6" s="11" t="s">
        <v>233</v>
      </c>
      <c r="K6" s="11" t="s">
        <v>41</v>
      </c>
    </row>
    <row r="7" spans="1:11">
      <c r="A7" s="10" t="s">
        <v>234</v>
      </c>
      <c r="B7" s="10" t="s">
        <v>70</v>
      </c>
      <c r="C7" s="10" t="s">
        <v>235</v>
      </c>
      <c r="D7" s="10" t="s">
        <v>236</v>
      </c>
      <c r="E7" s="10" t="s">
        <v>237</v>
      </c>
      <c r="F7" s="10" t="s">
        <v>222</v>
      </c>
      <c r="G7" s="10" t="s">
        <v>238</v>
      </c>
      <c r="H7" s="10" t="s">
        <v>224</v>
      </c>
      <c r="I7" s="10" t="s">
        <v>225</v>
      </c>
      <c r="J7" s="10" t="s">
        <v>239</v>
      </c>
      <c r="K7" s="10" t="s">
        <v>41</v>
      </c>
    </row>
    <row r="8" spans="1:11">
      <c r="A8" s="11" t="s">
        <v>240</v>
      </c>
      <c r="B8" s="11" t="s">
        <v>218</v>
      </c>
      <c r="C8" s="11" t="s">
        <v>241</v>
      </c>
      <c r="D8" s="11" t="s">
        <v>242</v>
      </c>
      <c r="E8" s="11" t="s">
        <v>243</v>
      </c>
      <c r="F8" s="11" t="s">
        <v>222</v>
      </c>
      <c r="G8" s="11" t="s">
        <v>244</v>
      </c>
      <c r="H8" s="11" t="s">
        <v>245</v>
      </c>
      <c r="I8" s="11" t="s">
        <v>225</v>
      </c>
      <c r="J8" s="11" t="s">
        <v>181</v>
      </c>
      <c r="K8" s="11" t="s">
        <v>95</v>
      </c>
    </row>
    <row r="9" spans="1:11">
      <c r="A9" s="10" t="s">
        <v>246</v>
      </c>
      <c r="B9" s="10" t="s">
        <v>218</v>
      </c>
      <c r="C9" s="10" t="s">
        <v>247</v>
      </c>
      <c r="D9" s="10" t="s">
        <v>248</v>
      </c>
      <c r="E9" s="10" t="s">
        <v>249</v>
      </c>
      <c r="F9" s="10" t="s">
        <v>222</v>
      </c>
      <c r="G9" s="10" t="s">
        <v>244</v>
      </c>
      <c r="H9" s="10" t="s">
        <v>245</v>
      </c>
      <c r="I9" s="10" t="s">
        <v>225</v>
      </c>
      <c r="J9" s="10" t="s">
        <v>250</v>
      </c>
      <c r="K9" s="10" t="s">
        <v>95</v>
      </c>
    </row>
    <row r="10" spans="1:11">
      <c r="A10" s="11" t="s">
        <v>251</v>
      </c>
      <c r="B10" s="11" t="s">
        <v>228</v>
      </c>
      <c r="C10" s="11" t="s">
        <v>252</v>
      </c>
      <c r="D10" s="11" t="s">
        <v>253</v>
      </c>
      <c r="E10" s="11" t="s">
        <v>254</v>
      </c>
      <c r="F10" s="11" t="s">
        <v>222</v>
      </c>
      <c r="G10" s="11" t="s">
        <v>255</v>
      </c>
      <c r="H10" s="11" t="s">
        <v>224</v>
      </c>
      <c r="I10" s="11" t="s">
        <v>225</v>
      </c>
      <c r="J10" s="11" t="s">
        <v>256</v>
      </c>
      <c r="K10" s="11" t="s">
        <v>113</v>
      </c>
    </row>
    <row r="11" spans="1:11">
      <c r="A11" s="10" t="s">
        <v>257</v>
      </c>
      <c r="B11" s="10" t="s">
        <v>228</v>
      </c>
      <c r="C11" s="10" t="s">
        <v>258</v>
      </c>
      <c r="D11" s="10" t="s">
        <v>259</v>
      </c>
      <c r="E11" s="10" t="s">
        <v>260</v>
      </c>
      <c r="F11" s="10" t="s">
        <v>222</v>
      </c>
      <c r="G11" s="10" t="s">
        <v>244</v>
      </c>
      <c r="H11" s="10" t="s">
        <v>245</v>
      </c>
      <c r="I11" s="10" t="s">
        <v>225</v>
      </c>
      <c r="J11" s="10" t="s">
        <v>244</v>
      </c>
      <c r="K11" s="10" t="s">
        <v>113</v>
      </c>
    </row>
    <row r="12" spans="1:11">
      <c r="A12" s="11" t="s">
        <v>261</v>
      </c>
      <c r="B12" s="11" t="s">
        <v>262</v>
      </c>
      <c r="C12" s="11" t="s">
        <v>263</v>
      </c>
      <c r="D12" s="11" t="s">
        <v>264</v>
      </c>
      <c r="E12" s="11" t="s">
        <v>265</v>
      </c>
      <c r="F12" s="11" t="s">
        <v>222</v>
      </c>
      <c r="G12" s="11" t="s">
        <v>266</v>
      </c>
      <c r="H12" s="11" t="s">
        <v>224</v>
      </c>
      <c r="I12" s="11" t="s">
        <v>225</v>
      </c>
      <c r="J12" s="11" t="s">
        <v>267</v>
      </c>
      <c r="K12" s="11" t="s">
        <v>95</v>
      </c>
    </row>
  </sheetData>
  <dataValidations count="2">
    <dataValidation type="list" allowBlank="1" sqref="H5:H40" xr:uid="{00000000-0002-0000-0300-000000000000}">
      <formula1>"Cold,Identified,Researched,Contacted,In discussion,Committed,Declined"</formula1>
    </dataValidation>
    <dataValidation type="list" allowBlank="1" sqref="I5:I40" xr:uid="{00000000-0002-0000-0300-000001000000}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/>
  </sheetViews>
  <sheetFormatPr defaultRowHeight="15"/>
  <cols>
    <col min="1" max="1" width="22" customWidth="1"/>
    <col min="2" max="2" width="12" customWidth="1"/>
    <col min="3" max="4" width="26" customWidth="1"/>
    <col min="5" max="5" width="22" customWidth="1"/>
    <col min="6" max="6" width="18" customWidth="1"/>
    <col min="7" max="7" width="10" customWidth="1"/>
    <col min="8" max="8" width="18" customWidth="1"/>
    <col min="9" max="9" width="10" customWidth="1"/>
  </cols>
  <sheetData>
    <row r="1" spans="1:9">
      <c r="A1" s="7" t="s">
        <v>268</v>
      </c>
    </row>
    <row r="2" spans="1:9">
      <c r="A2" s="8" t="s">
        <v>269</v>
      </c>
    </row>
    <row r="4" spans="1:9">
      <c r="A4" s="9" t="s">
        <v>270</v>
      </c>
      <c r="B4" s="9" t="s">
        <v>271</v>
      </c>
      <c r="C4" s="9" t="s">
        <v>272</v>
      </c>
      <c r="D4" s="9" t="s">
        <v>273</v>
      </c>
      <c r="E4" s="9" t="s">
        <v>274</v>
      </c>
      <c r="F4" s="9" t="s">
        <v>275</v>
      </c>
      <c r="G4" s="9" t="s">
        <v>276</v>
      </c>
      <c r="H4" s="9" t="s">
        <v>30</v>
      </c>
      <c r="I4" s="9" t="s">
        <v>31</v>
      </c>
    </row>
    <row r="5" spans="1:9">
      <c r="A5" s="10" t="s">
        <v>277</v>
      </c>
      <c r="B5" s="10" t="s">
        <v>278</v>
      </c>
      <c r="C5" s="10" t="s">
        <v>279</v>
      </c>
      <c r="D5" s="10" t="s">
        <v>280</v>
      </c>
      <c r="E5" s="10" t="s">
        <v>281</v>
      </c>
      <c r="F5" s="10" t="s">
        <v>282</v>
      </c>
      <c r="G5" s="10" t="s">
        <v>41</v>
      </c>
      <c r="H5" s="10" t="s">
        <v>283</v>
      </c>
      <c r="I5" s="10" t="s">
        <v>95</v>
      </c>
    </row>
    <row r="6" spans="1:9">
      <c r="A6" s="11" t="s">
        <v>284</v>
      </c>
      <c r="B6" s="11" t="s">
        <v>80</v>
      </c>
      <c r="C6" s="11" t="s">
        <v>285</v>
      </c>
      <c r="D6" s="11" t="s">
        <v>286</v>
      </c>
      <c r="E6" s="11" t="s">
        <v>287</v>
      </c>
      <c r="F6" s="11" t="s">
        <v>282</v>
      </c>
      <c r="G6" s="11" t="s">
        <v>41</v>
      </c>
      <c r="H6" s="11" t="s">
        <v>288</v>
      </c>
      <c r="I6" s="11" t="s">
        <v>95</v>
      </c>
    </row>
    <row r="7" spans="1:9">
      <c r="A7" s="10" t="s">
        <v>289</v>
      </c>
      <c r="B7" s="10" t="s">
        <v>80</v>
      </c>
      <c r="C7" s="10" t="s">
        <v>290</v>
      </c>
      <c r="D7" s="10" t="s">
        <v>291</v>
      </c>
      <c r="E7" s="10" t="s">
        <v>292</v>
      </c>
      <c r="F7" s="10" t="s">
        <v>282</v>
      </c>
      <c r="G7" s="10" t="s">
        <v>41</v>
      </c>
      <c r="H7" s="10" t="s">
        <v>288</v>
      </c>
      <c r="I7" s="10" t="s">
        <v>95</v>
      </c>
    </row>
    <row r="8" spans="1:9">
      <c r="A8" s="11" t="s">
        <v>293</v>
      </c>
      <c r="B8" s="11" t="s">
        <v>278</v>
      </c>
      <c r="C8" s="11" t="s">
        <v>294</v>
      </c>
      <c r="D8" s="11" t="s">
        <v>295</v>
      </c>
      <c r="E8" s="11" t="s">
        <v>49</v>
      </c>
      <c r="F8" s="11" t="s">
        <v>282</v>
      </c>
      <c r="G8" s="11" t="s">
        <v>95</v>
      </c>
      <c r="H8" s="11" t="s">
        <v>296</v>
      </c>
      <c r="I8" s="11" t="s">
        <v>95</v>
      </c>
    </row>
    <row r="9" spans="1:9">
      <c r="A9" s="10" t="s">
        <v>297</v>
      </c>
      <c r="B9" s="10" t="s">
        <v>278</v>
      </c>
      <c r="C9" s="10" t="s">
        <v>298</v>
      </c>
      <c r="D9" s="10" t="s">
        <v>299</v>
      </c>
      <c r="E9" s="10" t="s">
        <v>300</v>
      </c>
      <c r="F9" s="10" t="s">
        <v>282</v>
      </c>
      <c r="G9" s="10" t="s">
        <v>95</v>
      </c>
      <c r="H9" s="10" t="s">
        <v>288</v>
      </c>
      <c r="I9" s="10" t="s">
        <v>113</v>
      </c>
    </row>
    <row r="10" spans="1:9">
      <c r="A10" s="11" t="s">
        <v>301</v>
      </c>
      <c r="B10" s="11" t="s">
        <v>278</v>
      </c>
      <c r="C10" s="11" t="s">
        <v>302</v>
      </c>
      <c r="D10" s="11" t="s">
        <v>303</v>
      </c>
      <c r="E10" s="11" t="s">
        <v>300</v>
      </c>
      <c r="F10" s="11" t="s">
        <v>282</v>
      </c>
      <c r="G10" s="11" t="s">
        <v>95</v>
      </c>
      <c r="H10" s="11" t="s">
        <v>288</v>
      </c>
      <c r="I10" s="11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showGridLines="0" workbookViewId="0"/>
  </sheetViews>
  <sheetFormatPr defaultRowHeight="15"/>
  <cols>
    <col min="1" max="1" width="12" customWidth="1"/>
    <col min="2" max="2" width="22" customWidth="1"/>
    <col min="3" max="3" width="18" customWidth="1"/>
    <col min="4" max="4" width="12" customWidth="1"/>
    <col min="5" max="6" width="24" customWidth="1"/>
    <col min="7" max="7" width="22" customWidth="1"/>
    <col min="8" max="8" width="12" customWidth="1"/>
    <col min="9" max="9" width="14" customWidth="1"/>
  </cols>
  <sheetData>
    <row r="1" spans="1:9">
      <c r="A1" s="7" t="s">
        <v>304</v>
      </c>
    </row>
    <row r="2" spans="1:9">
      <c r="A2" s="8" t="s">
        <v>305</v>
      </c>
    </row>
    <row r="4" spans="1:9">
      <c r="A4" s="9" t="s">
        <v>306</v>
      </c>
      <c r="B4" s="9" t="s">
        <v>307</v>
      </c>
      <c r="C4" s="9" t="s">
        <v>308</v>
      </c>
      <c r="D4" s="9" t="s">
        <v>309</v>
      </c>
      <c r="E4" s="9" t="s">
        <v>310</v>
      </c>
      <c r="F4" s="9" t="s">
        <v>311</v>
      </c>
      <c r="G4" s="9" t="s">
        <v>312</v>
      </c>
      <c r="H4" s="9" t="s">
        <v>313</v>
      </c>
      <c r="I4" s="9" t="s">
        <v>314</v>
      </c>
    </row>
    <row r="5" spans="1:9">
      <c r="A5" s="10"/>
      <c r="B5" s="10"/>
      <c r="C5" s="10"/>
      <c r="D5" s="10"/>
      <c r="E5" s="10"/>
      <c r="F5" s="10"/>
      <c r="G5" s="10"/>
      <c r="H5" s="10"/>
      <c r="I5" s="10"/>
    </row>
    <row r="6" spans="1:9">
      <c r="A6" s="11"/>
      <c r="B6" s="11"/>
      <c r="C6" s="11"/>
      <c r="D6" s="11"/>
      <c r="E6" s="11"/>
      <c r="F6" s="11"/>
      <c r="G6" s="11"/>
      <c r="H6" s="11"/>
      <c r="I6" s="11"/>
    </row>
    <row r="7" spans="1:9">
      <c r="A7" s="10"/>
      <c r="B7" s="10"/>
      <c r="C7" s="10"/>
      <c r="D7" s="10"/>
      <c r="E7" s="10"/>
      <c r="F7" s="10"/>
      <c r="G7" s="10"/>
      <c r="H7" s="10"/>
      <c r="I7" s="10"/>
    </row>
    <row r="8" spans="1:9">
      <c r="A8" s="11"/>
      <c r="B8" s="11"/>
      <c r="C8" s="11"/>
      <c r="D8" s="11"/>
      <c r="E8" s="11"/>
      <c r="F8" s="11"/>
      <c r="G8" s="11"/>
      <c r="H8" s="11"/>
      <c r="I8" s="11"/>
    </row>
    <row r="9" spans="1:9">
      <c r="A9" s="10"/>
      <c r="B9" s="10"/>
      <c r="C9" s="10"/>
      <c r="D9" s="10"/>
      <c r="E9" s="10"/>
      <c r="F9" s="10"/>
      <c r="G9" s="10"/>
      <c r="H9" s="10"/>
      <c r="I9" s="10"/>
    </row>
    <row r="10" spans="1:9">
      <c r="A10" s="11"/>
      <c r="B10" s="11"/>
      <c r="C10" s="11"/>
      <c r="D10" s="11"/>
      <c r="E10" s="11"/>
      <c r="F10" s="11"/>
      <c r="G10" s="11"/>
      <c r="H10" s="11"/>
      <c r="I10" s="11"/>
    </row>
    <row r="11" spans="1:9">
      <c r="A11" s="10"/>
      <c r="B11" s="10"/>
      <c r="C11" s="10"/>
      <c r="D11" s="10"/>
      <c r="E11" s="10"/>
      <c r="F11" s="10"/>
      <c r="G11" s="10"/>
      <c r="H11" s="10"/>
      <c r="I11" s="10"/>
    </row>
    <row r="12" spans="1:9">
      <c r="A12" s="11"/>
      <c r="B12" s="11"/>
      <c r="C12" s="11"/>
      <c r="D12" s="11"/>
      <c r="E12" s="11"/>
      <c r="F12" s="11"/>
      <c r="G12" s="11"/>
      <c r="H12" s="11"/>
      <c r="I12" s="11"/>
    </row>
    <row r="13" spans="1:9">
      <c r="A13" s="10"/>
      <c r="B13" s="10"/>
      <c r="C13" s="10"/>
      <c r="D13" s="10"/>
      <c r="E13" s="10"/>
      <c r="F13" s="10"/>
      <c r="G13" s="10"/>
      <c r="H13" s="10"/>
      <c r="I13" s="10"/>
    </row>
    <row r="14" spans="1:9">
      <c r="A14" s="11"/>
      <c r="B14" s="11"/>
      <c r="C14" s="11"/>
      <c r="D14" s="11"/>
      <c r="E14" s="11"/>
      <c r="F14" s="11"/>
      <c r="G14" s="11"/>
      <c r="H14" s="11"/>
      <c r="I14" s="11"/>
    </row>
    <row r="15" spans="1:9">
      <c r="A15" s="10"/>
      <c r="B15" s="10"/>
      <c r="C15" s="10"/>
      <c r="D15" s="10"/>
      <c r="E15" s="10"/>
      <c r="F15" s="10"/>
      <c r="G15" s="10"/>
      <c r="H15" s="10"/>
      <c r="I15" s="10"/>
    </row>
    <row r="16" spans="1:9">
      <c r="A16" s="11"/>
      <c r="B16" s="11"/>
      <c r="C16" s="11"/>
      <c r="D16" s="11"/>
      <c r="E16" s="11"/>
      <c r="F16" s="11"/>
      <c r="G16" s="11"/>
      <c r="H16" s="11"/>
      <c r="I16" s="11"/>
    </row>
    <row r="17" spans="1:9">
      <c r="A17" s="10"/>
      <c r="B17" s="10"/>
      <c r="C17" s="10"/>
      <c r="D17" s="10"/>
      <c r="E17" s="10"/>
      <c r="F17" s="10"/>
      <c r="G17" s="10"/>
      <c r="H17" s="10"/>
      <c r="I17" s="10"/>
    </row>
    <row r="18" spans="1:9">
      <c r="A18" s="11"/>
      <c r="B18" s="11"/>
      <c r="C18" s="11"/>
      <c r="D18" s="11"/>
      <c r="E18" s="11"/>
      <c r="F18" s="11"/>
      <c r="G18" s="11"/>
      <c r="H18" s="11"/>
      <c r="I18" s="11"/>
    </row>
    <row r="19" spans="1:9">
      <c r="A19" s="10"/>
      <c r="B19" s="10"/>
      <c r="C19" s="10"/>
      <c r="D19" s="10"/>
      <c r="E19" s="10"/>
      <c r="F19" s="10"/>
      <c r="G19" s="10"/>
      <c r="H19" s="10"/>
      <c r="I19" s="10"/>
    </row>
    <row r="20" spans="1:9">
      <c r="A20" s="11"/>
      <c r="B20" s="11"/>
      <c r="C20" s="11"/>
      <c r="D20" s="11"/>
      <c r="E20" s="11"/>
      <c r="F20" s="11"/>
      <c r="G20" s="11"/>
      <c r="H20" s="11"/>
      <c r="I20" s="11"/>
    </row>
    <row r="21" spans="1:9">
      <c r="A21" s="10"/>
      <c r="B21" s="10"/>
      <c r="C21" s="10"/>
      <c r="D21" s="10"/>
      <c r="E21" s="10"/>
      <c r="F21" s="10"/>
      <c r="G21" s="10"/>
      <c r="H21" s="10"/>
      <c r="I21" s="10"/>
    </row>
    <row r="22" spans="1:9">
      <c r="A22" s="11"/>
      <c r="B22" s="11"/>
      <c r="C22" s="11"/>
      <c r="D22" s="11"/>
      <c r="E22" s="11"/>
      <c r="F22" s="11"/>
      <c r="G22" s="11"/>
      <c r="H22" s="11"/>
      <c r="I22" s="11"/>
    </row>
    <row r="23" spans="1:9">
      <c r="A23" s="10"/>
      <c r="B23" s="10"/>
      <c r="C23" s="10"/>
      <c r="D23" s="10"/>
      <c r="E23" s="10"/>
      <c r="F23" s="10"/>
      <c r="G23" s="10"/>
      <c r="H23" s="10"/>
      <c r="I23" s="10"/>
    </row>
    <row r="24" spans="1:9">
      <c r="A24" s="11"/>
      <c r="B24" s="11"/>
      <c r="C24" s="11"/>
      <c r="D24" s="11"/>
      <c r="E24" s="11"/>
      <c r="F24" s="11"/>
      <c r="G24" s="11"/>
      <c r="H24" s="11"/>
      <c r="I24" s="1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tabSelected="1" workbookViewId="0"/>
  </sheetViews>
  <sheetFormatPr defaultRowHeight="15"/>
  <cols>
    <col min="1" max="1" width="5" customWidth="1"/>
    <col min="2" max="2" width="12" customWidth="1"/>
    <col min="3" max="3" width="30" customWidth="1"/>
    <col min="4" max="4" width="22" customWidth="1"/>
    <col min="5" max="5" width="26" customWidth="1"/>
    <col min="6" max="6" width="14" customWidth="1"/>
    <col min="7" max="8" width="12" customWidth="1"/>
  </cols>
  <sheetData>
    <row r="1" spans="1:8">
      <c r="A1" s="7" t="s">
        <v>315</v>
      </c>
    </row>
    <row r="2" spans="1:8">
      <c r="A2" s="8" t="s">
        <v>316</v>
      </c>
    </row>
    <row r="4" spans="1:8">
      <c r="A4" s="9" t="s">
        <v>317</v>
      </c>
      <c r="B4" s="9" t="s">
        <v>318</v>
      </c>
      <c r="C4" s="9" t="s">
        <v>319</v>
      </c>
      <c r="D4" s="9" t="s">
        <v>320</v>
      </c>
      <c r="E4" s="9" t="s">
        <v>321</v>
      </c>
      <c r="F4" s="9" t="s">
        <v>322</v>
      </c>
      <c r="G4" s="9" t="s">
        <v>323</v>
      </c>
      <c r="H4" s="9" t="s">
        <v>324</v>
      </c>
    </row>
    <row r="5" spans="1:8">
      <c r="A5" s="10" t="s">
        <v>325</v>
      </c>
      <c r="B5" s="10" t="s">
        <v>326</v>
      </c>
      <c r="C5" s="10" t="s">
        <v>327</v>
      </c>
      <c r="D5" s="10" t="s">
        <v>328</v>
      </c>
      <c r="E5" s="10" t="s">
        <v>329</v>
      </c>
      <c r="F5" s="10" t="s">
        <v>330</v>
      </c>
      <c r="G5" s="10" t="s">
        <v>41</v>
      </c>
      <c r="H5" s="10" t="s">
        <v>331</v>
      </c>
    </row>
    <row r="6" spans="1:8">
      <c r="A6" s="11" t="s">
        <v>332</v>
      </c>
      <c r="B6" s="11" t="s">
        <v>333</v>
      </c>
      <c r="C6" s="11" t="s">
        <v>334</v>
      </c>
      <c r="D6" s="11" t="s">
        <v>32</v>
      </c>
      <c r="E6" s="11" t="s">
        <v>335</v>
      </c>
      <c r="F6" s="11" t="s">
        <v>336</v>
      </c>
      <c r="G6" s="11" t="s">
        <v>41</v>
      </c>
      <c r="H6" s="11" t="s">
        <v>337</v>
      </c>
    </row>
    <row r="7" spans="1:8">
      <c r="A7" s="10" t="s">
        <v>338</v>
      </c>
      <c r="B7" s="10" t="s">
        <v>333</v>
      </c>
      <c r="C7" s="10" t="s">
        <v>339</v>
      </c>
      <c r="D7" s="10" t="s">
        <v>52</v>
      </c>
      <c r="E7" s="10" t="s">
        <v>57</v>
      </c>
      <c r="F7" s="10" t="s">
        <v>340</v>
      </c>
      <c r="G7" s="10" t="s">
        <v>41</v>
      </c>
      <c r="H7" s="10" t="s">
        <v>337</v>
      </c>
    </row>
    <row r="8" spans="1:8">
      <c r="A8" s="11" t="s">
        <v>341</v>
      </c>
      <c r="B8" s="11" t="s">
        <v>333</v>
      </c>
      <c r="C8" s="11" t="s">
        <v>342</v>
      </c>
      <c r="D8" s="11" t="s">
        <v>343</v>
      </c>
      <c r="E8" s="11" t="s">
        <v>344</v>
      </c>
      <c r="F8" s="11" t="s">
        <v>345</v>
      </c>
      <c r="G8" s="11" t="s">
        <v>41</v>
      </c>
      <c r="H8" s="11" t="s">
        <v>337</v>
      </c>
    </row>
    <row r="9" spans="1:8">
      <c r="A9" s="10" t="s">
        <v>346</v>
      </c>
      <c r="B9" s="10" t="s">
        <v>347</v>
      </c>
      <c r="C9" s="10" t="s">
        <v>348</v>
      </c>
      <c r="D9" s="10" t="s">
        <v>349</v>
      </c>
      <c r="E9" s="10" t="s">
        <v>226</v>
      </c>
      <c r="F9" s="10" t="s">
        <v>336</v>
      </c>
      <c r="G9" s="10" t="s">
        <v>41</v>
      </c>
      <c r="H9" s="10" t="s">
        <v>337</v>
      </c>
    </row>
    <row r="10" spans="1:8">
      <c r="A10" s="11" t="s">
        <v>350</v>
      </c>
      <c r="B10" s="11" t="s">
        <v>347</v>
      </c>
      <c r="C10" s="11" t="s">
        <v>351</v>
      </c>
      <c r="D10" s="11" t="s">
        <v>352</v>
      </c>
      <c r="E10" s="11" t="s">
        <v>353</v>
      </c>
      <c r="F10" s="11" t="s">
        <v>354</v>
      </c>
      <c r="G10" s="11" t="s">
        <v>41</v>
      </c>
      <c r="H10" s="11" t="s">
        <v>337</v>
      </c>
    </row>
    <row r="11" spans="1:8">
      <c r="A11" s="10" t="s">
        <v>355</v>
      </c>
      <c r="B11" s="10" t="s">
        <v>356</v>
      </c>
      <c r="C11" s="10" t="s">
        <v>357</v>
      </c>
      <c r="D11" s="10" t="s">
        <v>358</v>
      </c>
      <c r="E11" s="10" t="s">
        <v>359</v>
      </c>
      <c r="F11" s="10" t="s">
        <v>360</v>
      </c>
      <c r="G11" s="10" t="s">
        <v>41</v>
      </c>
      <c r="H11" s="10" t="s">
        <v>337</v>
      </c>
    </row>
    <row r="12" spans="1:8">
      <c r="A12" s="11" t="s">
        <v>361</v>
      </c>
      <c r="B12" s="11" t="s">
        <v>356</v>
      </c>
      <c r="C12" s="11" t="s">
        <v>362</v>
      </c>
      <c r="D12" s="11" t="s">
        <v>363</v>
      </c>
      <c r="E12" s="11" t="s">
        <v>364</v>
      </c>
      <c r="F12" s="11" t="s">
        <v>365</v>
      </c>
      <c r="G12" s="11" t="s">
        <v>95</v>
      </c>
      <c r="H12" s="11" t="s">
        <v>337</v>
      </c>
    </row>
    <row r="13" spans="1:8">
      <c r="A13" s="10" t="s">
        <v>366</v>
      </c>
      <c r="B13" s="10" t="s">
        <v>326</v>
      </c>
      <c r="C13" s="10" t="s">
        <v>367</v>
      </c>
      <c r="D13" s="10" t="s">
        <v>368</v>
      </c>
      <c r="E13" s="10" t="s">
        <v>369</v>
      </c>
      <c r="F13" s="10" t="s">
        <v>336</v>
      </c>
      <c r="G13" s="10" t="s">
        <v>41</v>
      </c>
      <c r="H13" s="10" t="s">
        <v>337</v>
      </c>
    </row>
    <row r="14" spans="1:8">
      <c r="A14" s="11" t="s">
        <v>370</v>
      </c>
      <c r="B14" s="11" t="s">
        <v>326</v>
      </c>
      <c r="C14" s="11" t="s">
        <v>371</v>
      </c>
      <c r="D14" s="11" t="s">
        <v>372</v>
      </c>
      <c r="E14" s="11" t="s">
        <v>373</v>
      </c>
      <c r="F14" s="11" t="s">
        <v>374</v>
      </c>
      <c r="G14" s="11" t="s">
        <v>95</v>
      </c>
      <c r="H14" s="11" t="s">
        <v>337</v>
      </c>
    </row>
    <row r="15" spans="1:8">
      <c r="A15" s="10" t="s">
        <v>375</v>
      </c>
      <c r="B15" s="10" t="s">
        <v>376</v>
      </c>
      <c r="C15" s="10" t="s">
        <v>377</v>
      </c>
      <c r="D15" s="10" t="s">
        <v>378</v>
      </c>
      <c r="E15" s="10" t="s">
        <v>379</v>
      </c>
      <c r="F15" s="10" t="s">
        <v>330</v>
      </c>
      <c r="G15" s="10" t="s">
        <v>41</v>
      </c>
      <c r="H15" s="10" t="s">
        <v>337</v>
      </c>
    </row>
    <row r="16" spans="1:8">
      <c r="A16" s="11" t="s">
        <v>380</v>
      </c>
      <c r="B16" s="11" t="s">
        <v>376</v>
      </c>
      <c r="C16" s="11" t="s">
        <v>381</v>
      </c>
      <c r="D16" s="11" t="s">
        <v>382</v>
      </c>
      <c r="E16" s="11" t="s">
        <v>383</v>
      </c>
      <c r="F16" s="11" t="s">
        <v>384</v>
      </c>
      <c r="G16" s="11" t="s">
        <v>95</v>
      </c>
      <c r="H16" s="11" t="s">
        <v>385</v>
      </c>
    </row>
    <row r="17" spans="1:8">
      <c r="A17" s="10" t="s">
        <v>386</v>
      </c>
      <c r="B17" s="10" t="s">
        <v>387</v>
      </c>
      <c r="C17" s="10" t="s">
        <v>388</v>
      </c>
      <c r="D17" s="10" t="s">
        <v>389</v>
      </c>
      <c r="E17" s="10" t="s">
        <v>390</v>
      </c>
      <c r="F17" s="10" t="s">
        <v>336</v>
      </c>
      <c r="G17" s="10" t="s">
        <v>95</v>
      </c>
      <c r="H17" s="10" t="s">
        <v>391</v>
      </c>
    </row>
    <row r="18" spans="1:8">
      <c r="A18" s="11" t="s">
        <v>392</v>
      </c>
      <c r="B18" s="11" t="s">
        <v>376</v>
      </c>
      <c r="C18" s="11" t="s">
        <v>393</v>
      </c>
      <c r="D18" s="11" t="s">
        <v>394</v>
      </c>
      <c r="E18" s="11" t="s">
        <v>395</v>
      </c>
      <c r="F18" s="11" t="s">
        <v>384</v>
      </c>
      <c r="G18" s="11" t="s">
        <v>41</v>
      </c>
      <c r="H18" s="11" t="s">
        <v>337</v>
      </c>
    </row>
    <row r="19" spans="1:8">
      <c r="A19" s="10" t="s">
        <v>396</v>
      </c>
      <c r="B19" s="10"/>
      <c r="C19" s="10"/>
      <c r="D19" s="10"/>
      <c r="E19" s="10"/>
      <c r="F19" s="10"/>
      <c r="G19" s="10"/>
      <c r="H19" s="10"/>
    </row>
    <row r="20" spans="1:8">
      <c r="A20" s="11" t="s">
        <v>397</v>
      </c>
      <c r="B20" s="11"/>
      <c r="C20" s="11"/>
      <c r="D20" s="11"/>
      <c r="E20" s="11"/>
      <c r="F20" s="11"/>
      <c r="G20" s="11"/>
      <c r="H20" s="11"/>
    </row>
    <row r="21" spans="1:8">
      <c r="A21" s="10" t="s">
        <v>398</v>
      </c>
      <c r="B21" s="10"/>
      <c r="C21" s="10"/>
      <c r="D21" s="10"/>
      <c r="E21" s="10"/>
      <c r="F21" s="10"/>
      <c r="G21" s="10"/>
      <c r="H2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Maher Farea</cp:lastModifiedBy>
  <cp:revision/>
  <dcterms:created xsi:type="dcterms:W3CDTF">2026-07-08T06:16:29Z</dcterms:created>
  <dcterms:modified xsi:type="dcterms:W3CDTF">2026-07-11T08:22:34Z</dcterms:modified>
  <cp:category/>
  <cp:contentStatus/>
</cp:coreProperties>
</file>